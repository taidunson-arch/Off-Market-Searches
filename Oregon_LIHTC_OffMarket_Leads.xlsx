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Leads" sheetId="2" state="visible" r:id="rId4"/>
    <sheet name="Scoring" sheetId="3" state="visible" r:id="rId5"/>
    <sheet name="Rules &amp; Sources" sheetId="4" state="visible" r:id="rId6"/>
  </sheets>
  <definedNames>
    <definedName function="false" hidden="true" localSheetId="1" name="_xlnm._FilterDatabase" vbProcedure="false">Leads!$A$1:$AM$755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N1" authorId="0">
      <text>
        <r>
          <rPr>
            <sz val="10"/>
            <rFont val="Arial"/>
            <family val="2"/>
          </rPr>
          <t xml:space="preserve">Year embedded in the HUD ID. It normally equals the placed-in-service year but is a proxy; confirm against HUD YR_PIS or the REUA.</t>
        </r>
      </text>
    </comment>
    <comment ref="Q1" authorId="0">
      <text>
        <r>
          <rPr>
            <sz val="10"/>
            <rFont val="Arial"/>
            <family val="2"/>
          </rPr>
          <t xml:space="preserve">Vintage + 29 for post-1989 allocations: the earliest the federal 30-year period can close. OHCS agreements often run longer (60 years for 9% awards under recent QAPs).</t>
        </r>
      </text>
    </comment>
    <comment ref="T1" authorId="0">
      <text>
        <r>
          <rPr>
            <sz val="10"/>
            <rFont val="Arial"/>
            <family val="2"/>
          </rPr>
          <t xml:space="preserve">Pre-filled where a later LIHTC record sits at the same address (likely resyndication) or the row is a duplicate. Clear the Y if that is wrong.</t>
        </r>
      </text>
    </comment>
  </commentList>
</comments>
</file>

<file path=xl/sharedStrings.xml><?xml version="1.0" encoding="utf-8"?>
<sst xmlns="http://schemas.openxmlformats.org/spreadsheetml/2006/main" count="4908" uniqueCount="2812">
  <si>
    <t xml:space="preserve">Oregon LIHTC off-market sourcing: lead tracker</t>
  </si>
  <si>
    <t xml:space="preserve">Search summary</t>
  </si>
  <si>
    <t xml:space="preserve">Metric</t>
  </si>
  <si>
    <t xml:space="preserve">Count</t>
  </si>
  <si>
    <t xml:space="preserve">Units</t>
  </si>
  <si>
    <t xml:space="preserve">Records scanned</t>
  </si>
  <si>
    <t xml:space="preserve">Superseded or duplicate records</t>
  </si>
  <si>
    <t xml:space="preserve">Unique leads scored</t>
  </si>
  <si>
    <t xml:space="preserve">Out of LIHTC program (HUD: no longer monitored)</t>
  </si>
  <si>
    <t xml:space="preserve">Below the 5-unit PuSH-CP threshold</t>
  </si>
  <si>
    <t xml:space="preserve">Verified expiration dates entered</t>
  </si>
  <si>
    <t xml:space="preserve">Pipeline actions by tier</t>
  </si>
  <si>
    <t xml:space="preserve">Tier</t>
  </si>
  <si>
    <t xml:space="preserve">Leads</t>
  </si>
  <si>
    <t xml:space="preserve">Share of leads</t>
  </si>
  <si>
    <t xml:space="preserve">Action</t>
  </si>
  <si>
    <t xml:space="preserve">Immediate</t>
  </si>
  <si>
    <t xml:space="preserve">Verify the restriction end date and owner this week; open direct owner or GP outreach.</t>
  </si>
  <si>
    <t xml:space="preserve">This week</t>
  </si>
  <si>
    <t xml:space="preserve">Pull the OHCS expiration forecast and county ownership records; fill the yellow columns; re-rank.</t>
  </si>
  <si>
    <t xml:space="preserve">Nurture</t>
  </si>
  <si>
    <t xml:space="preserve">Add to a quarterly watch list; re-score when vintage ages into a window.</t>
  </si>
  <si>
    <t xml:space="preserve">Low</t>
  </si>
  <si>
    <t xml:space="preserve">No action; inside the credit period or no signal.</t>
  </si>
  <si>
    <t xml:space="preserve">Total</t>
  </si>
  <si>
    <t xml:space="preserve">Signal distribution by play</t>
  </si>
  <si>
    <t xml:space="preserve">Play / lifecycle stage</t>
  </si>
  <si>
    <t xml:space="preserve">Avg score</t>
  </si>
  <si>
    <t xml:space="preserve">What it means</t>
  </si>
  <si>
    <t xml:space="preserve">Expiring: notice window (verified)</t>
  </si>
  <si>
    <t xml:space="preserve">Verified affordability end date inside the Oregon owner-notice window. Highest-priority outreach.</t>
  </si>
  <si>
    <t xml:space="preserve">Expired (verified)</t>
  </si>
  <si>
    <t xml:space="preserve">Verified end date has passed; tenant safe-harbour and any recorded right of first refusal may still apply.</t>
  </si>
  <si>
    <t xml:space="preserve">Expiring: 10-yr horizon (verified)</t>
  </si>
  <si>
    <t xml:space="preserve">Verified end date inside the 10-year forecast horizon.</t>
  </si>
  <si>
    <t xml:space="preserve">30-yr mark: notice window (est.)</t>
  </si>
  <si>
    <t xml:space="preserve">Federal minimum 30-year period closes within the notice window. Confirm the REUA term; many run longer.</t>
  </si>
  <si>
    <t xml:space="preserve">Past 30-yr mark (verify)</t>
  </si>
  <si>
    <t xml:space="preserve">Older than the federal 30-year minimum but still listed as monitored: either a longer state restriction or a recent expiry.</t>
  </si>
  <si>
    <t xml:space="preserve">Year-15 window</t>
  </si>
  <si>
    <t xml:space="preserve">Compliance period closing; limited partner exit, GP buyout or third-party sale in play.</t>
  </si>
  <si>
    <t xml:space="preserve">Recap window</t>
  </si>
  <si>
    <t xml:space="preserve">Years 18 and later of extended use; recapitalisation or resyndication candidate.</t>
  </si>
  <si>
    <t xml:space="preserve">Out of program</t>
  </si>
  <si>
    <t xml:space="preserve">HUD shows no longer monitored. Treat as a conventional asset and confirm current ownership.</t>
  </si>
  <si>
    <t xml:space="preserve">Pre-1990, still listed</t>
  </si>
  <si>
    <t xml:space="preserve">Pre-1990 allocation (15-year compliance only) still shown as active; likely stale data or another subsidy layer.</t>
  </si>
  <si>
    <t xml:space="preserve">Late compliance</t>
  </si>
  <si>
    <t xml:space="preserve">Years 11 to 12; too early for an exit conversation.</t>
  </si>
  <si>
    <t xml:space="preserve">Credit period</t>
  </si>
  <si>
    <t xml:space="preserve">Inside the 10-year credit period; not a lead.</t>
  </si>
  <si>
    <t xml:space="preserve">Unknown vintage</t>
  </si>
  <si>
    <t xml:space="preserve">HUD ID carries no year.</t>
  </si>
  <si>
    <t xml:space="preserve">Superseded record</t>
  </si>
  <si>
    <t xml:space="preserve">Replaced by a later allocation at the same address, or a duplicate row.</t>
  </si>
  <si>
    <t xml:space="preserve">Top 40 leads (live ranking; ties broken by unit count)</t>
  </si>
  <si>
    <t xml:space="preserve">Rank</t>
  </si>
  <si>
    <t xml:space="preserve">Project name</t>
  </si>
  <si>
    <t xml:space="preserve">City</t>
  </si>
  <si>
    <t xml:space="preserve">Vintage</t>
  </si>
  <si>
    <t xml:space="preserve">Score</t>
  </si>
  <si>
    <t xml:space="preserve">HUD ID</t>
  </si>
  <si>
    <t xml:space="preserve">Address</t>
  </si>
  <si>
    <t xml:space="preserve">ZIP</t>
  </si>
  <si>
    <t xml:space="preserve">Total units</t>
  </si>
  <si>
    <t xml:space="preserve">Low-income units</t>
  </si>
  <si>
    <t xml:space="preserve">Market-rate units</t>
  </si>
  <si>
    <t xml:space="preserve">HUD monitoring status</t>
  </si>
  <si>
    <t xml:space="preserve">Vintage (HUD ID year)</t>
  </si>
  <si>
    <t xml:space="preserve">Age (yrs)</t>
  </si>
  <si>
    <t xml:space="preserve">Year-15 close (est.)</t>
  </si>
  <si>
    <t xml:space="preserve">30-yr mark, federal minimum (est.)</t>
  </si>
  <si>
    <t xml:space="preserve">PuSH-CP size test (5+ units)</t>
  </si>
  <si>
    <t xml:space="preserve">Record flag</t>
  </si>
  <si>
    <t xml:space="preserve">Superseded? (Y)</t>
  </si>
  <si>
    <t xml:space="preserve">Verified expiration date</t>
  </si>
  <si>
    <t xml:space="preserve">Last transfer year</t>
  </si>
  <si>
    <t xml:space="preserve">Owner type</t>
  </si>
  <si>
    <t xml:space="preserve">Est. equity %</t>
  </si>
  <si>
    <t xml:space="preserve">Distress flag (Y)</t>
  </si>
  <si>
    <t xml:space="preserve">Other verified signals (0-3)</t>
  </si>
  <si>
    <t xml:space="preserve">Years to expiration</t>
  </si>
  <si>
    <t xml:space="preserve">Signals (count)</t>
  </si>
  <si>
    <t xml:space="preserve">Stacking pts</t>
  </si>
  <si>
    <t xml:space="preserve">Equity pts</t>
  </si>
  <si>
    <t xml:space="preserve">Time pts</t>
  </si>
  <si>
    <t xml:space="preserve">Tenure pts</t>
  </si>
  <si>
    <t xml:space="preserve">Condition pts</t>
  </si>
  <si>
    <t xml:space="preserve">Owner pts</t>
  </si>
  <si>
    <t xml:space="preserve">Sort key</t>
  </si>
  <si>
    <t xml:space="preserve">Owner / GP entity</t>
  </si>
  <si>
    <t xml:space="preserve">Contact</t>
  </si>
  <si>
    <t xml:space="preserve">Outreach status</t>
  </si>
  <si>
    <t xml:space="preserve">Notes / next step</t>
  </si>
  <si>
    <t xml:space="preserve">ORA19990155</t>
  </si>
  <si>
    <t xml:space="preserve">VILLAGE AT LOVEJOY FOUNTAIN</t>
  </si>
  <si>
    <t xml:space="preserve">245 SW LINCOLN ST</t>
  </si>
  <si>
    <t xml:space="preserve">PORTLAND</t>
  </si>
  <si>
    <t xml:space="preserve">97201</t>
  </si>
  <si>
    <t xml:space="preserve">Not Indicated</t>
  </si>
  <si>
    <t xml:space="preserve">ORA19990140</t>
  </si>
  <si>
    <t xml:space="preserve">ST ANTHONY VILLAGE</t>
  </si>
  <si>
    <t xml:space="preserve">3560 SE 79TH AVE</t>
  </si>
  <si>
    <t xml:space="preserve">97206</t>
  </si>
  <si>
    <t xml:space="preserve">ORA19970141</t>
  </si>
  <si>
    <t xml:space="preserve">PARKWAY VILLAGE APTS - SALEM</t>
  </si>
  <si>
    <t xml:space="preserve">3143 SEVENTH PL NE</t>
  </si>
  <si>
    <t xml:space="preserve">SALEM</t>
  </si>
  <si>
    <t xml:space="preserve">97303</t>
  </si>
  <si>
    <t xml:space="preserve">ORA19990055</t>
  </si>
  <si>
    <t xml:space="preserve">FIFTH AVE COURTS</t>
  </si>
  <si>
    <t xml:space="preserve">733 SW SECOND AVE</t>
  </si>
  <si>
    <t xml:space="preserve">97204</t>
  </si>
  <si>
    <t xml:space="preserve">ORA19970035</t>
  </si>
  <si>
    <t xml:space="preserve">FLOYD LIGHT APTS</t>
  </si>
  <si>
    <t xml:space="preserve">1031 SE 106TH AVE</t>
  </si>
  <si>
    <t xml:space="preserve">97216</t>
  </si>
  <si>
    <t xml:space="preserve">ORA19990040</t>
  </si>
  <si>
    <t xml:space="preserve">COLUMBIA VIEW APTS</t>
  </si>
  <si>
    <t xml:space="preserve">1695 OAK ST</t>
  </si>
  <si>
    <t xml:space="preserve">HOOD RIVER</t>
  </si>
  <si>
    <t xml:space="preserve">97031</t>
  </si>
  <si>
    <t xml:space="preserve">ORA19990005</t>
  </si>
  <si>
    <t xml:space="preserve">AMES CREEK COURT</t>
  </si>
  <si>
    <t xml:space="preserve">1815 AMES CREEK RD</t>
  </si>
  <si>
    <t xml:space="preserve">SWEET HOME</t>
  </si>
  <si>
    <t xml:space="preserve">97386</t>
  </si>
  <si>
    <t xml:space="preserve">ORA19990130</t>
  </si>
  <si>
    <t xml:space="preserve">RONDEL COURT</t>
  </si>
  <si>
    <t xml:space="preserve">180 FENTON AVE</t>
  </si>
  <si>
    <t xml:space="preserve">MOLALLA</t>
  </si>
  <si>
    <t xml:space="preserve">97038</t>
  </si>
  <si>
    <t xml:space="preserve">ORA19949091</t>
  </si>
  <si>
    <t xml:space="preserve">TWELFTH AVENUE TERRACE</t>
  </si>
  <si>
    <t xml:space="preserve">1529 SW 12TH AVE</t>
  </si>
  <si>
    <t xml:space="preserve">ORA19940065</t>
  </si>
  <si>
    <t xml:space="preserve">ST JAMES</t>
  </si>
  <si>
    <t xml:space="preserve">1320 SW TENTH AVE</t>
  </si>
  <si>
    <t xml:space="preserve">ORA19930062</t>
  </si>
  <si>
    <t xml:space="preserve">STONEYBROOK</t>
  </si>
  <si>
    <t xml:space="preserve">933 NW CANAL BLVD</t>
  </si>
  <si>
    <t xml:space="preserve">REDMOND</t>
  </si>
  <si>
    <t xml:space="preserve">97756</t>
  </si>
  <si>
    <t xml:space="preserve">ORA19980020</t>
  </si>
  <si>
    <t xml:space="preserve">BERRY RIDGE APTS</t>
  </si>
  <si>
    <t xml:space="preserve">2711 W POWELL BLVD</t>
  </si>
  <si>
    <t xml:space="preserve">GRESHAM</t>
  </si>
  <si>
    <t xml:space="preserve">97030</t>
  </si>
  <si>
    <t xml:space="preserve">ORA19999166</t>
  </si>
  <si>
    <t xml:space="preserve">BRIARCREEK APTS</t>
  </si>
  <si>
    <t xml:space="preserve">1008 NW BRIARCREEK WAY</t>
  </si>
  <si>
    <t xml:space="preserve">HILLSBORO</t>
  </si>
  <si>
    <t xml:space="preserve">97006</t>
  </si>
  <si>
    <t xml:space="preserve">ORA19970020</t>
  </si>
  <si>
    <t xml:space="preserve">BETHANY MEADOWS I</t>
  </si>
  <si>
    <t xml:space="preserve">16140 NW SPARTAN WAY</t>
  </si>
  <si>
    <t xml:space="preserve">97229</t>
  </si>
  <si>
    <t xml:space="preserve">ORA19970075</t>
  </si>
  <si>
    <t xml:space="preserve">PEARL COURT APTS</t>
  </si>
  <si>
    <t xml:space="preserve">920 NW KEARNEY ST</t>
  </si>
  <si>
    <t xml:space="preserve">97209</t>
  </si>
  <si>
    <t xml:space="preserve">ORA19970080</t>
  </si>
  <si>
    <t xml:space="preserve">PIER PARK APTS</t>
  </si>
  <si>
    <t xml:space="preserve">8734 N COLUMBIA BLVD</t>
  </si>
  <si>
    <t xml:space="preserve">97203</t>
  </si>
  <si>
    <t xml:space="preserve">ORA19989127</t>
  </si>
  <si>
    <t xml:space="preserve">YARDS AT UNION STATION A</t>
  </si>
  <si>
    <t xml:space="preserve">945 NW NAITO PKWY</t>
  </si>
  <si>
    <t xml:space="preserve">Shares address with ORA19999167 (phase, resyndication or duplicate)</t>
  </si>
  <si>
    <t xml:space="preserve">ORA19990065</t>
  </si>
  <si>
    <t xml:space="preserve">HAMILTON WEST APTS</t>
  </si>
  <si>
    <t xml:space="preserve">1212 SW CLAY ST</t>
  </si>
  <si>
    <t xml:space="preserve">ORA19980040</t>
  </si>
  <si>
    <t xml:space="preserve">BUCKMAN HEIGHTS</t>
  </si>
  <si>
    <t xml:space="preserve">430 NE 16TH AVE</t>
  </si>
  <si>
    <t xml:space="preserve">97232</t>
  </si>
  <si>
    <t xml:space="preserve">ORA19999167</t>
  </si>
  <si>
    <t xml:space="preserve">YARDS AT UNION STATION B</t>
  </si>
  <si>
    <t xml:space="preserve">Shares address with ORA19989127 (phase, resyndication or duplicate)</t>
  </si>
  <si>
    <t xml:space="preserve">ORA19980025</t>
  </si>
  <si>
    <t xml:space="preserve">BETHANY MEADOWS II</t>
  </si>
  <si>
    <t xml:space="preserve">16145 NW SPARTAN WAY</t>
  </si>
  <si>
    <t xml:space="preserve">ORA19980050</t>
  </si>
  <si>
    <t xml:space="preserve">CEDARWEST APTS</t>
  </si>
  <si>
    <t xml:space="preserve">825 WATT WAY</t>
  </si>
  <si>
    <t xml:space="preserve">BEND</t>
  </si>
  <si>
    <t xml:space="preserve">97701</t>
  </si>
  <si>
    <t xml:space="preserve">ORA19970135</t>
  </si>
  <si>
    <t xml:space="preserve">WILLOW CREEK COMMONS</t>
  </si>
  <si>
    <t xml:space="preserve">19145 SW ALEXANDER ST</t>
  </si>
  <si>
    <t xml:space="preserve">ALOHA</t>
  </si>
  <si>
    <t xml:space="preserve">97003</t>
  </si>
  <si>
    <t xml:space="preserve">ORA19980105</t>
  </si>
  <si>
    <t xml:space="preserve">STADIUM STATION</t>
  </si>
  <si>
    <t xml:space="preserve">737 SW 17TH AVE</t>
  </si>
  <si>
    <t xml:space="preserve">97205</t>
  </si>
  <si>
    <t xml:space="preserve">ORA19970085</t>
  </si>
  <si>
    <t xml:space="preserve">THE WESTSHORE</t>
  </si>
  <si>
    <t xml:space="preserve">222 SW PINE ST</t>
  </si>
  <si>
    <t xml:space="preserve">ORA19970120</t>
  </si>
  <si>
    <t xml:space="preserve">TERRACE VIEW APTS</t>
  </si>
  <si>
    <t xml:space="preserve">6685 SW SAGERT ST</t>
  </si>
  <si>
    <t xml:space="preserve">TUALATIN</t>
  </si>
  <si>
    <t xml:space="preserve">97062</t>
  </si>
  <si>
    <t xml:space="preserve">ORA19980090</t>
  </si>
  <si>
    <t xml:space="preserve">PARK AT EMERALD VILLAGE</t>
  </si>
  <si>
    <t xml:space="preserve">1950 N SECOND ST</t>
  </si>
  <si>
    <t xml:space="preserve">SPRINGFIELD</t>
  </si>
  <si>
    <t xml:space="preserve">97477</t>
  </si>
  <si>
    <t xml:space="preserve">ORA19980070</t>
  </si>
  <si>
    <t xml:space="preserve">GREENBRIAR APTS</t>
  </si>
  <si>
    <t xml:space="preserve">250 S LOCUST ST</t>
  </si>
  <si>
    <t xml:space="preserve">CANBY</t>
  </si>
  <si>
    <t xml:space="preserve">97013</t>
  </si>
  <si>
    <t xml:space="preserve">ORA19970015</t>
  </si>
  <si>
    <t xml:space="preserve">BELMONT DAIRY</t>
  </si>
  <si>
    <t xml:space="preserve">3340 SE MORRISON ST</t>
  </si>
  <si>
    <t xml:space="preserve">97214</t>
  </si>
  <si>
    <t xml:space="preserve">ORA19990060</t>
  </si>
  <si>
    <t xml:space="preserve">FOREST PARK APTS</t>
  </si>
  <si>
    <t xml:space="preserve">2545 COLUMBIA BLVD</t>
  </si>
  <si>
    <t xml:space="preserve">ST HELENS</t>
  </si>
  <si>
    <t xml:space="preserve">97051</t>
  </si>
  <si>
    <t xml:space="preserve">ORA19990015</t>
  </si>
  <si>
    <t xml:space="preserve">BRENTWOOD OAKS APTS</t>
  </si>
  <si>
    <t xml:space="preserve">3245 SW 182ND AVE</t>
  </si>
  <si>
    <t xml:space="preserve">ORA19990025</t>
  </si>
  <si>
    <t xml:space="preserve">CASCADE CROSSING</t>
  </si>
  <si>
    <t xml:space="preserve">10625 E BURNSIDE ST</t>
  </si>
  <si>
    <t xml:space="preserve">ORA19990115</t>
  </si>
  <si>
    <t xml:space="preserve">OAKWOOD MANOR</t>
  </si>
  <si>
    <t xml:space="preserve">1665 OAK PATCH RD</t>
  </si>
  <si>
    <t xml:space="preserve">EUGENE</t>
  </si>
  <si>
    <t xml:space="preserve">97402</t>
  </si>
  <si>
    <t xml:space="preserve">ORA19970030</t>
  </si>
  <si>
    <t xml:space="preserve">EMPIRE PLACE APTS</t>
  </si>
  <si>
    <t xml:space="preserve">314 NW FIFTH AVE</t>
  </si>
  <si>
    <t xml:space="preserve">ORA19970125</t>
  </si>
  <si>
    <t xml:space="preserve">VINE STREET COURTS PHASES I &amp; II</t>
  </si>
  <si>
    <t xml:space="preserve">2166 NE VINE ST</t>
  </si>
  <si>
    <t xml:space="preserve">ROSEBURG</t>
  </si>
  <si>
    <t xml:space="preserve">97470</t>
  </si>
  <si>
    <t xml:space="preserve">ORA19970005</t>
  </si>
  <si>
    <t xml:space="preserve">ALLEN FREEMONT PLAZA</t>
  </si>
  <si>
    <t xml:space="preserve">221 NE FREMONT ST</t>
  </si>
  <si>
    <t xml:space="preserve">97212</t>
  </si>
  <si>
    <t xml:space="preserve">ORA19980055</t>
  </si>
  <si>
    <t xml:space="preserve">CHAMPION PARK APTS</t>
  </si>
  <si>
    <t xml:space="preserve">4317 BROOKFIELD AVE</t>
  </si>
  <si>
    <t xml:space="preserve">TILLAMOOK</t>
  </si>
  <si>
    <t xml:space="preserve">97141</t>
  </si>
  <si>
    <t xml:space="preserve">Shares address with ORA20040030 (phase, resyndication or duplicate)</t>
  </si>
  <si>
    <t xml:space="preserve">ORA19990145</t>
  </si>
  <si>
    <t xml:space="preserve">VIEWCREST APTS</t>
  </si>
  <si>
    <t xml:space="preserve">525 SW 13TH PL</t>
  </si>
  <si>
    <t xml:space="preserve">HERMISTON</t>
  </si>
  <si>
    <t xml:space="preserve">97838</t>
  </si>
  <si>
    <t xml:space="preserve">ORA19970055</t>
  </si>
  <si>
    <t xml:space="preserve">LENTS VILLAGE APTS</t>
  </si>
  <si>
    <t xml:space="preserve">10325 SE HOLGATE BLVD</t>
  </si>
  <si>
    <t xml:space="preserve">97266</t>
  </si>
  <si>
    <t xml:space="preserve">ORA19990075</t>
  </si>
  <si>
    <t xml:space="preserve">JACOBS LANE</t>
  </si>
  <si>
    <t xml:space="preserve">3450 JACOBS LN</t>
  </si>
  <si>
    <t xml:space="preserve">ORA19980120</t>
  </si>
  <si>
    <t xml:space="preserve">WOODLEAF VILLAGE</t>
  </si>
  <si>
    <t xml:space="preserve">745 WOODLEAF LN</t>
  </si>
  <si>
    <t xml:space="preserve">97405</t>
  </si>
  <si>
    <t xml:space="preserve">ORA19990160</t>
  </si>
  <si>
    <t xml:space="preserve">VILLAGE GARDENS</t>
  </si>
  <si>
    <t xml:space="preserve">15230 NE SANDY BLVD</t>
  </si>
  <si>
    <t xml:space="preserve">97230</t>
  </si>
  <si>
    <t xml:space="preserve">ORA19970060</t>
  </si>
  <si>
    <t xml:space="preserve">MISSION CREEK</t>
  </si>
  <si>
    <t xml:space="preserve">51 UMATILLA LOOP</t>
  </si>
  <si>
    <t xml:space="preserve">PENDLETON</t>
  </si>
  <si>
    <t xml:space="preserve">97801</t>
  </si>
  <si>
    <t xml:space="preserve">ORA19989126</t>
  </si>
  <si>
    <t xml:space="preserve">SIERRA WEST</t>
  </si>
  <si>
    <t xml:space="preserve">356 SE 12TH AVE</t>
  </si>
  <si>
    <t xml:space="preserve">97123</t>
  </si>
  <si>
    <t xml:space="preserve">ORA19990080</t>
  </si>
  <si>
    <t xml:space="preserve">MACDONALD CTR ALF</t>
  </si>
  <si>
    <t xml:space="preserve">615 NW COUCH ST</t>
  </si>
  <si>
    <t xml:space="preserve">ORA19990100</t>
  </si>
  <si>
    <t xml:space="preserve">NEWPORT APTS</t>
  </si>
  <si>
    <t xml:space="preserve">125 NW 60TH ST</t>
  </si>
  <si>
    <t xml:space="preserve">NEWPORT</t>
  </si>
  <si>
    <t xml:space="preserve">97365</t>
  </si>
  <si>
    <t xml:space="preserve">ORA19980115</t>
  </si>
  <si>
    <t xml:space="preserve">WOLF RIDGE</t>
  </si>
  <si>
    <t xml:space="preserve">1301 E SANTIAM ST</t>
  </si>
  <si>
    <t xml:space="preserve">STAYTON</t>
  </si>
  <si>
    <t xml:space="preserve">97383</t>
  </si>
  <si>
    <t xml:space="preserve">ORA19980045</t>
  </si>
  <si>
    <t xml:space="preserve">CASCADE HOUSE AT HOPE VILLAGE</t>
  </si>
  <si>
    <t xml:space="preserve">1555 S IVY ST</t>
  </si>
  <si>
    <t xml:space="preserve">ORA19970040</t>
  </si>
  <si>
    <t xml:space="preserve">HAILEY PLACE APTS</t>
  </si>
  <si>
    <t xml:space="preserve">600 SW 30TH ST</t>
  </si>
  <si>
    <t xml:space="preserve">ORA19970070</t>
  </si>
  <si>
    <t xml:space="preserve">PARKVIEW VILLAGE APTS</t>
  </si>
  <si>
    <t xml:space="preserve">986 NW FOURTH ST</t>
  </si>
  <si>
    <t xml:space="preserve">ONTARIO</t>
  </si>
  <si>
    <t xml:space="preserve">97914</t>
  </si>
  <si>
    <t xml:space="preserve">ORA19980060</t>
  </si>
  <si>
    <t xml:space="preserve">GLADSTONE SQUARE</t>
  </si>
  <si>
    <t xml:space="preserve">12020 SE GLADSTONE ST</t>
  </si>
  <si>
    <t xml:space="preserve">ORA19990035</t>
  </si>
  <si>
    <t xml:space="preserve">CHENOWITH RIM APTS</t>
  </si>
  <si>
    <t xml:space="preserve">3640 W 13TH ST</t>
  </si>
  <si>
    <t xml:space="preserve">THE DALLES</t>
  </si>
  <si>
    <t xml:space="preserve">97058</t>
  </si>
  <si>
    <t xml:space="preserve">ORA19990070</t>
  </si>
  <si>
    <t xml:space="preserve">HOLGATE PLAZA APTS</t>
  </si>
  <si>
    <t xml:space="preserve">4333 SE 104TH AVE</t>
  </si>
  <si>
    <t xml:space="preserve">ORA19990110</t>
  </si>
  <si>
    <t xml:space="preserve">OAK TERRACE APTS</t>
  </si>
  <si>
    <t xml:space="preserve">2350 OAK ST</t>
  </si>
  <si>
    <t xml:space="preserve">FLORENCE</t>
  </si>
  <si>
    <t xml:space="preserve">97439</t>
  </si>
  <si>
    <t xml:space="preserve">ORA19990095</t>
  </si>
  <si>
    <t xml:space="preserve">MONTEBELLO</t>
  </si>
  <si>
    <t xml:space="preserve">220 SE 12TH AVE</t>
  </si>
  <si>
    <t xml:space="preserve">ORA19970010</t>
  </si>
  <si>
    <t xml:space="preserve">ANKENY WOODS</t>
  </si>
  <si>
    <t xml:space="preserve">12016 SE ANKENY ST</t>
  </si>
  <si>
    <t xml:space="preserve">ORA19990135</t>
  </si>
  <si>
    <t xml:space="preserve">SCOTT CREST PLAZA APTS</t>
  </si>
  <si>
    <t xml:space="preserve">13223 SE POWELL BLVD</t>
  </si>
  <si>
    <t xml:space="preserve">97236</t>
  </si>
  <si>
    <t xml:space="preserve">ORA19970050</t>
  </si>
  <si>
    <t xml:space="preserve">LAUREL GARDENS APTS</t>
  </si>
  <si>
    <t xml:space="preserve">1775 W 12TH AVE</t>
  </si>
  <si>
    <t xml:space="preserve">ORA19970105</t>
  </si>
  <si>
    <t xml:space="preserve">SIERRA VISTA APTS</t>
  </si>
  <si>
    <t xml:space="preserve">789 SIERRA DR</t>
  </si>
  <si>
    <t xml:space="preserve">ORA19970090</t>
  </si>
  <si>
    <t xml:space="preserve">RIVERSIDE APTS (PRINEVILLE)</t>
  </si>
  <si>
    <t xml:space="preserve">611 S MAIN ST</t>
  </si>
  <si>
    <t xml:space="preserve">PRINEVILLE</t>
  </si>
  <si>
    <t xml:space="preserve">97754</t>
  </si>
  <si>
    <t xml:space="preserve">ORA19990010</t>
  </si>
  <si>
    <t xml:space="preserve">AZALEA REACH APTS</t>
  </si>
  <si>
    <t xml:space="preserve">650 OLD COUNTRY RD</t>
  </si>
  <si>
    <t xml:space="preserve">BROOKINGS</t>
  </si>
  <si>
    <t xml:space="preserve">97415</t>
  </si>
  <si>
    <t xml:space="preserve">ORA19990085</t>
  </si>
  <si>
    <t xml:space="preserve">MARWOOD PLAZA APTS</t>
  </si>
  <si>
    <t xml:space="preserve">7200 SE WOODSTOCK BLVD</t>
  </si>
  <si>
    <t xml:space="preserve">ORA19970095</t>
  </si>
  <si>
    <t xml:space="preserve">SALMONBERRY KNOLL</t>
  </si>
  <si>
    <t xml:space="preserve">1250 S WAHANNA RD</t>
  </si>
  <si>
    <t xml:space="preserve">SEASIDE</t>
  </si>
  <si>
    <t xml:space="preserve">97138</t>
  </si>
  <si>
    <t xml:space="preserve">ORA19980095</t>
  </si>
  <si>
    <t xml:space="preserve">ROSS LANE</t>
  </si>
  <si>
    <t xml:space="preserve">2640 ROSS LN</t>
  </si>
  <si>
    <t xml:space="preserve">97404</t>
  </si>
  <si>
    <t xml:space="preserve">ORA19990125</t>
  </si>
  <si>
    <t xml:space="preserve">ROCKWOOD LANDING</t>
  </si>
  <si>
    <t xml:space="preserve">19045 SE YAMHILL ST</t>
  </si>
  <si>
    <t xml:space="preserve">97233</t>
  </si>
  <si>
    <t xml:space="preserve">ORA19970100</t>
  </si>
  <si>
    <t xml:space="preserve">SHOREWOOD APTS</t>
  </si>
  <si>
    <t xml:space="preserve">1121 SPRUCE ST</t>
  </si>
  <si>
    <t xml:space="preserve">CANNON BEACH</t>
  </si>
  <si>
    <t xml:space="preserve">97110</t>
  </si>
  <si>
    <t xml:space="preserve">ORA19970140</t>
  </si>
  <si>
    <t xml:space="preserve">WIND RIVER PLACE APTS</t>
  </si>
  <si>
    <t xml:space="preserve">955 SIEVERKROPP DR</t>
  </si>
  <si>
    <t xml:space="preserve">ORA19980010</t>
  </si>
  <si>
    <t xml:space="preserve">ABBEY HEIGHTS</t>
  </si>
  <si>
    <t xml:space="preserve">219 12TH ST</t>
  </si>
  <si>
    <t xml:space="preserve">LAFAYETTE</t>
  </si>
  <si>
    <t xml:space="preserve">97127</t>
  </si>
  <si>
    <t xml:space="preserve">ORA19980110</t>
  </si>
  <si>
    <t xml:space="preserve">STAYTON ELDER MANOR</t>
  </si>
  <si>
    <t xml:space="preserve">660 W IDA ST</t>
  </si>
  <si>
    <t xml:space="preserve">ORA19990020</t>
  </si>
  <si>
    <t xml:space="preserve">CANDALARIA APTS</t>
  </si>
  <si>
    <t xml:space="preserve">1009 SE 162ND AVE</t>
  </si>
  <si>
    <t xml:space="preserve">ORA19990030</t>
  </si>
  <si>
    <t xml:space="preserve">CASCADIA VILLAGE APTS</t>
  </si>
  <si>
    <t xml:space="preserve">1241 23RD AVE</t>
  </si>
  <si>
    <t xml:space="preserve">ORA19970115</t>
  </si>
  <si>
    <t xml:space="preserve">SUNSET APTS (ROSEBURG)</t>
  </si>
  <si>
    <t xml:space="preserve">1788 NE SUNSET ST</t>
  </si>
  <si>
    <t xml:space="preserve">ORA19980075</t>
  </si>
  <si>
    <t xml:space="preserve">HUDSON'S POINTE APTS</t>
  </si>
  <si>
    <t xml:space="preserve">1021 S DOWNING ST</t>
  </si>
  <si>
    <t xml:space="preserve">ORA19980100</t>
  </si>
  <si>
    <t xml:space="preserve">SOMMERVILLE PLACE APTS</t>
  </si>
  <si>
    <t xml:space="preserve">885 SOMMERVILLE LOOP</t>
  </si>
  <si>
    <t xml:space="preserve">HARRISBURG</t>
  </si>
  <si>
    <t xml:space="preserve">97446</t>
  </si>
  <si>
    <t xml:space="preserve">ORA19990150</t>
  </si>
  <si>
    <t xml:space="preserve">VILLA DE SUENOS</t>
  </si>
  <si>
    <t xml:space="preserve">6444 NE KILLINGSWORTH ST</t>
  </si>
  <si>
    <t xml:space="preserve">97218</t>
  </si>
  <si>
    <t xml:space="preserve">ORA19970025</t>
  </si>
  <si>
    <t xml:space="preserve">BLUE HERON HOLLOW</t>
  </si>
  <si>
    <t xml:space="preserve">600 CALIFORNIA AVE</t>
  </si>
  <si>
    <t xml:space="preserve">VERNONIA</t>
  </si>
  <si>
    <t xml:space="preserve">97064</t>
  </si>
  <si>
    <t xml:space="preserve">ORA19970130</t>
  </si>
  <si>
    <t xml:space="preserve">WEST PARK PLACE APTS</t>
  </si>
  <si>
    <t xml:space="preserve">1750 W TENTH ST</t>
  </si>
  <si>
    <t xml:space="preserve">ORA19990120</t>
  </si>
  <si>
    <t xml:space="preserve">PINEVIEW APTS</t>
  </si>
  <si>
    <t xml:space="preserve">304 W ALDER ST</t>
  </si>
  <si>
    <t xml:space="preserve">JOSEPH</t>
  </si>
  <si>
    <t xml:space="preserve">97846</t>
  </si>
  <si>
    <t xml:space="preserve">ORA19970045</t>
  </si>
  <si>
    <t xml:space="preserve">KELLY PLACE APTS</t>
  </si>
  <si>
    <t xml:space="preserve">1215 NE KELLY AVE</t>
  </si>
  <si>
    <t xml:space="preserve">ORA19980085</t>
  </si>
  <si>
    <t xml:space="preserve">MYRTLE TERRACE</t>
  </si>
  <si>
    <t xml:space="preserve">1135 SIMPSON ST</t>
  </si>
  <si>
    <t xml:space="preserve">MYRTLE CREEK</t>
  </si>
  <si>
    <t xml:space="preserve">ORA19990105</t>
  </si>
  <si>
    <t xml:space="preserve">OAK PLAZA APTS</t>
  </si>
  <si>
    <t xml:space="preserve">1265 SALEM AVE SE</t>
  </si>
  <si>
    <t xml:space="preserve">ALBANY</t>
  </si>
  <si>
    <t xml:space="preserve">97321</t>
  </si>
  <si>
    <t xml:space="preserve">ORA19990090</t>
  </si>
  <si>
    <t xml:space="preserve">MINERVA PLAZA APTS</t>
  </si>
  <si>
    <t xml:space="preserve">6633 N OBERLIN ST</t>
  </si>
  <si>
    <t xml:space="preserve">ORA19990045</t>
  </si>
  <si>
    <t xml:space="preserve">COTTONWOOD APTS</t>
  </si>
  <si>
    <t xml:space="preserve">2 SW MILL ST</t>
  </si>
  <si>
    <t xml:space="preserve">ORA19980030</t>
  </si>
  <si>
    <t xml:space="preserve">BLUEBELLE DEVELOPMENT I</t>
  </si>
  <si>
    <t xml:space="preserve">249 S 41ST PL</t>
  </si>
  <si>
    <t xml:space="preserve">97478</t>
  </si>
  <si>
    <t xml:space="preserve">ORA19970110</t>
  </si>
  <si>
    <t xml:space="preserve">SUNSET APTS (ONTARIO)</t>
  </si>
  <si>
    <t xml:space="preserve">82 SUNSET DR</t>
  </si>
  <si>
    <t xml:space="preserve">ORA19980035</t>
  </si>
  <si>
    <t xml:space="preserve">BLUEBELLE DEVELOPMENT II</t>
  </si>
  <si>
    <t xml:space="preserve">1061 S ST</t>
  </si>
  <si>
    <t xml:space="preserve">ORA20100035</t>
  </si>
  <si>
    <t xml:space="preserve">CREST BUTTE APTS</t>
  </si>
  <si>
    <t xml:space="preserve">1695 NE PURCELL BLVD</t>
  </si>
  <si>
    <t xml:space="preserve">ORA19960045</t>
  </si>
  <si>
    <t xml:space="preserve">KINGSBERRY HEIGHTS</t>
  </si>
  <si>
    <t xml:space="preserve">14290 MARJORIE LN</t>
  </si>
  <si>
    <t xml:space="preserve">OREGON CITY</t>
  </si>
  <si>
    <t xml:space="preserve">97045</t>
  </si>
  <si>
    <t xml:space="preserve">ORA19930005</t>
  </si>
  <si>
    <t xml:space="preserve">BRISTOL WOODS PHASES I &amp; II</t>
  </si>
  <si>
    <t xml:space="preserve">1201 NE EIGHTH ST</t>
  </si>
  <si>
    <t xml:space="preserve">ORA19900010</t>
  </si>
  <si>
    <t xml:space="preserve">BAYRIDGE APTS</t>
  </si>
  <si>
    <t xml:space="preserve">17520 NW CORNELL RD</t>
  </si>
  <si>
    <t xml:space="preserve">BEAVERTON</t>
  </si>
  <si>
    <t xml:space="preserve">ORA19930045</t>
  </si>
  <si>
    <t xml:space="preserve">ORCHARD PARK APTS</t>
  </si>
  <si>
    <t xml:space="preserve">4100 KACEY CIR NE</t>
  </si>
  <si>
    <t xml:space="preserve">97305</t>
  </si>
  <si>
    <t xml:space="preserve">ORA19930065</t>
  </si>
  <si>
    <t xml:space="preserve">TUALATIN VIEW APTS I</t>
  </si>
  <si>
    <t xml:space="preserve">18480 SW BOONES FERRY RD</t>
  </si>
  <si>
    <t xml:space="preserve">97224</t>
  </si>
  <si>
    <t xml:space="preserve">ORA19940089</t>
  </si>
  <si>
    <t xml:space="preserve">TUALATIN VIEW APTS II</t>
  </si>
  <si>
    <t xml:space="preserve">DURHAM</t>
  </si>
  <si>
    <t xml:space="preserve">ORA19950120</t>
  </si>
  <si>
    <t xml:space="preserve">VILLA DE CLARA VISTA</t>
  </si>
  <si>
    <t xml:space="preserve">5300 NE CULLY BLVD</t>
  </si>
  <si>
    <t xml:space="preserve">ORA19910085</t>
  </si>
  <si>
    <t xml:space="preserve">WOODSPRING APTS</t>
  </si>
  <si>
    <t xml:space="preserve">16100 SW 113TH AVE</t>
  </si>
  <si>
    <t xml:space="preserve">TIGARD</t>
  </si>
  <si>
    <t xml:space="preserve">ORA19960025</t>
  </si>
  <si>
    <t xml:space="preserve">CHERRY RIDGE</t>
  </si>
  <si>
    <t xml:space="preserve">2295 SW STURGES LN</t>
  </si>
  <si>
    <t xml:space="preserve">TROUTDALE</t>
  </si>
  <si>
    <t xml:space="preserve">97060</t>
  </si>
  <si>
    <t xml:space="preserve">ORA19900055</t>
  </si>
  <si>
    <t xml:space="preserve">HENRY BUILDING</t>
  </si>
  <si>
    <t xml:space="preserve">309 SW FOURTH AVE</t>
  </si>
  <si>
    <t xml:space="preserve">ORA19920030</t>
  </si>
  <si>
    <t xml:space="preserve">KING'S GARDEN</t>
  </si>
  <si>
    <t xml:space="preserve">2700 NE 205TH AVE</t>
  </si>
  <si>
    <t xml:space="preserve">FAIRVIEW</t>
  </si>
  <si>
    <t xml:space="preserve">97024</t>
  </si>
  <si>
    <t xml:space="preserve">ORA19900035</t>
  </si>
  <si>
    <t xml:space="preserve">COUNTRY VIEW APTS</t>
  </si>
  <si>
    <t xml:space="preserve">15810 NE SANDY BLVD</t>
  </si>
  <si>
    <t xml:space="preserve">ORA19959131</t>
  </si>
  <si>
    <t xml:space="preserve">VILLA DE CLARA VISTA (VISTA DE ROSAS,CULLY PLACE)</t>
  </si>
  <si>
    <t xml:space="preserve">6706 NE KILLINGSWORTH</t>
  </si>
  <si>
    <t xml:space="preserve">ORA19920005</t>
  </si>
  <si>
    <t xml:space="preserve">ALDER HOUSE</t>
  </si>
  <si>
    <t xml:space="preserve">523 SW 13TH AVE</t>
  </si>
  <si>
    <t xml:space="preserve">ORA19910040</t>
  </si>
  <si>
    <t xml:space="preserve">HOLIDAY PARK GARDENS</t>
  </si>
  <si>
    <t xml:space="preserve">1051 E PARK ST</t>
  </si>
  <si>
    <t xml:space="preserve">GRANTS PASS</t>
  </si>
  <si>
    <t xml:space="preserve">97527</t>
  </si>
  <si>
    <t xml:space="preserve">ORA19960020</t>
  </si>
  <si>
    <t xml:space="preserve">CHERRY BLOSSOM</t>
  </si>
  <si>
    <t xml:space="preserve">10570 SE CHERRY BLOSSOM DR</t>
  </si>
  <si>
    <t xml:space="preserve">ORA19940086</t>
  </si>
  <si>
    <t xml:space="preserve">12TH AVE TERRACE</t>
  </si>
  <si>
    <t xml:space="preserve">1515 SW 12TH AVE</t>
  </si>
  <si>
    <t xml:space="preserve">ORA19960030</t>
  </si>
  <si>
    <t xml:space="preserve">HAWTHORNE VILLA</t>
  </si>
  <si>
    <t xml:space="preserve">7709 SW PFAFFLE ST</t>
  </si>
  <si>
    <t xml:space="preserve">97223</t>
  </si>
  <si>
    <t xml:space="preserve">ORA19930070</t>
  </si>
  <si>
    <t xml:space="preserve">VILLAGE EAST APTS</t>
  </si>
  <si>
    <t xml:space="preserve">108 VILLAGE E WAY SE</t>
  </si>
  <si>
    <t xml:space="preserve">97317</t>
  </si>
  <si>
    <t xml:space="preserve">ORA19950075</t>
  </si>
  <si>
    <t xml:space="preserve">MARK 0 HATFIELD BLDG</t>
  </si>
  <si>
    <t xml:space="preserve">718 W BURNSIDE ST</t>
  </si>
  <si>
    <t xml:space="preserve">ORA19920035</t>
  </si>
  <si>
    <t xml:space="preserve">LANCASTER TERRACE</t>
  </si>
  <si>
    <t xml:space="preserve">4510 N NEWCASTLE CIR NE</t>
  </si>
  <si>
    <t xml:space="preserve">ORA19940020</t>
  </si>
  <si>
    <t xml:space="preserve">HELEN ANN SWINDELLS BLDG</t>
  </si>
  <si>
    <t xml:space="preserve">10 NW BROADWAY</t>
  </si>
  <si>
    <t xml:space="preserve">ORA19930035</t>
  </si>
  <si>
    <t xml:space="preserve">MCKENZIE MEADOW APTS</t>
  </si>
  <si>
    <t xml:space="preserve">715 OAKDALE AVE</t>
  </si>
  <si>
    <t xml:space="preserve">ORA19920055</t>
  </si>
  <si>
    <t xml:space="preserve">SALLY MCCRACKEN BUILDING</t>
  </si>
  <si>
    <t xml:space="preserve">220 NW SIXTH AVE</t>
  </si>
  <si>
    <t xml:space="preserve">ORA19950090</t>
  </si>
  <si>
    <t xml:space="preserve">PETER PAULSON APTS</t>
  </si>
  <si>
    <t xml:space="preserve">1530 SW 13TH AVE</t>
  </si>
  <si>
    <t xml:space="preserve">ORA19960010</t>
  </si>
  <si>
    <t xml:space="preserve">BARNETT TOWNHOMES</t>
  </si>
  <si>
    <t xml:space="preserve">1852 E BARNETT RD</t>
  </si>
  <si>
    <t xml:space="preserve">MEDFORD</t>
  </si>
  <si>
    <t xml:space="preserve">97504</t>
  </si>
  <si>
    <t xml:space="preserve">ORA19950100</t>
  </si>
  <si>
    <t xml:space="preserve">RIDGE APTS</t>
  </si>
  <si>
    <t xml:space="preserve">3232 SE HARBOR DR</t>
  </si>
  <si>
    <t xml:space="preserve">LINCOLN CITY</t>
  </si>
  <si>
    <t xml:space="preserve">97367</t>
  </si>
  <si>
    <t xml:space="preserve">ORA19950020</t>
  </si>
  <si>
    <t xml:space="preserve">BROOKLAWN APTS</t>
  </si>
  <si>
    <t xml:space="preserve">2070 QUEEN AVE SW</t>
  </si>
  <si>
    <t xml:space="preserve">ORA19900065</t>
  </si>
  <si>
    <t xml:space="preserve">MEDFORD HOTEL APTS</t>
  </si>
  <si>
    <t xml:space="preserve">406 W MAIN ST</t>
  </si>
  <si>
    <t xml:space="preserve">97501</t>
  </si>
  <si>
    <t xml:space="preserve">ORA19940085</t>
  </si>
  <si>
    <t xml:space="preserve">WILLOW GLEN</t>
  </si>
  <si>
    <t xml:space="preserve">1200 CHERRY ST</t>
  </si>
  <si>
    <t xml:space="preserve">CENTRAL POINT</t>
  </si>
  <si>
    <t xml:space="preserve">97502</t>
  </si>
  <si>
    <t xml:space="preserve">ORA19910070</t>
  </si>
  <si>
    <t xml:space="preserve">GRESHAM VILLAGE SQUARE</t>
  </si>
  <si>
    <t xml:space="preserve">1625 SE ROBERTS DR</t>
  </si>
  <si>
    <t xml:space="preserve">97080</t>
  </si>
  <si>
    <t xml:space="preserve">ORA19920060</t>
  </si>
  <si>
    <t xml:space="preserve">SHORELINE</t>
  </si>
  <si>
    <t xml:space="preserve">4 NW SECOND AVE</t>
  </si>
  <si>
    <t xml:space="preserve">ORA19930020</t>
  </si>
  <si>
    <t xml:space="preserve">HERITAGE PLACE</t>
  </si>
  <si>
    <t xml:space="preserve">2915 NE HEMBREE ST</t>
  </si>
  <si>
    <t xml:space="preserve">MCMINNVILLE</t>
  </si>
  <si>
    <t xml:space="preserve">97128</t>
  </si>
  <si>
    <t xml:space="preserve">ORA19930060</t>
  </si>
  <si>
    <t xml:space="preserve">SOUTHVIEW TERRACE</t>
  </si>
  <si>
    <t xml:space="preserve">375 FAIRVIEW AVE SE</t>
  </si>
  <si>
    <t xml:space="preserve">97302</t>
  </si>
  <si>
    <t xml:space="preserve">ORA19939071</t>
  </si>
  <si>
    <t xml:space="preserve">OAK VIEW GARDENS</t>
  </si>
  <si>
    <t xml:space="preserve">401 NE ANDERSON ST</t>
  </si>
  <si>
    <t xml:space="preserve">97526</t>
  </si>
  <si>
    <t xml:space="preserve">ORA19940060</t>
  </si>
  <si>
    <t xml:space="preserve">ROGUE VIEW GARDENS</t>
  </si>
  <si>
    <t xml:space="preserve">1100 FRUITDALE DR</t>
  </si>
  <si>
    <t xml:space="preserve">ORA19960065</t>
  </si>
  <si>
    <t xml:space="preserve">VICTORIAN INN</t>
  </si>
  <si>
    <t xml:space="preserve">2621 E BURNSIDE ST</t>
  </si>
  <si>
    <t xml:space="preserve">ORA19940030</t>
  </si>
  <si>
    <t xml:space="preserve">MORRISON PARK</t>
  </si>
  <si>
    <t xml:space="preserve">803 SW MORRISON ST</t>
  </si>
  <si>
    <t xml:space="preserve">ORA19950035</t>
  </si>
  <si>
    <t xml:space="preserve">DAWSON PARK PLAZA APTS</t>
  </si>
  <si>
    <t xml:space="preserve">113 N MORRIS ST</t>
  </si>
  <si>
    <t xml:space="preserve">97227</t>
  </si>
  <si>
    <t xml:space="preserve">ORA19910030</t>
  </si>
  <si>
    <t xml:space="preserve">GRANTS PASS SENIOR HOUSING</t>
  </si>
  <si>
    <t xml:space="preserve">1465 NE TENTH ST</t>
  </si>
  <si>
    <t xml:space="preserve">ORA19920015</t>
  </si>
  <si>
    <t xml:space="preserve">ENGLEWOOD WEST</t>
  </si>
  <si>
    <t xml:space="preserve">1068 PARK AVE NE</t>
  </si>
  <si>
    <t xml:space="preserve">97301</t>
  </si>
  <si>
    <t xml:space="preserve">ORA19950005</t>
  </si>
  <si>
    <t xml:space="preserve">APPLEGATE TRAIL APTS</t>
  </si>
  <si>
    <t xml:space="preserve">4520 BRISTOL AVE</t>
  </si>
  <si>
    <t xml:space="preserve">KLAMATH FALLS</t>
  </si>
  <si>
    <t xml:space="preserve">97603</t>
  </si>
  <si>
    <t xml:space="preserve">ORA19910012</t>
  </si>
  <si>
    <t xml:space="preserve">BENJAMIN'S CORNER</t>
  </si>
  <si>
    <t xml:space="preserve">2900 SE 38TH CT</t>
  </si>
  <si>
    <t xml:space="preserve">ORA19950045</t>
  </si>
  <si>
    <t xml:space="preserve">HARBECK VILLAGE</t>
  </si>
  <si>
    <t xml:space="preserve">1760 HARBECK RD</t>
  </si>
  <si>
    <t xml:space="preserve">ORA19960005</t>
  </si>
  <si>
    <t xml:space="preserve">ALBINA CORNER</t>
  </si>
  <si>
    <t xml:space="preserve">409 NE SAN RAFAEL ST</t>
  </si>
  <si>
    <t xml:space="preserve">ORA19960060</t>
  </si>
  <si>
    <t xml:space="preserve">SUMMIT</t>
  </si>
  <si>
    <t xml:space="preserve">90025 E GOVERNMENT CAMP LOOP</t>
  </si>
  <si>
    <t xml:space="preserve">GOVERNMENT CAMP</t>
  </si>
  <si>
    <t xml:space="preserve">97028</t>
  </si>
  <si>
    <t xml:space="preserve">ORA19920045</t>
  </si>
  <si>
    <t xml:space="preserve">MOUNTAIN CREST APTS</t>
  </si>
  <si>
    <t xml:space="preserve">607 SW SECOND ST</t>
  </si>
  <si>
    <t xml:space="preserve">ENTERPRISE</t>
  </si>
  <si>
    <t xml:space="preserve">97828</t>
  </si>
  <si>
    <t xml:space="preserve">ORA19969076</t>
  </si>
  <si>
    <t xml:space="preserve">OAKRIDGE PARK</t>
  </si>
  <si>
    <t xml:space="preserve">4255 OAKRIDGE RD</t>
  </si>
  <si>
    <t xml:space="preserve">LAKE OSWEGO</t>
  </si>
  <si>
    <t xml:space="preserve">97035</t>
  </si>
  <si>
    <t xml:space="preserve">ORA19910010</t>
  </si>
  <si>
    <t xml:space="preserve">ARENDS PLACE APTS II</t>
  </si>
  <si>
    <t xml:space="preserve">2126 TUCKER RD</t>
  </si>
  <si>
    <t xml:space="preserve">ORA19900005</t>
  </si>
  <si>
    <t xml:space="preserve">ASHLEY GARDEN APTS</t>
  </si>
  <si>
    <t xml:space="preserve">245 TOLMAN CREEK RD</t>
  </si>
  <si>
    <t xml:space="preserve">ASHLAND</t>
  </si>
  <si>
    <t xml:space="preserve">97520</t>
  </si>
  <si>
    <t xml:space="preserve">ORA19900090</t>
  </si>
  <si>
    <t xml:space="preserve">WILLOW CREEK APTS</t>
  </si>
  <si>
    <t xml:space="preserve">410 NE OAK ST</t>
  </si>
  <si>
    <t xml:space="preserve">MADRAS</t>
  </si>
  <si>
    <t xml:space="preserve">97741</t>
  </si>
  <si>
    <t xml:space="preserve">ORA19920040</t>
  </si>
  <si>
    <t xml:space="preserve">MARY SKINNER APTS</t>
  </si>
  <si>
    <t xml:space="preserve">335 W SECOND AVE</t>
  </si>
  <si>
    <t xml:space="preserve">97401</t>
  </si>
  <si>
    <t xml:space="preserve">ORA19940088</t>
  </si>
  <si>
    <t xml:space="preserve">KINNAMAN TOWNHOMES</t>
  </si>
  <si>
    <t xml:space="preserve">17400 SW KINNAMAN RD</t>
  </si>
  <si>
    <t xml:space="preserve">ORA19950080</t>
  </si>
  <si>
    <t xml:space="preserve">MORROW ESTATES</t>
  </si>
  <si>
    <t xml:space="preserve">327 NE MARSHALL LOOP</t>
  </si>
  <si>
    <t xml:space="preserve">BOARDMAN</t>
  </si>
  <si>
    <t xml:space="preserve">97818</t>
  </si>
  <si>
    <t xml:space="preserve">ORA19950110</t>
  </si>
  <si>
    <t xml:space="preserve">SALMON RUN</t>
  </si>
  <si>
    <t xml:space="preserve">7035 NE ECHO CT</t>
  </si>
  <si>
    <t xml:space="preserve">ORA19910020</t>
  </si>
  <si>
    <t xml:space="preserve">CREEKSIDE VILLAGE APTS</t>
  </si>
  <si>
    <t xml:space="preserve">1953 SPRUCE DR</t>
  </si>
  <si>
    <t xml:space="preserve">ORA19930050</t>
  </si>
  <si>
    <t xml:space="preserve">PARKVIEW APTS</t>
  </si>
  <si>
    <t xml:space="preserve">419 S MAIN AVE</t>
  </si>
  <si>
    <t xml:space="preserve">WARRENTON</t>
  </si>
  <si>
    <t xml:space="preserve">97146</t>
  </si>
  <si>
    <t xml:space="preserve">ORA19940010</t>
  </si>
  <si>
    <t xml:space="preserve">ELK CREEK TERRACE APTS</t>
  </si>
  <si>
    <t xml:space="preserve">357 ELK CREEK RD</t>
  </si>
  <si>
    <t xml:space="preserve">ORA19949002</t>
  </si>
  <si>
    <t xml:space="preserve">HARVARD STREET PHASE II</t>
  </si>
  <si>
    <t xml:space="preserve">1592 HARVARD ST</t>
  </si>
  <si>
    <t xml:space="preserve">BANDON</t>
  </si>
  <si>
    <t xml:space="preserve">97411</t>
  </si>
  <si>
    <t xml:space="preserve">ORA19930055</t>
  </si>
  <si>
    <t xml:space="preserve">SAGE COURT</t>
  </si>
  <si>
    <t xml:space="preserve">1300 W SUNLAND AVE</t>
  </si>
  <si>
    <t xml:space="preserve">ORA19900045</t>
  </si>
  <si>
    <t xml:space="preserve">EVERGREEN GARDEN APTS</t>
  </si>
  <si>
    <t xml:space="preserve">3810 12TH ST</t>
  </si>
  <si>
    <t xml:space="preserve">ORA19920020</t>
  </si>
  <si>
    <t xml:space="preserve">FRANKLIN PLACE APTS</t>
  </si>
  <si>
    <t xml:space="preserve">317 ECOLS ST S</t>
  </si>
  <si>
    <t xml:space="preserve">MONMOUTH</t>
  </si>
  <si>
    <t xml:space="preserve">97361</t>
  </si>
  <si>
    <t xml:space="preserve">ORA19940087</t>
  </si>
  <si>
    <t xml:space="preserve">JETTY SENIOR APTS</t>
  </si>
  <si>
    <t xml:space="preserve">426 SE JETTY AVE</t>
  </si>
  <si>
    <t xml:space="preserve">ORA19960035</t>
  </si>
  <si>
    <t xml:space="preserve">KEARNEY HOUSE</t>
  </si>
  <si>
    <t xml:space="preserve">850 NW 20TH AVE</t>
  </si>
  <si>
    <t xml:space="preserve">ORA19960040</t>
  </si>
  <si>
    <t xml:space="preserve">KENT APTS</t>
  </si>
  <si>
    <t xml:space="preserve">31845 NW KAYBERN STREET</t>
  </si>
  <si>
    <t xml:space="preserve">NORTH PLAINS</t>
  </si>
  <si>
    <t xml:space="preserve">ORA19900030</t>
  </si>
  <si>
    <t xml:space="preserve">BUTTE CREEK APTS</t>
  </si>
  <si>
    <t xml:space="preserve">115 ONYX ST</t>
  </si>
  <si>
    <t xml:space="preserve">EAGLE POINT</t>
  </si>
  <si>
    <t xml:space="preserve">97524</t>
  </si>
  <si>
    <t xml:space="preserve">ORA19950040</t>
  </si>
  <si>
    <t xml:space="preserve">GABLE PARK</t>
  </si>
  <si>
    <t xml:space="preserve">2544 GABLE RD</t>
  </si>
  <si>
    <t xml:space="preserve">ORA19950115</t>
  </si>
  <si>
    <t xml:space="preserve">TAMARACK COURT</t>
  </si>
  <si>
    <t xml:space="preserve">1613 21ST ST</t>
  </si>
  <si>
    <t xml:space="preserve">LA GRANDE</t>
  </si>
  <si>
    <t xml:space="preserve">97850</t>
  </si>
  <si>
    <t xml:space="preserve">ORA19950125</t>
  </si>
  <si>
    <t xml:space="preserve">WALNUT PARK DUPLEXES OLTC</t>
  </si>
  <si>
    <t xml:space="preserve">1366 KELLER ST</t>
  </si>
  <si>
    <t xml:space="preserve">ORA19950130</t>
  </si>
  <si>
    <t xml:space="preserve">WINDSONG SENIOR APTS</t>
  </si>
  <si>
    <t xml:space="preserve">1365 SPRUCE ST</t>
  </si>
  <si>
    <t xml:space="preserve">ORA19910060</t>
  </si>
  <si>
    <t xml:space="preserve">MEADOW GLEN</t>
  </si>
  <si>
    <t xml:space="preserve">4210 MAROLF PL</t>
  </si>
  <si>
    <t xml:space="preserve">ORA19950085</t>
  </si>
  <si>
    <t xml:space="preserve">PACIFIC PINES APTS</t>
  </si>
  <si>
    <t xml:space="preserve">859 SE CHICAGO STREET</t>
  </si>
  <si>
    <t xml:space="preserve">ORA19930030</t>
  </si>
  <si>
    <t xml:space="preserve">MAYFIELD COURT</t>
  </si>
  <si>
    <t xml:space="preserve">17675 SE PINE ST</t>
  </si>
  <si>
    <t xml:space="preserve">ORA19939002</t>
  </si>
  <si>
    <t xml:space="preserve">HARVARD STREET PHASE I</t>
  </si>
  <si>
    <t xml:space="preserve">1502 HARVARD ST</t>
  </si>
  <si>
    <t xml:space="preserve">ORA19910015</t>
  </si>
  <si>
    <t xml:space="preserve">CAMELIA</t>
  </si>
  <si>
    <t xml:space="preserve">13145 SE DIVISION ST</t>
  </si>
  <si>
    <t xml:space="preserve">ORA19950060</t>
  </si>
  <si>
    <t xml:space="preserve">HILLCREST APTS</t>
  </si>
  <si>
    <t xml:space="preserve">154 SUNSET DR</t>
  </si>
  <si>
    <t xml:space="preserve">ORA19900075</t>
  </si>
  <si>
    <t xml:space="preserve">PROVIDENCE PARK</t>
  </si>
  <si>
    <t xml:space="preserve">1009 NE 47TH AVE</t>
  </si>
  <si>
    <t xml:space="preserve">97213</t>
  </si>
  <si>
    <t xml:space="preserve">ORA19940050</t>
  </si>
  <si>
    <t xml:space="preserve">PRINCETON COURT</t>
  </si>
  <si>
    <t xml:space="preserve">846 W PRINCETON AVE</t>
  </si>
  <si>
    <t xml:space="preserve">97471</t>
  </si>
  <si>
    <t xml:space="preserve">ORA19940055</t>
  </si>
  <si>
    <t xml:space="preserve">REDMOND TRIANGLE HOUSING</t>
  </si>
  <si>
    <t xml:space="preserve">767 NW CANAL BLVD</t>
  </si>
  <si>
    <t xml:space="preserve">ORA19960070</t>
  </si>
  <si>
    <t xml:space="preserve">WILLAKENZIE TOWNHOUSES</t>
  </si>
  <si>
    <t xml:space="preserve">3190 WILLAKENZIE RD</t>
  </si>
  <si>
    <t xml:space="preserve">ORA19910035</t>
  </si>
  <si>
    <t xml:space="preserve">HIGHLAND VIEW APTS</t>
  </si>
  <si>
    <t xml:space="preserve">800 N 15TH AVE</t>
  </si>
  <si>
    <t xml:space="preserve">ELGIN</t>
  </si>
  <si>
    <t xml:space="preserve">97827</t>
  </si>
  <si>
    <t xml:space="preserve">ORA19910080</t>
  </si>
  <si>
    <t xml:space="preserve">WINTERGREEN APTS</t>
  </si>
  <si>
    <t xml:space="preserve">2050 SW TIMBER AVE</t>
  </si>
  <si>
    <t xml:space="preserve">ORA19930010</t>
  </si>
  <si>
    <t xml:space="preserve">CARRIAGE PLACE</t>
  </si>
  <si>
    <t xml:space="preserve">995 N SHERWOOD BLVD</t>
  </si>
  <si>
    <t xml:space="preserve">SHERWOOD</t>
  </si>
  <si>
    <t xml:space="preserve">ORA19940040</t>
  </si>
  <si>
    <t xml:space="preserve">MOUNTAIN GLEN APTS</t>
  </si>
  <si>
    <t xml:space="preserve">155 PIONEER DR</t>
  </si>
  <si>
    <t xml:space="preserve">HEPPNER</t>
  </si>
  <si>
    <t xml:space="preserve">97836</t>
  </si>
  <si>
    <t xml:space="preserve">ORA19950025</t>
  </si>
  <si>
    <t xml:space="preserve">CAMELLIA COURT</t>
  </si>
  <si>
    <t xml:space="preserve">601 SITKA AVE</t>
  </si>
  <si>
    <t xml:space="preserve">NEWBERG</t>
  </si>
  <si>
    <t xml:space="preserve">97132</t>
  </si>
  <si>
    <t xml:space="preserve">ORA19960055</t>
  </si>
  <si>
    <t xml:space="preserve">MAC MACDONALD</t>
  </si>
  <si>
    <t xml:space="preserve">1055 BENNETT LN</t>
  </si>
  <si>
    <t xml:space="preserve">ORA19940025</t>
  </si>
  <si>
    <t xml:space="preserve">MADRAS ESTATES</t>
  </si>
  <si>
    <t xml:space="preserve">242 SW THIRD ST</t>
  </si>
  <si>
    <t xml:space="preserve">ORA19940080</t>
  </si>
  <si>
    <t xml:space="preserve">CEDARS</t>
  </si>
  <si>
    <t xml:space="preserve">3157 SE POWELL VALLEY RD</t>
  </si>
  <si>
    <t xml:space="preserve">ORA19949090</t>
  </si>
  <si>
    <t xml:space="preserve">CEDARS APTS, THE</t>
  </si>
  <si>
    <t xml:space="preserve">3181 SE POWELL BLVD</t>
  </si>
  <si>
    <t xml:space="preserve">ORA19910013</t>
  </si>
  <si>
    <t xml:space="preserve">BROOKSIDE SENIOR APTS</t>
  </si>
  <si>
    <t xml:space="preserve">306 CHERYL LN</t>
  </si>
  <si>
    <t xml:space="preserve">PHOENIX</t>
  </si>
  <si>
    <t xml:space="preserve">97535</t>
  </si>
  <si>
    <t xml:space="preserve">Shares address with ORA19900020 (phase, resyndication or duplicate)</t>
  </si>
  <si>
    <t xml:space="preserve">ORA19960075</t>
  </si>
  <si>
    <t xml:space="preserve">WITHERSPOON COURT APTS</t>
  </si>
  <si>
    <t xml:space="preserve">1390 PENNOYER AVE</t>
  </si>
  <si>
    <t xml:space="preserve">COTTAGE GROVE</t>
  </si>
  <si>
    <t xml:space="preserve">97424</t>
  </si>
  <si>
    <t xml:space="preserve">ORA19950030</t>
  </si>
  <si>
    <t xml:space="preserve">CEDAR MEADOWS PHASES I &amp; II</t>
  </si>
  <si>
    <t xml:space="preserve">645 SE KANE DR</t>
  </si>
  <si>
    <t xml:space="preserve">ORA19950065</t>
  </si>
  <si>
    <t xml:space="preserve">HOPE CIRCLE</t>
  </si>
  <si>
    <t xml:space="preserve">342 HOPE LOOP</t>
  </si>
  <si>
    <t xml:space="preserve">ORA19910065</t>
  </si>
  <si>
    <t xml:space="preserve">RILEY HILL CONSTRUCTION</t>
  </si>
  <si>
    <t xml:space="preserve">1064 NW SIXTH AVE</t>
  </si>
  <si>
    <t xml:space="preserve">ORA19900070</t>
  </si>
  <si>
    <t xml:space="preserve">MOLES RENTALS</t>
  </si>
  <si>
    <t xml:space="preserve">4064 NE MALLORY AVE</t>
  </si>
  <si>
    <t xml:space="preserve">ORA19940015</t>
  </si>
  <si>
    <t xml:space="preserve">HAZELTINE APTS</t>
  </si>
  <si>
    <t xml:space="preserve">302 NW SECOND ST</t>
  </si>
  <si>
    <t xml:space="preserve">ORA19910022</t>
  </si>
  <si>
    <t xml:space="preserve">HILL STREET DUPLEX</t>
  </si>
  <si>
    <t xml:space="preserve">9283 SW HILL ST</t>
  </si>
  <si>
    <t xml:space="preserve">ORA19930025</t>
  </si>
  <si>
    <t xml:space="preserve">HIGHLAND MANOR ANNEX</t>
  </si>
  <si>
    <t xml:space="preserve">1237 HIGHLAND AVE NE</t>
  </si>
  <si>
    <t xml:space="preserve">ORA19900080</t>
  </si>
  <si>
    <t xml:space="preserve">REO JOINT VENTURE</t>
  </si>
  <si>
    <t xml:space="preserve">3836 N BORTHWICK AVE</t>
  </si>
  <si>
    <t xml:space="preserve">ORA19910045</t>
  </si>
  <si>
    <t xml:space="preserve">TABBY HOUSE SITE 2</t>
  </si>
  <si>
    <t xml:space="preserve">1122 TABBY LN</t>
  </si>
  <si>
    <t xml:space="preserve">ORA19910050</t>
  </si>
  <si>
    <t xml:space="preserve">TABBY HOUSE SITE 3</t>
  </si>
  <si>
    <t xml:space="preserve">1132 TABBY LN</t>
  </si>
  <si>
    <t xml:space="preserve">ORA19910055</t>
  </si>
  <si>
    <t xml:space="preserve">WOODROW LANE HOUSE</t>
  </si>
  <si>
    <t xml:space="preserve">1193 WOODROW LN</t>
  </si>
  <si>
    <t xml:space="preserve">ORA20000055</t>
  </si>
  <si>
    <t xml:space="preserve">KAFOURY COMMONS</t>
  </si>
  <si>
    <t xml:space="preserve">1240 SW COLUMBIA ST</t>
  </si>
  <si>
    <t xml:space="preserve">ORA20000030</t>
  </si>
  <si>
    <t xml:space="preserve">COLLINS CIRCLE</t>
  </si>
  <si>
    <t xml:space="preserve">1730 SW JEFFERSON ST</t>
  </si>
  <si>
    <t xml:space="preserve">ORA20000115</t>
  </si>
  <si>
    <t xml:space="preserve">SOUTHFAIR APTS</t>
  </si>
  <si>
    <t xml:space="preserve">1901 FAIRGROUNDS RD NE</t>
  </si>
  <si>
    <t xml:space="preserve">ORA20000100</t>
  </si>
  <si>
    <t xml:space="preserve">SHERIDAN SQUARE APTS</t>
  </si>
  <si>
    <t xml:space="preserve">895 THIRD ST</t>
  </si>
  <si>
    <t xml:space="preserve">ORA20090080</t>
  </si>
  <si>
    <t xml:space="preserve">ROSE SCHNITZER TOWER</t>
  </si>
  <si>
    <t xml:space="preserve">1430 SW 12TH AVE</t>
  </si>
  <si>
    <t xml:space="preserve">ORA20100075</t>
  </si>
  <si>
    <t xml:space="preserve">THE MADRONA</t>
  </si>
  <si>
    <t xml:space="preserve">10 N WEIDLER ST</t>
  </si>
  <si>
    <t xml:space="preserve">ORA20100080</t>
  </si>
  <si>
    <t xml:space="preserve">MARTHA WASHINGTON</t>
  </si>
  <si>
    <t xml:space="preserve">1115 SW 11TH AVE</t>
  </si>
  <si>
    <t xml:space="preserve">ORA20090005</t>
  </si>
  <si>
    <t xml:space="preserve">ARBOR GLEN APTS</t>
  </si>
  <si>
    <t xml:space="preserve">2609 SE 145TH AVE</t>
  </si>
  <si>
    <t xml:space="preserve">ORA20100015</t>
  </si>
  <si>
    <t xml:space="preserve">BUTTERCREEK APTS</t>
  </si>
  <si>
    <t xml:space="preserve">400 SW 11TH ST</t>
  </si>
  <si>
    <t xml:space="preserve">ORA20090095</t>
  </si>
  <si>
    <t xml:space="preserve">SHAVER GREEN</t>
  </si>
  <si>
    <t xml:space="preserve">375 NE SHAVER ST</t>
  </si>
  <si>
    <t xml:space="preserve">ORA20109132</t>
  </si>
  <si>
    <t xml:space="preserve">MONTEBELLO - BEAVER STATE</t>
  </si>
  <si>
    <t xml:space="preserve">29830 SW MONTEBELLO</t>
  </si>
  <si>
    <t xml:space="preserve">WILSONVILLE</t>
  </si>
  <si>
    <t xml:space="preserve">97070</t>
  </si>
  <si>
    <t xml:space="preserve">ORA20090060</t>
  </si>
  <si>
    <t xml:space="preserve">PRAIRIE VIEW</t>
  </si>
  <si>
    <t xml:space="preserve">584 N DANEBO AVE</t>
  </si>
  <si>
    <t xml:space="preserve">ORA20100040</t>
  </si>
  <si>
    <t xml:space="preserve">EASTGATE STATION</t>
  </si>
  <si>
    <t xml:space="preserve">100 NE 120TH AVE</t>
  </si>
  <si>
    <t xml:space="preserve">97220</t>
  </si>
  <si>
    <t xml:space="preserve">ORA20090055</t>
  </si>
  <si>
    <t xml:space="preserve">PATTON PARK APTS</t>
  </si>
  <si>
    <t xml:space="preserve">5272 N INTERSTATE AVE</t>
  </si>
  <si>
    <t xml:space="preserve">97217</t>
  </si>
  <si>
    <t xml:space="preserve">ORA20090110</t>
  </si>
  <si>
    <t xml:space="preserve">DISCOVERY PARK LODGE</t>
  </si>
  <si>
    <t xml:space="preserve">2868 NW CROSSING DR</t>
  </si>
  <si>
    <t xml:space="preserve">97703</t>
  </si>
  <si>
    <t xml:space="preserve">ORA20090105</t>
  </si>
  <si>
    <t xml:space="preserve">CHARLESTON APTS</t>
  </si>
  <si>
    <t xml:space="preserve">11609 SW TOULOUSE ST</t>
  </si>
  <si>
    <t xml:space="preserve">ORA20100090</t>
  </si>
  <si>
    <t xml:space="preserve">QUIMBY APTS RENEWAL</t>
  </si>
  <si>
    <t xml:space="preserve">455 NE QUIMBY AVE</t>
  </si>
  <si>
    <t xml:space="preserve">ORA20100120</t>
  </si>
  <si>
    <t xml:space="preserve">TOWN CENTER STATION</t>
  </si>
  <si>
    <t xml:space="preserve">8719 SE MONTEREY AVE</t>
  </si>
  <si>
    <t xml:space="preserve">HAPPY VALLEY</t>
  </si>
  <si>
    <t xml:space="preserve">97086</t>
  </si>
  <si>
    <t xml:space="preserve">ORA20100065</t>
  </si>
  <si>
    <t xml:space="preserve">LINNHAVEN APTS</t>
  </si>
  <si>
    <t xml:space="preserve">1220 23RD AVE</t>
  </si>
  <si>
    <t xml:space="preserve">ORA20109133</t>
  </si>
  <si>
    <t xml:space="preserve">STRATFORD APTS - BEAVER STATE</t>
  </si>
  <si>
    <t xml:space="preserve">553 CLAY ST</t>
  </si>
  <si>
    <t xml:space="preserve">ORA20090040</t>
  </si>
  <si>
    <t xml:space="preserve">NUEVO AMANECER I</t>
  </si>
  <si>
    <t xml:space="preserve">1274 FIFTH ST</t>
  </si>
  <si>
    <t xml:space="preserve">WOODBURN</t>
  </si>
  <si>
    <t xml:space="preserve">97071</t>
  </si>
  <si>
    <t xml:space="preserve">Shares address with ORA20090045 (phase, resyndication or duplicate)</t>
  </si>
  <si>
    <t xml:space="preserve">ORA20090100</t>
  </si>
  <si>
    <t xml:space="preserve">WEST DEVIL'S LAKE APTS</t>
  </si>
  <si>
    <t xml:space="preserve">3109 NE 26TH ST</t>
  </si>
  <si>
    <t xml:space="preserve">ORA20090090</t>
  </si>
  <si>
    <t xml:space="preserve">SCENIC HEIGHTS</t>
  </si>
  <si>
    <t xml:space="preserve">1825 SCENIC AVE</t>
  </si>
  <si>
    <t xml:space="preserve">ORA20100095</t>
  </si>
  <si>
    <t xml:space="preserve">ROOSEVELT CROSSING TRANSITIONAL HOUSING</t>
  </si>
  <si>
    <t xml:space="preserve">338 HWY 99 N</t>
  </si>
  <si>
    <t xml:space="preserve">ORA20100050</t>
  </si>
  <si>
    <t xml:space="preserve">HEWITT PLACE</t>
  </si>
  <si>
    <t xml:space="preserve">846 SW 29TH WAY</t>
  </si>
  <si>
    <t xml:space="preserve">ORA20100020</t>
  </si>
  <si>
    <t xml:space="preserve">CEDAR GROVE</t>
  </si>
  <si>
    <t xml:space="preserve">2090 INLAND DR</t>
  </si>
  <si>
    <t xml:space="preserve">NORTH BEND</t>
  </si>
  <si>
    <t xml:space="preserve">97459</t>
  </si>
  <si>
    <t xml:space="preserve">ORA20090045</t>
  </si>
  <si>
    <t xml:space="preserve">NUEVO AMANECER II</t>
  </si>
  <si>
    <t xml:space="preserve">Shares address with ORA20090040 (phase, resyndication or duplicate)</t>
  </si>
  <si>
    <t xml:space="preserve">ORA20090075</t>
  </si>
  <si>
    <t xml:space="preserve">RIVER VIEW PLACE APTS</t>
  </si>
  <si>
    <t xml:space="preserve">635 THIRD AVE SW</t>
  </si>
  <si>
    <t xml:space="preserve">ORA20100045</t>
  </si>
  <si>
    <t xml:space="preserve">FAIRVIEW APTS</t>
  </si>
  <si>
    <t xml:space="preserve">555 NW NINTH ST</t>
  </si>
  <si>
    <t xml:space="preserve">ORA20109131</t>
  </si>
  <si>
    <t xml:space="preserve">CASCADE VALLEY - BEAVER STATE</t>
  </si>
  <si>
    <t xml:space="preserve">455 W MARQUAM ST</t>
  </si>
  <si>
    <t xml:space="preserve">MT ANGEL</t>
  </si>
  <si>
    <t xml:space="preserve">97362</t>
  </si>
  <si>
    <t xml:space="preserve">Shares address with ORA20110010 (phase, resyndication or duplicate)</t>
  </si>
  <si>
    <t xml:space="preserve">ORA20090085</t>
  </si>
  <si>
    <t xml:space="preserve">ROSEWOOD TERRACE</t>
  </si>
  <si>
    <t xml:space="preserve">235 PEARL ST</t>
  </si>
  <si>
    <t xml:space="preserve">ORA20100130</t>
  </si>
  <si>
    <t xml:space="preserve">WALNUT PARK (PORTLAND)</t>
  </si>
  <si>
    <t xml:space="preserve">5272 NE SIXTH AVE</t>
  </si>
  <si>
    <t xml:space="preserve">97211</t>
  </si>
  <si>
    <t xml:space="preserve">ORA20100005</t>
  </si>
  <si>
    <t xml:space="preserve">ADMIRAL APTS</t>
  </si>
  <si>
    <t xml:space="preserve">910 SW PARK AVE</t>
  </si>
  <si>
    <t xml:space="preserve">ORA20100055</t>
  </si>
  <si>
    <t xml:space="preserve">IRIS GLEN TOWNHOMES</t>
  </si>
  <si>
    <t xml:space="preserve">135 OLD FT RD</t>
  </si>
  <si>
    <t xml:space="preserve">97601</t>
  </si>
  <si>
    <t xml:space="preserve">ORA20100060</t>
  </si>
  <si>
    <t xml:space="preserve">LAMB BUILDING</t>
  </si>
  <si>
    <t xml:space="preserve">1135 HAYES ST</t>
  </si>
  <si>
    <t xml:space="preserve">ORA20090025</t>
  </si>
  <si>
    <t xml:space="preserve">HOTEL NORTH BEND APTS</t>
  </si>
  <si>
    <t xml:space="preserve">768 VIRGINIA AVE</t>
  </si>
  <si>
    <t xml:space="preserve">ORA20090065</t>
  </si>
  <si>
    <t xml:space="preserve">PUTNAM POINTE</t>
  </si>
  <si>
    <t xml:space="preserve">750 NW LAVA RD</t>
  </si>
  <si>
    <t xml:space="preserve">Shares address with ORA20100085 (phase, resyndication or duplicate)</t>
  </si>
  <si>
    <t xml:space="preserve">ORA20090035</t>
  </si>
  <si>
    <t xml:space="preserve">MIRA FLORES</t>
  </si>
  <si>
    <t xml:space="preserve">8901 N NEWELL AVE</t>
  </si>
  <si>
    <t xml:space="preserve">ORA20100105</t>
  </si>
  <si>
    <t xml:space="preserve">SANDHILL APTS</t>
  </si>
  <si>
    <t xml:space="preserve">150 S WAHANNA RD</t>
  </si>
  <si>
    <t xml:space="preserve">ORA20100115</t>
  </si>
  <si>
    <t xml:space="preserve">SENECA TERRACE</t>
  </si>
  <si>
    <t xml:space="preserve">11802 SE FULLER RD</t>
  </si>
  <si>
    <t xml:space="preserve">MILWAUKIE</t>
  </si>
  <si>
    <t xml:space="preserve">97222</t>
  </si>
  <si>
    <t xml:space="preserve">ORA20090030</t>
  </si>
  <si>
    <t xml:space="preserve">MILL CREEK MEADOWS</t>
  </si>
  <si>
    <t xml:space="preserve">200 25TH ST NE</t>
  </si>
  <si>
    <t xml:space="preserve">ORA20100100</t>
  </si>
  <si>
    <t xml:space="preserve">ROSELYN APTS</t>
  </si>
  <si>
    <t xml:space="preserve">424 NW 21ST AVE</t>
  </si>
  <si>
    <t xml:space="preserve">ORA20090010</t>
  </si>
  <si>
    <t xml:space="preserve">CARRIAGE COURT APTS</t>
  </si>
  <si>
    <t xml:space="preserve">728 NW FIFTH CIR</t>
  </si>
  <si>
    <t xml:space="preserve">ORA20090070</t>
  </si>
  <si>
    <t xml:space="preserve">RAIN GARDEN APTS</t>
  </si>
  <si>
    <t xml:space="preserve">29197 SW ORLEANS AVE</t>
  </si>
  <si>
    <t xml:space="preserve">ORA20100125</t>
  </si>
  <si>
    <t xml:space="preserve">UPSHUR HOUSE</t>
  </si>
  <si>
    <t xml:space="preserve">2650 NW UPSHUR ST</t>
  </si>
  <si>
    <t xml:space="preserve">97210</t>
  </si>
  <si>
    <t xml:space="preserve">ORA20090020</t>
  </si>
  <si>
    <t xml:space="preserve">HEATHER GLEN</t>
  </si>
  <si>
    <t xml:space="preserve">87962 TERRITORIAL RD</t>
  </si>
  <si>
    <t xml:space="preserve">VENETA</t>
  </si>
  <si>
    <t xml:space="preserve">97487</t>
  </si>
  <si>
    <t xml:space="preserve">ORA20090050</t>
  </si>
  <si>
    <t xml:space="preserve">PARK AVENUE APTS</t>
  </si>
  <si>
    <t xml:space="preserve">1469 PARK AVE</t>
  </si>
  <si>
    <t xml:space="preserve">ORA20100070</t>
  </si>
  <si>
    <t xml:space="preserve">LITTLE DESCHUTES LODGE</t>
  </si>
  <si>
    <t xml:space="preserve">51725 HUNTINGTON RD</t>
  </si>
  <si>
    <t xml:space="preserve">LA PINE</t>
  </si>
  <si>
    <t xml:space="preserve">ORA20090015</t>
  </si>
  <si>
    <t xml:space="preserve">FISTERRA GARDENS APTS</t>
  </si>
  <si>
    <t xml:space="preserve">101 DIVERISTY DRIVE</t>
  </si>
  <si>
    <t xml:space="preserve">YACHATS</t>
  </si>
  <si>
    <t xml:space="preserve">ORA20100030</t>
  </si>
  <si>
    <t xml:space="preserve">COTTONWOOD II</t>
  </si>
  <si>
    <t xml:space="preserve">750 SE SIXTH ST</t>
  </si>
  <si>
    <t xml:space="preserve">ORA20109134</t>
  </si>
  <si>
    <t xml:space="preserve">WILLAMINA VILLA - BEAVER STATE</t>
  </si>
  <si>
    <t xml:space="preserve">320 NW FIRST ST #1 - BLDG 32</t>
  </si>
  <si>
    <t xml:space="preserve">WILLAMINA</t>
  </si>
  <si>
    <t xml:space="preserve">ORA20100025</t>
  </si>
  <si>
    <t xml:space="preserve">COTTONWOOD I</t>
  </si>
  <si>
    <t xml:space="preserve">610 SE SIXTH ST</t>
  </si>
  <si>
    <t xml:space="preserve">ORA20100110</t>
  </si>
  <si>
    <t xml:space="preserve">SEACREST APTS</t>
  </si>
  <si>
    <t xml:space="preserve">225 NINTH ST SE</t>
  </si>
  <si>
    <t xml:space="preserve">ORA20100010</t>
  </si>
  <si>
    <t xml:space="preserve">BOARDMAN APTS</t>
  </si>
  <si>
    <t xml:space="preserve">331 NW BOARDMAN AVE</t>
  </si>
  <si>
    <t xml:space="preserve">ORA20100085</t>
  </si>
  <si>
    <t xml:space="preserve">PUTNAM LOFTS</t>
  </si>
  <si>
    <t xml:space="preserve">Shares address with ORA20090065 (phase, resyndication or duplicate)</t>
  </si>
  <si>
    <t xml:space="preserve">ORA20040120</t>
  </si>
  <si>
    <t xml:space="preserve">WYNDHAVEN APTS</t>
  </si>
  <si>
    <t xml:space="preserve">180 SW EDGEWAY DIVE</t>
  </si>
  <si>
    <t xml:space="preserve">ORA20040122</t>
  </si>
  <si>
    <t xml:space="preserve">STATION PLACE TOWER</t>
  </si>
  <si>
    <t xml:space="preserve">1020 NW NINTH AVE</t>
  </si>
  <si>
    <t xml:space="preserve">ORA20020040</t>
  </si>
  <si>
    <t xml:space="preserve">IRVINGTON VILLAGE</t>
  </si>
  <si>
    <t xml:space="preserve">420 NE MASON ST</t>
  </si>
  <si>
    <t xml:space="preserve">ORA20030025</t>
  </si>
  <si>
    <t xml:space="preserve">FOUNTAIN PLACE</t>
  </si>
  <si>
    <t xml:space="preserve">929 SW SALMON ST</t>
  </si>
  <si>
    <t xml:space="preserve">ORA20040015</t>
  </si>
  <si>
    <t xml:space="preserve">AURORA BUILDING</t>
  </si>
  <si>
    <t xml:space="preserve">100 E 11TH AVE</t>
  </si>
  <si>
    <t xml:space="preserve">ORA20020005</t>
  </si>
  <si>
    <t xml:space="preserve">BOOKMARK</t>
  </si>
  <si>
    <t xml:space="preserve">2034 NE 40TH AVE</t>
  </si>
  <si>
    <t xml:space="preserve">ORA20040060</t>
  </si>
  <si>
    <t xml:space="preserve">GRAND APTS</t>
  </si>
  <si>
    <t xml:space="preserve">730 CASS ST</t>
  </si>
  <si>
    <t xml:space="preserve">ORA20110010</t>
  </si>
  <si>
    <t xml:space="preserve">BEAVER STATE APTS</t>
  </si>
  <si>
    <t xml:space="preserve">Shares address with ORA20109131 (phase, resyndication or duplicate)</t>
  </si>
  <si>
    <t xml:space="preserve">ORA20110045</t>
  </si>
  <si>
    <t xml:space="preserve">RAMONA APTS</t>
  </si>
  <si>
    <t xml:space="preserve">1550 NW 14TH AVE</t>
  </si>
  <si>
    <t xml:space="preserve">ORA20110020</t>
  </si>
  <si>
    <t xml:space="preserve">BUD CLARK COMMONS</t>
  </si>
  <si>
    <t xml:space="preserve">655 NW HOYT ST</t>
  </si>
  <si>
    <t xml:space="preserve">ORA20110060</t>
  </si>
  <si>
    <t xml:space="preserve">UPTOWN TOWER</t>
  </si>
  <si>
    <t xml:space="preserve">712 SW ST CLAIR AVE</t>
  </si>
  <si>
    <t xml:space="preserve">ORA20110055</t>
  </si>
  <si>
    <t xml:space="preserve">SNOWBERRY BROOK</t>
  </si>
  <si>
    <t xml:space="preserve">350 CLAY ST</t>
  </si>
  <si>
    <t xml:space="preserve">ORA20119064</t>
  </si>
  <si>
    <t xml:space="preserve">RIO BELLA HEIGHTS AND RIO BELLA</t>
  </si>
  <si>
    <t xml:space="preserve">1600 NINTH CT</t>
  </si>
  <si>
    <t xml:space="preserve">ORA20110027</t>
  </si>
  <si>
    <t xml:space="preserve">INDIAN CREEK COURT</t>
  </si>
  <si>
    <t xml:space="preserve">1615 NINTH CT</t>
  </si>
  <si>
    <t xml:space="preserve">ORA20110030</t>
  </si>
  <si>
    <t xml:space="preserve">KNOLL AT TIGARD</t>
  </si>
  <si>
    <t xml:space="preserve">12291 SW KNOLL DR</t>
  </si>
  <si>
    <t xml:space="preserve">ORA20110062</t>
  </si>
  <si>
    <t xml:space="preserve">VILLA WEST</t>
  </si>
  <si>
    <t xml:space="preserve">201 SW AGEE ST</t>
  </si>
  <si>
    <t xml:space="preserve">ORA20110050</t>
  </si>
  <si>
    <t xml:space="preserve">ROCKWOOD BUILDING</t>
  </si>
  <si>
    <t xml:space="preserve">124 NE 181ST AVE</t>
  </si>
  <si>
    <t xml:space="preserve">ORA20110035</t>
  </si>
  <si>
    <t xml:space="preserve">LA GRANDE RETIREMENT APTS</t>
  </si>
  <si>
    <t xml:space="preserve">1612 SEVENTH ST</t>
  </si>
  <si>
    <t xml:space="preserve">ORA20110025</t>
  </si>
  <si>
    <t xml:space="preserve">HOOD RIVER CROSSING APTS</t>
  </si>
  <si>
    <t xml:space="preserve">3145 CASCADE AVE</t>
  </si>
  <si>
    <t xml:space="preserve">ORA20110040</t>
  </si>
  <si>
    <t xml:space="preserve">MIRACLES CLUB</t>
  </si>
  <si>
    <t xml:space="preserve">4150 NE MLK JR BLVD</t>
  </si>
  <si>
    <t xml:space="preserve">ORA20119065</t>
  </si>
  <si>
    <t xml:space="preserve">SPYGLASS APTS - BEAVER STATE</t>
  </si>
  <si>
    <t xml:space="preserve">950 SE 32ND ST BLDG 21</t>
  </si>
  <si>
    <t xml:space="preserve">ORA20110005</t>
  </si>
  <si>
    <t xml:space="preserve">ASTORIA GATEWAY II</t>
  </si>
  <si>
    <t xml:space="preserve">2850 MARINE DR</t>
  </si>
  <si>
    <t xml:space="preserve">ASTORIA</t>
  </si>
  <si>
    <t xml:space="preserve">97103</t>
  </si>
  <si>
    <t xml:space="preserve">ORA20110057</t>
  </si>
  <si>
    <t xml:space="preserve">STEWART TERRACE</t>
  </si>
  <si>
    <t xml:space="preserve">1000 N SHERWOOD BLVD</t>
  </si>
  <si>
    <t xml:space="preserve">ORA20110015</t>
  </si>
  <si>
    <t xml:space="preserve">BRIDGE MEADOWS</t>
  </si>
  <si>
    <t xml:space="preserve">4203 N WILLIAMS AVE</t>
  </si>
  <si>
    <t xml:space="preserve">ORA20119063</t>
  </si>
  <si>
    <t xml:space="preserve">PARKSIDE VILLAGE</t>
  </si>
  <si>
    <t xml:space="preserve">2974 NE DOUGLAS AVE</t>
  </si>
  <si>
    <t xml:space="preserve">Low-income units exceed total units in HUD data - unit counts unreliable</t>
  </si>
  <si>
    <t xml:space="preserve">ORA20120055</t>
  </si>
  <si>
    <t xml:space="preserve">GRAY'S LANDING</t>
  </si>
  <si>
    <t xml:space="preserve">0650 SW LOWELL ST</t>
  </si>
  <si>
    <t xml:space="preserve">97239</t>
  </si>
  <si>
    <t xml:space="preserve">ORA20130627</t>
  </si>
  <si>
    <t xml:space="preserve">PARK TOWER APTS</t>
  </si>
  <si>
    <t xml:space="preserve">731 SW SALMON ST</t>
  </si>
  <si>
    <t xml:space="preserve">ORA20130616</t>
  </si>
  <si>
    <t xml:space="preserve">CROOKED RIVER APTS (3 SITES)</t>
  </si>
  <si>
    <t xml:space="preserve">950 SW MADISON ST</t>
  </si>
  <si>
    <t xml:space="preserve">Shares address with ORA19950070 (phase, resyndication or duplicate)</t>
  </si>
  <si>
    <t xml:space="preserve">ORA20120620</t>
  </si>
  <si>
    <t xml:space="preserve">THE 1200 BUILDING</t>
  </si>
  <si>
    <t xml:space="preserve">1220 SW 12TH AVE</t>
  </si>
  <si>
    <t xml:space="preserve">ORA20120040</t>
  </si>
  <si>
    <t xml:space="preserve">CHAUCER COURT</t>
  </si>
  <si>
    <t xml:space="preserve">1019 SW TENTH AVE</t>
  </si>
  <si>
    <t xml:space="preserve">ORA20120900</t>
  </si>
  <si>
    <t xml:space="preserve">SUNRISE ESTATES</t>
  </si>
  <si>
    <t xml:space="preserve">2700 W SEVENTH ST</t>
  </si>
  <si>
    <t xml:space="preserve">ORA20130007</t>
  </si>
  <si>
    <t xml:space="preserve">YARDS AT UNION STATION C</t>
  </si>
  <si>
    <t xml:space="preserve">615 NW NAITO PKWY</t>
  </si>
  <si>
    <t xml:space="preserve">ORA20120050</t>
  </si>
  <si>
    <t xml:space="preserve">DUCK COUNTRY</t>
  </si>
  <si>
    <t xml:space="preserve">30125 SW BROWN RD</t>
  </si>
  <si>
    <t xml:space="preserve">Shares address with ORA20129905 (phase, resyndication or duplicate)</t>
  </si>
  <si>
    <t xml:space="preserve">ORA20130001</t>
  </si>
  <si>
    <t xml:space="preserve">FARMINGTON MEADOWS</t>
  </si>
  <si>
    <t xml:space="preserve">4566 SW 160TH AVE</t>
  </si>
  <si>
    <t xml:space="preserve">97078</t>
  </si>
  <si>
    <t xml:space="preserve">ORA20120020</t>
  </si>
  <si>
    <t xml:space="preserve">ARENDS PLACE II</t>
  </si>
  <si>
    <t xml:space="preserve">830 SIEVERKROPP DR</t>
  </si>
  <si>
    <t xml:space="preserve">Shares address with ORA19910005 (phase, resyndication or duplicate)</t>
  </si>
  <si>
    <t xml:space="preserve">ORA20120075</t>
  </si>
  <si>
    <t xml:space="preserve">SPRING STREET APTS</t>
  </si>
  <si>
    <t xml:space="preserve">750 SPRING ST</t>
  </si>
  <si>
    <t xml:space="preserve">ORA20120085</t>
  </si>
  <si>
    <t xml:space="preserve">WILLAKENZIE CROSSING</t>
  </si>
  <si>
    <t xml:space="preserve">3057 WILLAKENZIE RD</t>
  </si>
  <si>
    <t xml:space="preserve">ORA20120065</t>
  </si>
  <si>
    <t xml:space="preserve">GLADYS MCCOY VILLAGE</t>
  </si>
  <si>
    <t xml:space="preserve">4430 NE MLK JR BLVD</t>
  </si>
  <si>
    <t xml:space="preserve">ORA20130617</t>
  </si>
  <si>
    <t xml:space="preserve">EAGLE LANDING</t>
  </si>
  <si>
    <t xml:space="preserve">913 NW GARDEN VALLEY BLVD</t>
  </si>
  <si>
    <t xml:space="preserve">ORA20130006</t>
  </si>
  <si>
    <t xml:space="preserve">STELLAR APTS</t>
  </si>
  <si>
    <t xml:space="preserve">1563 CITY VIEW ST</t>
  </si>
  <si>
    <t xml:space="preserve">ORA20130623</t>
  </si>
  <si>
    <t xml:space="preserve">LEXINGTON APTS</t>
  </si>
  <si>
    <t xml:space="preserve">1125 SW 12TH AVE</t>
  </si>
  <si>
    <t xml:space="preserve">ORA20120025</t>
  </si>
  <si>
    <t xml:space="preserve">BROOKSIDE CT APTS (ROSEBURG)</t>
  </si>
  <si>
    <t xml:space="preserve">1623 NE VINE ST</t>
  </si>
  <si>
    <t xml:space="preserve">ORA20130002</t>
  </si>
  <si>
    <t xml:space="preserve">HAJCFREEDOM SQUARE HAJC LIBERTY PLACE</t>
  </si>
  <si>
    <t xml:space="preserve">3388 AVENUE E</t>
  </si>
  <si>
    <t xml:space="preserve">WHITE CITY</t>
  </si>
  <si>
    <t xml:space="preserve">ORA20130622</t>
  </si>
  <si>
    <t xml:space="preserve">LANCASTER BRIDGE APTS</t>
  </si>
  <si>
    <t xml:space="preserve">3384 NE OXFORD CIR</t>
  </si>
  <si>
    <t xml:space="preserve">CORVALLIS</t>
  </si>
  <si>
    <t xml:space="preserve">97330</t>
  </si>
  <si>
    <t xml:space="preserve">ORA20120015</t>
  </si>
  <si>
    <t xml:space="preserve">ALEXANDER CT (SEAVEY MEADOWS)</t>
  </si>
  <si>
    <t xml:space="preserve">2202 SW THIRD ST</t>
  </si>
  <si>
    <t xml:space="preserve">97333</t>
  </si>
  <si>
    <t xml:space="preserve">ORA20130629</t>
  </si>
  <si>
    <t xml:space="preserve">THE MAGNOLIA</t>
  </si>
  <si>
    <t xml:space="preserve">3250 NE MLK JR BLVD</t>
  </si>
  <si>
    <t xml:space="preserve">ORA20120030</t>
  </si>
  <si>
    <t xml:space="preserve">CANTERBURY HILLS</t>
  </si>
  <si>
    <t xml:space="preserve">3696 ARROWHEAD DR</t>
  </si>
  <si>
    <t xml:space="preserve">ORA20120045</t>
  </si>
  <si>
    <t xml:space="preserve">CRESTVIEW COURT APTS</t>
  </si>
  <si>
    <t xml:space="preserve">4600 SW 141ST AVE</t>
  </si>
  <si>
    <t xml:space="preserve">97005</t>
  </si>
  <si>
    <t xml:space="preserve">ORA20120080</t>
  </si>
  <si>
    <t xml:space="preserve">ESTACADA VILLAGE</t>
  </si>
  <si>
    <t xml:space="preserve">855 NE HILL WAY</t>
  </si>
  <si>
    <t xml:space="preserve">ESTACADA</t>
  </si>
  <si>
    <t xml:space="preserve">97023</t>
  </si>
  <si>
    <t xml:space="preserve">ORA20130614</t>
  </si>
  <si>
    <t xml:space="preserve">ALMA GARDENS</t>
  </si>
  <si>
    <t xml:space="preserve">6300 NE CHERRY DR</t>
  </si>
  <si>
    <t xml:space="preserve">97124</t>
  </si>
  <si>
    <t xml:space="preserve">ORA20120060</t>
  </si>
  <si>
    <t xml:space="preserve">MACDONALD WEST APTS</t>
  </si>
  <si>
    <t xml:space="preserve">127 NW SIXTH AVE</t>
  </si>
  <si>
    <t xml:space="preserve">ORA20120010</t>
  </si>
  <si>
    <t xml:space="preserve">ACADIA GARDENS</t>
  </si>
  <si>
    <t xml:space="preserve">8370 SE CAUSEY AVE</t>
  </si>
  <si>
    <t xml:space="preserve">ORA20120035</t>
  </si>
  <si>
    <t xml:space="preserve">CASTLE ROCK APTS</t>
  </si>
  <si>
    <t xml:space="preserve">451 TATONE ST</t>
  </si>
  <si>
    <t xml:space="preserve">ORA20130005</t>
  </si>
  <si>
    <t xml:space="preserve">NUEVO AMANECER IV</t>
  </si>
  <si>
    <t xml:space="preserve">1300 N SECOND ST</t>
  </si>
  <si>
    <t xml:space="preserve">ORA20130626</t>
  </si>
  <si>
    <t xml:space="preserve">OCEAN WINDS PHASE I</t>
  </si>
  <si>
    <t xml:space="preserve">6577 LUCKY LN</t>
  </si>
  <si>
    <t xml:space="preserve">ORA20130003</t>
  </si>
  <si>
    <t xml:space="preserve">HIGH VALLEY ESTATES</t>
  </si>
  <si>
    <t xml:space="preserve">1333 AVALON ST</t>
  </si>
  <si>
    <t xml:space="preserve">ORA20120902</t>
  </si>
  <si>
    <t xml:space="preserve">HAWTHORN AT 29TH PLACE APTS</t>
  </si>
  <si>
    <t xml:space="preserve">2984 OAK ST</t>
  </si>
  <si>
    <t xml:space="preserve">ORA20130621</t>
  </si>
  <si>
    <t xml:space="preserve">HOLLYFIELD VILLAGE APTS</t>
  </si>
  <si>
    <t xml:space="preserve">4077 SUNSET DR</t>
  </si>
  <si>
    <t xml:space="preserve">ORA20120901</t>
  </si>
  <si>
    <t xml:space="preserve">HIGH DESERT COMMONS</t>
  </si>
  <si>
    <t xml:space="preserve">2195 SW CANAL BLVD</t>
  </si>
  <si>
    <t xml:space="preserve">ORA20129903</t>
  </si>
  <si>
    <t xml:space="preserve">DUNHILL APTS (DUCK COUNTRY)</t>
  </si>
  <si>
    <t xml:space="preserve">500 SW 11TH ST</t>
  </si>
  <si>
    <t xml:space="preserve">DUNDEE</t>
  </si>
  <si>
    <t xml:space="preserve">97115</t>
  </si>
  <si>
    <t xml:space="preserve">ORA20130004</t>
  </si>
  <si>
    <t xml:space="preserve">LITTLE DESCHUTES LODGE II</t>
  </si>
  <si>
    <t xml:space="preserve">51745 LITTLE DESCHUTES LN</t>
  </si>
  <si>
    <t xml:space="preserve">97739</t>
  </si>
  <si>
    <t xml:space="preserve">ORA20120615</t>
  </si>
  <si>
    <t xml:space="preserve">FIRWOOD VILLAGE</t>
  </si>
  <si>
    <t xml:space="preserve">39501 EVANS ST</t>
  </si>
  <si>
    <t xml:space="preserve">SANDY</t>
  </si>
  <si>
    <t xml:space="preserve">97055</t>
  </si>
  <si>
    <t xml:space="preserve">ORA20129904</t>
  </si>
  <si>
    <t xml:space="preserve">LINNWOOD APTS-DUCK COUNTRY</t>
  </si>
  <si>
    <t xml:space="preserve">23455 SW MAIN ST</t>
  </si>
  <si>
    <t xml:space="preserve">97140</t>
  </si>
  <si>
    <t xml:space="preserve">ORA20129905</t>
  </si>
  <si>
    <t xml:space="preserve">WILSONVILLE HEIGHTS-DUCK COUNTRY</t>
  </si>
  <si>
    <t xml:space="preserve">Shares address with ORA20120050 (phase, resyndication or duplicate)</t>
  </si>
  <si>
    <t xml:space="preserve">ORA20130615</t>
  </si>
  <si>
    <t xml:space="preserve">BOARDMAN TRAIL APTS</t>
  </si>
  <si>
    <t xml:space="preserve">295 NE BOARDMAN AVE</t>
  </si>
  <si>
    <t xml:space="preserve">ORA20000130</t>
  </si>
  <si>
    <t xml:space="preserve">TUALATIN MEADOWS</t>
  </si>
  <si>
    <t xml:space="preserve">18755 SW 90TH AVE</t>
  </si>
  <si>
    <t xml:space="preserve">ORA20000060</t>
  </si>
  <si>
    <t xml:space="preserve">LAKE CREST APTS</t>
  </si>
  <si>
    <t xml:space="preserve">8106 SE LAKE RD</t>
  </si>
  <si>
    <t xml:space="preserve">97267</t>
  </si>
  <si>
    <t xml:space="preserve">ORA20010025</t>
  </si>
  <si>
    <t xml:space="preserve">LOVEJOY STATION</t>
  </si>
  <si>
    <t xml:space="preserve">1040 NW TENTH AVE</t>
  </si>
  <si>
    <t xml:space="preserve">ORA20000135</t>
  </si>
  <si>
    <t xml:space="preserve">VALLEY PINES APTS</t>
  </si>
  <si>
    <t xml:space="preserve">645 ROYAL AVE</t>
  </si>
  <si>
    <t xml:space="preserve">ORA20010060</t>
  </si>
  <si>
    <t xml:space="preserve">ROSEMONT COURT</t>
  </si>
  <si>
    <t xml:space="preserve">597 N DEKUM ST</t>
  </si>
  <si>
    <t xml:space="preserve">ORA20000090</t>
  </si>
  <si>
    <t xml:space="preserve">RIDGECREST TIMBERS APTS</t>
  </si>
  <si>
    <t xml:space="preserve">8870 N COLUMBIA BLVD</t>
  </si>
  <si>
    <t xml:space="preserve">ORA20000015</t>
  </si>
  <si>
    <t xml:space="preserve">BLUFFS APTS</t>
  </si>
  <si>
    <t xml:space="preserve">340 SW RIMROCK WAY</t>
  </si>
  <si>
    <t xml:space="preserve">ORA20000045</t>
  </si>
  <si>
    <t xml:space="preserve">FOX POINTE APTS</t>
  </si>
  <si>
    <t xml:space="preserve">4616 SE ROETHE RD</t>
  </si>
  <si>
    <t xml:space="preserve">ORA20000095</t>
  </si>
  <si>
    <t xml:space="preserve">ROSE VILLA APTS</t>
  </si>
  <si>
    <t xml:space="preserve">2525 NE STEPHENS ST</t>
  </si>
  <si>
    <t xml:space="preserve">ORA20010040</t>
  </si>
  <si>
    <t xml:space="preserve">PARK TERRACE APTS</t>
  </si>
  <si>
    <t xml:space="preserve">315 N ALBERTA ST</t>
  </si>
  <si>
    <t xml:space="preserve">ORA20000120</t>
  </si>
  <si>
    <t xml:space="preserve">SPRING TREE APTS</t>
  </si>
  <si>
    <t xml:space="preserve">650 SE 162ND AVE</t>
  </si>
  <si>
    <t xml:space="preserve">ORA19870010</t>
  </si>
  <si>
    <t xml:space="preserve">ASTORIA HOTEL</t>
  </si>
  <si>
    <t xml:space="preserve">333 NW SIXTH AVE</t>
  </si>
  <si>
    <t xml:space="preserve">ORA20010035</t>
  </si>
  <si>
    <t xml:space="preserve">ORCHARD KNOLL</t>
  </si>
  <si>
    <t xml:space="preserve">1401 NW VETERANS WAY</t>
  </si>
  <si>
    <t xml:space="preserve">ORA20000050</t>
  </si>
  <si>
    <t xml:space="preserve">GREEN TREE APTS</t>
  </si>
  <si>
    <t xml:space="preserve">2310 E Q AVE</t>
  </si>
  <si>
    <t xml:space="preserve">ORA20000080</t>
  </si>
  <si>
    <t xml:space="preserve">PATTON HOME</t>
  </si>
  <si>
    <t xml:space="preserve">4619 N MICHIGAN AVE</t>
  </si>
  <si>
    <t xml:space="preserve">ORA20010075</t>
  </si>
  <si>
    <t xml:space="preserve">SEQUOIA SQUARE APTS</t>
  </si>
  <si>
    <t xml:space="preserve">247 SE 160TH AVE</t>
  </si>
  <si>
    <t xml:space="preserve">ORA20000025</t>
  </si>
  <si>
    <t xml:space="preserve">CENTER VILLAGE APTS</t>
  </si>
  <si>
    <t xml:space="preserve">5814 NE HOYT ST</t>
  </si>
  <si>
    <t xml:space="preserve">ORA20000040</t>
  </si>
  <si>
    <t xml:space="preserve">FIRCREST MANOR</t>
  </si>
  <si>
    <t xml:space="preserve">13765 SW ALLEN BLVD</t>
  </si>
  <si>
    <t xml:space="preserve">ORA20010045</t>
  </si>
  <si>
    <t xml:space="preserve">PARK VISTA</t>
  </si>
  <si>
    <t xml:space="preserve">10914 SE STARK ST</t>
  </si>
  <si>
    <t xml:space="preserve">ORA20000145</t>
  </si>
  <si>
    <t xml:space="preserve">WIEDEMAN PARK APTS</t>
  </si>
  <si>
    <t xml:space="preserve">29400 SW BROWN RD</t>
  </si>
  <si>
    <t xml:space="preserve">ORA20000150</t>
  </si>
  <si>
    <t xml:space="preserve">WOOD PARK TERRACE APTS</t>
  </si>
  <si>
    <t xml:space="preserve">1035 PARK AVE</t>
  </si>
  <si>
    <t xml:space="preserve">ORA20000125</t>
  </si>
  <si>
    <t xml:space="preserve">STEVENS PLACE</t>
  </si>
  <si>
    <t xml:space="preserve">1105 STEVENS ST</t>
  </si>
  <si>
    <t xml:space="preserve">ORA20010015</t>
  </si>
  <si>
    <t xml:space="preserve">CLAYTON MEADOWS SENIOR APTS</t>
  </si>
  <si>
    <t xml:space="preserve">2080 QUEEN AVE SE</t>
  </si>
  <si>
    <t xml:space="preserve">97322</t>
  </si>
  <si>
    <t xml:space="preserve">ORA20000105</t>
  </si>
  <si>
    <t xml:space="preserve">SONGBIRD VILLAGE</t>
  </si>
  <si>
    <t xml:space="preserve">215 21ST ST SE</t>
  </si>
  <si>
    <t xml:space="preserve">ORA20010010</t>
  </si>
  <si>
    <t xml:space="preserve">BIG CREEK POINT APTS</t>
  </si>
  <si>
    <t xml:space="preserve">2725 NE CRESTVIEW DR</t>
  </si>
  <si>
    <t xml:space="preserve">ORA19880080</t>
  </si>
  <si>
    <t xml:space="preserve">FAIRVIEW ARMS</t>
  </si>
  <si>
    <t xml:space="preserve">305 SEVENTH ST</t>
  </si>
  <si>
    <t xml:space="preserve">ORA19880305</t>
  </si>
  <si>
    <t xml:space="preserve">VILLA 40</t>
  </si>
  <si>
    <t xml:space="preserve">3608 SE 40TH AVE</t>
  </si>
  <si>
    <t xml:space="preserve">97202</t>
  </si>
  <si>
    <t xml:space="preserve">ORA20000065</t>
  </si>
  <si>
    <t xml:space="preserve">MCCULLER CROSSING</t>
  </si>
  <si>
    <t xml:space="preserve">236 N KILLINGSWORTH ST</t>
  </si>
  <si>
    <t xml:space="preserve">ORA20000085</t>
  </si>
  <si>
    <t xml:space="preserve">QUAIL COURT APTS</t>
  </si>
  <si>
    <t xml:space="preserve">800 S IMPERIAL AVE</t>
  </si>
  <si>
    <t xml:space="preserve">BURNS</t>
  </si>
  <si>
    <t xml:space="preserve">97720</t>
  </si>
  <si>
    <t xml:space="preserve">ORA20010020</t>
  </si>
  <si>
    <t xml:space="preserve">COVEY RUN TOWNHOMES</t>
  </si>
  <si>
    <t xml:space="preserve">1727 COVEY RUN DR</t>
  </si>
  <si>
    <t xml:space="preserve">FOREST GROVE</t>
  </si>
  <si>
    <t xml:space="preserve">97116</t>
  </si>
  <si>
    <t xml:space="preserve">ORA20010080</t>
  </si>
  <si>
    <t xml:space="preserve">STAGECOACH APTS</t>
  </si>
  <si>
    <t xml:space="preserve">601 STAGE COACH RD</t>
  </si>
  <si>
    <t xml:space="preserve">CANYONVILLE</t>
  </si>
  <si>
    <t xml:space="preserve">97417</t>
  </si>
  <si>
    <t xml:space="preserve">ORA20019081</t>
  </si>
  <si>
    <t xml:space="preserve">COVEY RUN APTS</t>
  </si>
  <si>
    <t xml:space="preserve">1786 COVEY RUN DR</t>
  </si>
  <si>
    <t xml:space="preserve">ORA20000010</t>
  </si>
  <si>
    <t xml:space="preserve">APPLEWOOD VILLAGE</t>
  </si>
  <si>
    <t xml:space="preserve">595 NW 12TH ST</t>
  </si>
  <si>
    <t xml:space="preserve">ORA19890075</t>
  </si>
  <si>
    <t xml:space="preserve">NOKOMIS APTS</t>
  </si>
  <si>
    <t xml:space="preserve">1715 NW MARSHALL ST</t>
  </si>
  <si>
    <t xml:space="preserve">ORA20010030</t>
  </si>
  <si>
    <t xml:space="preserve">MASON GROVE</t>
  </si>
  <si>
    <t xml:space="preserve">1005 NE FOURTH AVE</t>
  </si>
  <si>
    <t xml:space="preserve">MILTON FREEWATER</t>
  </si>
  <si>
    <t xml:space="preserve">97862</t>
  </si>
  <si>
    <t xml:space="preserve">ORA20009151</t>
  </si>
  <si>
    <t xml:space="preserve">SHERIDAN SQUARE APTS I &amp; II</t>
  </si>
  <si>
    <t xml:space="preserve">893 THIRD ST APT 2</t>
  </si>
  <si>
    <t xml:space="preserve">ORA20000020</t>
  </si>
  <si>
    <t xml:space="preserve">CASA VERDE</t>
  </si>
  <si>
    <t xml:space="preserve">781 SE TOWNSHIP RD</t>
  </si>
  <si>
    <t xml:space="preserve">ORA20010070</t>
  </si>
  <si>
    <t xml:space="preserve">SECURITY APTS</t>
  </si>
  <si>
    <t xml:space="preserve">130 SW CT AVE</t>
  </si>
  <si>
    <t xml:space="preserve">ORA19870135</t>
  </si>
  <si>
    <t xml:space="preserve">WILLIAMETTE PLACE SENIOR APTS I</t>
  </si>
  <si>
    <t xml:space="preserve">1925 NE MCDONALD LN</t>
  </si>
  <si>
    <t xml:space="preserve">Shares address with ORA19890130 (phase, resyndication or duplicate)</t>
  </si>
  <si>
    <t xml:space="preserve">ORA20000070</t>
  </si>
  <si>
    <t xml:space="preserve">NORTH SLOPE VILLAGE</t>
  </si>
  <si>
    <t xml:space="preserve">1007 W SIXTH AVE</t>
  </si>
  <si>
    <t xml:space="preserve">SUTHERLIN</t>
  </si>
  <si>
    <t xml:space="preserve">97479</t>
  </si>
  <si>
    <t xml:space="preserve">ORA20010050</t>
  </si>
  <si>
    <t xml:space="preserve">PELICAN'S PERCH</t>
  </si>
  <si>
    <t xml:space="preserve">1216 MOORE ST</t>
  </si>
  <si>
    <t xml:space="preserve">ORA20010055</t>
  </si>
  <si>
    <t xml:space="preserve">PINE POINT APTS</t>
  </si>
  <si>
    <t xml:space="preserve">12025 SE PINE ST</t>
  </si>
  <si>
    <t xml:space="preserve">ORA20000005</t>
  </si>
  <si>
    <t xml:space="preserve">ALPHA APTS</t>
  </si>
  <si>
    <t xml:space="preserve">18088 SE MARKET ST</t>
  </si>
  <si>
    <t xml:space="preserve">ORA20000110</t>
  </si>
  <si>
    <t xml:space="preserve">SOUTH HILYARD TERRACE</t>
  </si>
  <si>
    <t xml:space="preserve">535 BETTY NIVEN DR</t>
  </si>
  <si>
    <t xml:space="preserve">ORA20000140</t>
  </si>
  <si>
    <t xml:space="preserve">WEST PARK ORCHARDS</t>
  </si>
  <si>
    <t xml:space="preserve">1711 W 13TH ST</t>
  </si>
  <si>
    <t xml:space="preserve">ORA20010005</t>
  </si>
  <si>
    <t xml:space="preserve">ASH MEADOWS</t>
  </si>
  <si>
    <t xml:space="preserve">6903 A ST</t>
  </si>
  <si>
    <t xml:space="preserve">ORA20010065</t>
  </si>
  <si>
    <t xml:space="preserve">ROSEMONT TOWN HOMES</t>
  </si>
  <si>
    <t xml:space="preserve">621 N SARATOGA ST</t>
  </si>
  <si>
    <t xml:space="preserve">ORA19890070</t>
  </si>
  <si>
    <t xml:space="preserve">MULTI-SITE HOUSES</t>
  </si>
  <si>
    <t xml:space="preserve">520 W 12TH AVE</t>
  </si>
  <si>
    <t xml:space="preserve">ORA19870005</t>
  </si>
  <si>
    <t xml:space="preserve">8-PLEX</t>
  </si>
  <si>
    <t xml:space="preserve">7816 N PORTSMOUTH AVE</t>
  </si>
  <si>
    <t xml:space="preserve">ORA19890115</t>
  </si>
  <si>
    <t xml:space="preserve">TRIPLEXES</t>
  </si>
  <si>
    <t xml:space="preserve">1104 SE BASELINE ST</t>
  </si>
  <si>
    <t xml:space="preserve">ORA19880300</t>
  </si>
  <si>
    <t xml:space="preserve">TRIPLEX</t>
  </si>
  <si>
    <t xml:space="preserve">4013 SW BRUGGER ST</t>
  </si>
  <si>
    <t xml:space="preserve">97219</t>
  </si>
  <si>
    <t xml:space="preserve">ORA19890110</t>
  </si>
  <si>
    <t xml:space="preserve">337 27TH AVE SE</t>
  </si>
  <si>
    <t xml:space="preserve">ORA19870015</t>
  </si>
  <si>
    <t xml:space="preserve">AINSWORTH DUPLEX</t>
  </si>
  <si>
    <t xml:space="preserve">1225 NE AINSWORTH ST</t>
  </si>
  <si>
    <t xml:space="preserve">ORA19880005</t>
  </si>
  <si>
    <t xml:space="preserve">6909 NE GARFIELD AVE</t>
  </si>
  <si>
    <t xml:space="preserve">ORA19880140</t>
  </si>
  <si>
    <t xml:space="preserve">MICHIGAN HOUSE 2</t>
  </si>
  <si>
    <t xml:space="preserve">3713 N MICHIGAN AVE</t>
  </si>
  <si>
    <t xml:space="preserve">ORA19880150</t>
  </si>
  <si>
    <t xml:space="preserve">HOUSE</t>
  </si>
  <si>
    <t xml:space="preserve">2963 N MISSOURI</t>
  </si>
  <si>
    <t xml:space="preserve">ORA19880170</t>
  </si>
  <si>
    <t xml:space="preserve">MISSISSIPPI HOUSE 2</t>
  </si>
  <si>
    <t xml:space="preserve">4211 N MISSISSIPPI AVE</t>
  </si>
  <si>
    <t xml:space="preserve">ORA19880250</t>
  </si>
  <si>
    <t xml:space="preserve">MOBILE HOME</t>
  </si>
  <si>
    <t xml:space="preserve">8540 SE 172ND AVE</t>
  </si>
  <si>
    <t xml:space="preserve">ORA19880285</t>
  </si>
  <si>
    <t xml:space="preserve">ESTATE HOUSE</t>
  </si>
  <si>
    <t xml:space="preserve">339 NE FOURTH AVE</t>
  </si>
  <si>
    <t xml:space="preserve">ORA19880295</t>
  </si>
  <si>
    <t xml:space="preserve">TRIPLE CROWN III</t>
  </si>
  <si>
    <t xml:space="preserve">3890 SW 198TH AVE</t>
  </si>
  <si>
    <t xml:space="preserve">ORA20060015</t>
  </si>
  <si>
    <t xml:space="preserve">COLUMBIA KNOLL</t>
  </si>
  <si>
    <t xml:space="preserve">8320 NE SANDY BLVD</t>
  </si>
  <si>
    <t xml:space="preserve">ORA20020080</t>
  </si>
  <si>
    <t xml:space="preserve">WEST RIDGE MEADOWS APTS</t>
  </si>
  <si>
    <t xml:space="preserve">18464 NW CHEMEKETA LN</t>
  </si>
  <si>
    <t xml:space="preserve">ORA20030115</t>
  </si>
  <si>
    <t xml:space="preserve">WOODRIDGE APTS</t>
  </si>
  <si>
    <t xml:space="preserve">12017 SW TUALATIN RD</t>
  </si>
  <si>
    <t xml:space="preserve">ORA20050020</t>
  </si>
  <si>
    <t xml:space="preserve">GRESHAM STATION APTS</t>
  </si>
  <si>
    <t xml:space="preserve">1957 NW FLORENCE AVE</t>
  </si>
  <si>
    <t xml:space="preserve">ORA20060117</t>
  </si>
  <si>
    <t xml:space="preserve">NEW COLUMBIA TROUTON</t>
  </si>
  <si>
    <t xml:space="preserve">9126 N WOOLSEY AVE</t>
  </si>
  <si>
    <t xml:space="preserve">ORA20060085</t>
  </si>
  <si>
    <t xml:space="preserve">REDWOOD PARK APTS</t>
  </si>
  <si>
    <t xml:space="preserve">4103 W 18TH AVE</t>
  </si>
  <si>
    <t xml:space="preserve">ORA20020070</t>
  </si>
  <si>
    <t xml:space="preserve">TROUTDALE TERRACE APTS</t>
  </si>
  <si>
    <t xml:space="preserve">639 SW 257TH AVE</t>
  </si>
  <si>
    <t xml:space="preserve">ORA20050075</t>
  </si>
  <si>
    <t xml:space="preserve">SITKA APTS</t>
  </si>
  <si>
    <t xml:space="preserve">1115 NW NORTHRUP ST</t>
  </si>
  <si>
    <t xml:space="preserve">ORA20070010</t>
  </si>
  <si>
    <t xml:space="preserve">ESTATE BUILDING</t>
  </si>
  <si>
    <t xml:space="preserve">225 NW COUCH ST</t>
  </si>
  <si>
    <t xml:space="preserve">ORA20040005</t>
  </si>
  <si>
    <t xml:space="preserve">RICHARD L HARRIS BUILDING</t>
  </si>
  <si>
    <t xml:space="preserve">8 NW EIGHTH AVE</t>
  </si>
  <si>
    <t xml:space="preserve">ORA20030055</t>
  </si>
  <si>
    <t xml:space="preserve">PACIFIC TOWER</t>
  </si>
  <si>
    <t xml:space="preserve">333 NW FOURTH AVE</t>
  </si>
  <si>
    <t xml:space="preserve">ORA20030035</t>
  </si>
  <si>
    <t xml:space="preserve">GATEWAY PARK APTS</t>
  </si>
  <si>
    <t xml:space="preserve">510 NE 100TH AVE</t>
  </si>
  <si>
    <t xml:space="preserve">ORA20040055</t>
  </si>
  <si>
    <t xml:space="preserve">GATEWAY COMMONS APTS</t>
  </si>
  <si>
    <t xml:space="preserve">181 SE 18TH AVE</t>
  </si>
  <si>
    <t xml:space="preserve">ORA20030080</t>
  </si>
  <si>
    <t xml:space="preserve">ST FRANCIS APTS</t>
  </si>
  <si>
    <t xml:space="preserve">1024 SW MAIN ST</t>
  </si>
  <si>
    <t xml:space="preserve">Shares address with ORA20039116 (phase, resyndication or duplicate)</t>
  </si>
  <si>
    <t xml:space="preserve">ORA20050040</t>
  </si>
  <si>
    <t xml:space="preserve">NEW COLUMBIA CECELIA</t>
  </si>
  <si>
    <t xml:space="preserve">4926 N ESPERANZA CT</t>
  </si>
  <si>
    <t xml:space="preserve">ORA20069118</t>
  </si>
  <si>
    <t xml:space="preserve">COLUMBIA KNOLL (FAMILY)</t>
  </si>
  <si>
    <t xml:space="preserve">8200 NE SANDY BLVD</t>
  </si>
  <si>
    <t xml:space="preserve">ORA20050091</t>
  </si>
  <si>
    <t xml:space="preserve">TRI-HARBOR LANDING</t>
  </si>
  <si>
    <t xml:space="preserve">210 KLICKITAT ST</t>
  </si>
  <si>
    <t xml:space="preserve">UMATILLA</t>
  </si>
  <si>
    <t xml:space="preserve">97882</t>
  </si>
  <si>
    <t xml:space="preserve">ORA20050092</t>
  </si>
  <si>
    <t xml:space="preserve">VINTAGE AT BEND</t>
  </si>
  <si>
    <t xml:space="preserve">611 NE BELLEVUE DR</t>
  </si>
  <si>
    <t xml:space="preserve">ORA20030005</t>
  </si>
  <si>
    <t xml:space="preserve">CASCADIAN TERRACE</t>
  </si>
  <si>
    <t xml:space="preserve">5700 N KERBY AVE</t>
  </si>
  <si>
    <t xml:space="preserve">ORA20040050</t>
  </si>
  <si>
    <t xml:space="preserve">EAST FAIR TERRACE - OREGON 1</t>
  </si>
  <si>
    <t xml:space="preserve">500 NW DIVISION ST</t>
  </si>
  <si>
    <t xml:space="preserve">ORA20050025</t>
  </si>
  <si>
    <t xml:space="preserve">HOTEL ALDER SRO</t>
  </si>
  <si>
    <t xml:space="preserve">415 SW ALDER ST</t>
  </si>
  <si>
    <t xml:space="preserve">ORA20050005</t>
  </si>
  <si>
    <t xml:space="preserve">ARIEL SOUTH APTS</t>
  </si>
  <si>
    <t xml:space="preserve">1707 SE TEMPEST DR</t>
  </si>
  <si>
    <t xml:space="preserve">97702</t>
  </si>
  <si>
    <t xml:space="preserve">ORA20050080</t>
  </si>
  <si>
    <t xml:space="preserve">TENINO TERRACE</t>
  </si>
  <si>
    <t xml:space="preserve">2405 SE UMATILLA ST</t>
  </si>
  <si>
    <t xml:space="preserve">ORA20040035</t>
  </si>
  <si>
    <t xml:space="preserve">CITY CENTER APTS</t>
  </si>
  <si>
    <t xml:space="preserve">160 SE WASHINGTON ST</t>
  </si>
  <si>
    <t xml:space="preserve">ORA20060020</t>
  </si>
  <si>
    <t xml:space="preserve">GREENBURG OAKS</t>
  </si>
  <si>
    <t xml:space="preserve">11855 SW 91ST AVE</t>
  </si>
  <si>
    <t xml:space="preserve">ORA20040020</t>
  </si>
  <si>
    <t xml:space="preserve">BILTMORE HOTEL</t>
  </si>
  <si>
    <t xml:space="preserve">310 NW SIXTH AVE</t>
  </si>
  <si>
    <t xml:space="preserve">ORA20040115</t>
  </si>
  <si>
    <t xml:space="preserve">VILLAS DE MARIPOSAS</t>
  </si>
  <si>
    <t xml:space="preserve">5205 NE KILLINGSWORTH ST</t>
  </si>
  <si>
    <t xml:space="preserve">ORA20060040</t>
  </si>
  <si>
    <t xml:space="preserve">LINCOLN WOODS</t>
  </si>
  <si>
    <t xml:space="preserve">2333 SE 130TH AVE</t>
  </si>
  <si>
    <t xml:space="preserve">ORA20040030</t>
  </si>
  <si>
    <t xml:space="preserve">CHAMPION PARK APTS PHASE II</t>
  </si>
  <si>
    <t xml:space="preserve">Shares address with ORA19980055 (phase, resyndication or duplicate)</t>
  </si>
  <si>
    <t xml:space="preserve">ORA20030070</t>
  </si>
  <si>
    <t xml:space="preserve">REDWOOD COMMONS</t>
  </si>
  <si>
    <t xml:space="preserve">2161 NE LAFAYETTE AVE</t>
  </si>
  <si>
    <t xml:space="preserve">ORA20040045</t>
  </si>
  <si>
    <t xml:space="preserve">CRESTVIEW COMMONS</t>
  </si>
  <si>
    <t xml:space="preserve">3900 HILYARD AVE</t>
  </si>
  <si>
    <t xml:space="preserve">ORA20020025</t>
  </si>
  <si>
    <t xml:space="preserve">GARDEN PARK ESTATES</t>
  </si>
  <si>
    <t xml:space="preserve">3140 SE 136TH AVE</t>
  </si>
  <si>
    <t xml:space="preserve">ORA20030095</t>
  </si>
  <si>
    <t xml:space="preserve">VILLA CAPRI</t>
  </si>
  <si>
    <t xml:space="preserve">1160 SE WASHINGTON ST</t>
  </si>
  <si>
    <t xml:space="preserve">ORA20060045</t>
  </si>
  <si>
    <t xml:space="preserve">LIVING ON TRACK</t>
  </si>
  <si>
    <t xml:space="preserve">248 BEATTY ST</t>
  </si>
  <si>
    <t xml:space="preserve">ORA20040070</t>
  </si>
  <si>
    <t xml:space="preserve">HAZELWOOD STATION</t>
  </si>
  <si>
    <t xml:space="preserve">36 NE 147TH AVE</t>
  </si>
  <si>
    <t xml:space="preserve">ORA20050055</t>
  </si>
  <si>
    <t xml:space="preserve">ORCHARDS PLAZA</t>
  </si>
  <si>
    <t xml:space="preserve">1310 NE 27TH ST</t>
  </si>
  <si>
    <t xml:space="preserve">ORA20050070</t>
  </si>
  <si>
    <t xml:space="preserve">SANTA CLARA PLACE</t>
  </si>
  <si>
    <t xml:space="preserve">120 SANTA CLARA AVE</t>
  </si>
  <si>
    <t xml:space="preserve">ORA20060025</t>
  </si>
  <si>
    <t xml:space="preserve">HAZEDEL SENIORS</t>
  </si>
  <si>
    <t xml:space="preserve">905 CAROL ST</t>
  </si>
  <si>
    <t xml:space="preserve">ORA20050088</t>
  </si>
  <si>
    <t xml:space="preserve">SOLHAVN APTS</t>
  </si>
  <si>
    <t xml:space="preserve">500 SW BELAIR DR</t>
  </si>
  <si>
    <t xml:space="preserve">CLATSKANIE</t>
  </si>
  <si>
    <t xml:space="preserve">97016</t>
  </si>
  <si>
    <t xml:space="preserve">ORA20020010</t>
  </si>
  <si>
    <t xml:space="preserve">CAMAS COMMONS</t>
  </si>
  <si>
    <t xml:space="preserve">5140 SW MEADOW FLOWER DR</t>
  </si>
  <si>
    <t xml:space="preserve">ORA20020020</t>
  </si>
  <si>
    <t xml:space="preserve">EASTLAKE VILLAGE</t>
  </si>
  <si>
    <t xml:space="preserve">675 NE BELLEVUE DR</t>
  </si>
  <si>
    <t xml:space="preserve">ORA20040075</t>
  </si>
  <si>
    <t xml:space="preserve">INDIAN CREEK VILLAGE</t>
  </si>
  <si>
    <t xml:space="preserve">1585 NINTH CT</t>
  </si>
  <si>
    <t xml:space="preserve">ORA20060100</t>
  </si>
  <si>
    <t xml:space="preserve">VILLAGE AT THE HEADWATERS</t>
  </si>
  <si>
    <t xml:space="preserve">3131 SW MARIGOLD ST</t>
  </si>
  <si>
    <t xml:space="preserve">ORA20060050</t>
  </si>
  <si>
    <t xml:space="preserve">MOUNTAIN LAUREL LODGE</t>
  </si>
  <si>
    <t xml:space="preserve">990 SW YATES DR</t>
  </si>
  <si>
    <t xml:space="preserve">ORA20040025</t>
  </si>
  <si>
    <t xml:space="preserve">CANBY VILLAGE</t>
  </si>
  <si>
    <t xml:space="preserve">488 NW SIXTH AVE</t>
  </si>
  <si>
    <t xml:space="preserve">ORA20060095</t>
  </si>
  <si>
    <t xml:space="preserve">THE TERRACE AT MT SCOTT</t>
  </si>
  <si>
    <t xml:space="preserve">10125 SE BOB SCHUMACHER RD</t>
  </si>
  <si>
    <t xml:space="preserve">ORA20060115</t>
  </si>
  <si>
    <t xml:space="preserve">WILLAMALANE - OREGON 1</t>
  </si>
  <si>
    <t xml:space="preserve">4707 SE BOARDMAN AVE</t>
  </si>
  <si>
    <t xml:space="preserve">ORA20060105</t>
  </si>
  <si>
    <t xml:space="preserve">WEIDLER COMMONS</t>
  </si>
  <si>
    <t xml:space="preserve">1529 NE 21ST AVE</t>
  </si>
  <si>
    <t xml:space="preserve">ORA20020045</t>
  </si>
  <si>
    <t xml:space="preserve">JOSE ARCIGA APTS</t>
  </si>
  <si>
    <t xml:space="preserve">2922 19TH AVE</t>
  </si>
  <si>
    <t xml:space="preserve">ORA20040095</t>
  </si>
  <si>
    <t xml:space="preserve">MEADOWS AT HOPE VILLAGE</t>
  </si>
  <si>
    <t xml:space="preserve">1545 S FIR ST</t>
  </si>
  <si>
    <t xml:space="preserve">ORA20050030</t>
  </si>
  <si>
    <t xml:space="preserve">KATERI PARK</t>
  </si>
  <si>
    <t xml:space="preserve">3640 SE 28TH AVE</t>
  </si>
  <si>
    <t xml:space="preserve">ORA20050015</t>
  </si>
  <si>
    <t xml:space="preserve">COLONIA LIBERTAD</t>
  </si>
  <si>
    <t xml:space="preserve">2910 SADDLE CLUB ST SE</t>
  </si>
  <si>
    <t xml:space="preserve">ORA20050086</t>
  </si>
  <si>
    <t xml:space="preserve">4TH ST ASPENS</t>
  </si>
  <si>
    <t xml:space="preserve">530 NE ASPEN DR</t>
  </si>
  <si>
    <t xml:space="preserve">ORA20050060</t>
  </si>
  <si>
    <t xml:space="preserve">POWELL PLAZA I</t>
  </si>
  <si>
    <t xml:space="preserve">13320 SE POWELL BLVD</t>
  </si>
  <si>
    <t xml:space="preserve">Shares address with ORA20050065 (phase, resyndication or duplicate)</t>
  </si>
  <si>
    <t xml:space="preserve">ORA20060060</t>
  </si>
  <si>
    <t xml:space="preserve">NEW COLUMBIA WOOLSEY 2</t>
  </si>
  <si>
    <t xml:space="preserve">4611 N NEWARK ST</t>
  </si>
  <si>
    <t xml:space="preserve">ORA20040100</t>
  </si>
  <si>
    <t xml:space="preserve">MIDLAND COMMONS</t>
  </si>
  <si>
    <t xml:space="preserve">2830 SE 127TH AVE</t>
  </si>
  <si>
    <t xml:space="preserve">ORA20040105</t>
  </si>
  <si>
    <t xml:space="preserve">MUNSEL PARK APTS</t>
  </si>
  <si>
    <t xml:space="preserve">2021 12TH ST</t>
  </si>
  <si>
    <t xml:space="preserve">ORA20050045</t>
  </si>
  <si>
    <t xml:space="preserve">NEW COLUMBIA HAVEN 9</t>
  </si>
  <si>
    <t xml:space="preserve">9117 N FISKE AVE</t>
  </si>
  <si>
    <t xml:space="preserve">ORA20060010</t>
  </si>
  <si>
    <t xml:space="preserve">CLARA VISTA TOWNHOMES</t>
  </si>
  <si>
    <t xml:space="preserve">5335 NE CULLY BLVD</t>
  </si>
  <si>
    <t xml:space="preserve">ORA20020050</t>
  </si>
  <si>
    <t xml:space="preserve">LOS JARDINES DE LA PAZ</t>
  </si>
  <si>
    <t xml:space="preserve">5530 NE 60TH AVE</t>
  </si>
  <si>
    <t xml:space="preserve">ORA20020055</t>
  </si>
  <si>
    <t xml:space="preserve">SHELDON VILLAGE PHASE I</t>
  </si>
  <si>
    <t xml:space="preserve">2475 SHELDON VILLAGE LOOP</t>
  </si>
  <si>
    <t xml:space="preserve">Shares address with ORA20020060 (phase, resyndication or duplicate)</t>
  </si>
  <si>
    <t xml:space="preserve">ORA20040080</t>
  </si>
  <si>
    <t xml:space="preserve">JASMINE PARK I</t>
  </si>
  <si>
    <t xml:space="preserve">501 NE ANDERSON ST</t>
  </si>
  <si>
    <t xml:space="preserve">ORA20040085</t>
  </si>
  <si>
    <t xml:space="preserve">LILAC MEADOW PHASE II</t>
  </si>
  <si>
    <t xml:space="preserve">3013 CUMMINGS LN</t>
  </si>
  <si>
    <t xml:space="preserve">ORA20060055</t>
  </si>
  <si>
    <t xml:space="preserve">NEW COLUMBIA WOOLSEY 1</t>
  </si>
  <si>
    <t xml:space="preserve">8937 N NEWMAN AVE</t>
  </si>
  <si>
    <t xml:space="preserve">ORA20060065</t>
  </si>
  <si>
    <t xml:space="preserve">NEW COLUMBIA: WOOLSEY 3</t>
  </si>
  <si>
    <t xml:space="preserve">9209 N DWIGHT AVE</t>
  </si>
  <si>
    <t xml:space="preserve">ORA20060005</t>
  </si>
  <si>
    <t xml:space="preserve">ASTORIA GATEWAY SENIOR RESIDENTIAL</t>
  </si>
  <si>
    <t xml:space="preserve">2775 STEAM WHISTLE WAY</t>
  </si>
  <si>
    <t xml:space="preserve">ORA20020015</t>
  </si>
  <si>
    <t xml:space="preserve">CHEZ AMI</t>
  </si>
  <si>
    <t xml:space="preserve">8358 SE CAUSEY AVE</t>
  </si>
  <si>
    <t xml:space="preserve">ORA20020085</t>
  </si>
  <si>
    <t xml:space="preserve">WOODBRIDGE MEADOWS</t>
  </si>
  <si>
    <t xml:space="preserve">288 SE DIMICK ST</t>
  </si>
  <si>
    <t xml:space="preserve">DALLAS</t>
  </si>
  <si>
    <t xml:space="preserve">97338</t>
  </si>
  <si>
    <t xml:space="preserve">ORA20030075</t>
  </si>
  <si>
    <t xml:space="preserve">RIDGEVIEW COMMONS</t>
  </si>
  <si>
    <t xml:space="preserve">449 NE RIDGEVIEW CT</t>
  </si>
  <si>
    <t xml:space="preserve">ORA20040121</t>
  </si>
  <si>
    <t xml:space="preserve">APPLE ORCHARD VILLAGE</t>
  </si>
  <si>
    <t xml:space="preserve">2694 EDGEWOOD DR</t>
  </si>
  <si>
    <t xml:space="preserve">ORA20050089</t>
  </si>
  <si>
    <t xml:space="preserve">STILLWATER</t>
  </si>
  <si>
    <t xml:space="preserve">1811 S SECOND ST</t>
  </si>
  <si>
    <t xml:space="preserve">LEBANON</t>
  </si>
  <si>
    <t xml:space="preserve">97355</t>
  </si>
  <si>
    <t xml:space="preserve">ORA20050090</t>
  </si>
  <si>
    <t xml:space="preserve">TANGLEWOOD</t>
  </si>
  <si>
    <t xml:space="preserve">1919 15TH ST</t>
  </si>
  <si>
    <t xml:space="preserve">ORA20060070</t>
  </si>
  <si>
    <t xml:space="preserve">PARK MANOR - OREGON 1</t>
  </si>
  <si>
    <t xml:space="preserve">42 MARKET ST</t>
  </si>
  <si>
    <t xml:space="preserve">ORA20060116</t>
  </si>
  <si>
    <t xml:space="preserve">HILLSIDE TERRACE APTS</t>
  </si>
  <si>
    <t xml:space="preserve">1201 SHELLEY RD</t>
  </si>
  <si>
    <t xml:space="preserve">COQUILLE</t>
  </si>
  <si>
    <t xml:space="preserve">97423</t>
  </si>
  <si>
    <t xml:space="preserve">ORA20060035</t>
  </si>
  <si>
    <t xml:space="preserve">LINCOLN VILLAGE - OREGON 1</t>
  </si>
  <si>
    <t xml:space="preserve">2530 NE 31ST ST</t>
  </si>
  <si>
    <t xml:space="preserve">ORA20030045</t>
  </si>
  <si>
    <t xml:space="preserve">LENTS 2000</t>
  </si>
  <si>
    <t xml:space="preserve">8940 SE REEDWAY ST</t>
  </si>
  <si>
    <t xml:space="preserve">ORA20040110</t>
  </si>
  <si>
    <t xml:space="preserve">SPRINGWATER COMMONS</t>
  </si>
  <si>
    <t xml:space="preserve">6430 SE 128TH AVE</t>
  </si>
  <si>
    <t xml:space="preserve">ORA20060075</t>
  </si>
  <si>
    <t xml:space="preserve">PINE TREE - OREGON 1</t>
  </si>
  <si>
    <t xml:space="preserve">209 NW GLENHART AVE</t>
  </si>
  <si>
    <t xml:space="preserve">WINSTON</t>
  </si>
  <si>
    <t xml:space="preserve">97496</t>
  </si>
  <si>
    <t xml:space="preserve">ORA20020060</t>
  </si>
  <si>
    <t xml:space="preserve">SHELDON VILLAGE PHASE II</t>
  </si>
  <si>
    <t xml:space="preserve">Shares address with ORA20020055 (phase, resyndication or duplicate)</t>
  </si>
  <si>
    <t xml:space="preserve">ORA20020035</t>
  </si>
  <si>
    <t xml:space="preserve">GREEN LEAF VILLAGE</t>
  </si>
  <si>
    <t xml:space="preserve">2755 E LONE OAK LOOP</t>
  </si>
  <si>
    <t xml:space="preserve">ORA20020065</t>
  </si>
  <si>
    <t xml:space="preserve">SPRUCE TERRACE</t>
  </si>
  <si>
    <t xml:space="preserve">830 N PERSHING ST</t>
  </si>
  <si>
    <t xml:space="preserve">ORA20030090</t>
  </si>
  <si>
    <t xml:space="preserve">TAMARACK VILLAGE</t>
  </si>
  <si>
    <t xml:space="preserve">555 N LARCH ST</t>
  </si>
  <si>
    <t xml:space="preserve">SISTERS</t>
  </si>
  <si>
    <t xml:space="preserve">97759</t>
  </si>
  <si>
    <t xml:space="preserve">ORA20060090</t>
  </si>
  <si>
    <t xml:space="preserve">SUNFLOWER PARK APTS</t>
  </si>
  <si>
    <t xml:space="preserve">267 NE MAY LN</t>
  </si>
  <si>
    <t xml:space="preserve">ORA20030040</t>
  </si>
  <si>
    <t xml:space="preserve">HACIENDA WEST APTS</t>
  </si>
  <si>
    <t xml:space="preserve">515 SW 13TH PL</t>
  </si>
  <si>
    <t xml:space="preserve">ORA20050050</t>
  </si>
  <si>
    <t xml:space="preserve">OLESON WOODS APTS</t>
  </si>
  <si>
    <t xml:space="preserve">9166 SW 91ST AVE</t>
  </si>
  <si>
    <t xml:space="preserve">ORA20060110</t>
  </si>
  <si>
    <t xml:space="preserve">WEST ALAMEDA - OREGON 1</t>
  </si>
  <si>
    <t xml:space="preserve">833 ALAMEDA DR</t>
  </si>
  <si>
    <t xml:space="preserve">ORA20030010</t>
  </si>
  <si>
    <t xml:space="preserve">CLINTON RIDGE APTS</t>
  </si>
  <si>
    <t xml:space="preserve">2730 SE 92ND AVE</t>
  </si>
  <si>
    <t xml:space="preserve">ORA20030015</t>
  </si>
  <si>
    <t xml:space="preserve">COLUMBIA PARK</t>
  </si>
  <si>
    <t xml:space="preserve">47 W SEVENTH ST</t>
  </si>
  <si>
    <t xml:space="preserve">RAINIER</t>
  </si>
  <si>
    <t xml:space="preserve">97048</t>
  </si>
  <si>
    <t xml:space="preserve">ORA20050087</t>
  </si>
  <si>
    <t xml:space="preserve">LAKEVIEW COMMONS</t>
  </si>
  <si>
    <t xml:space="preserve">555 S NINTH ST</t>
  </si>
  <si>
    <t xml:space="preserve">LAKEVIEW</t>
  </si>
  <si>
    <t xml:space="preserve">97630</t>
  </si>
  <si>
    <t xml:space="preserve">ORA20050085</t>
  </si>
  <si>
    <t xml:space="preserve">WEST GRESHAM APTS</t>
  </si>
  <si>
    <t xml:space="preserve">17257 E BURNSIDE ST</t>
  </si>
  <si>
    <t xml:space="preserve">ORA20020030</t>
  </si>
  <si>
    <t xml:space="preserve">GOODWIN COURT</t>
  </si>
  <si>
    <t xml:space="preserve">238 S MAIN ST</t>
  </si>
  <si>
    <t xml:space="preserve">ORA20020075</t>
  </si>
  <si>
    <t xml:space="preserve">VILLAGE AT WASHINGTON SQUARE</t>
  </si>
  <si>
    <t xml:space="preserve">11159 SW HALL BLVD</t>
  </si>
  <si>
    <t xml:space="preserve">ORA20030020</t>
  </si>
  <si>
    <t xml:space="preserve">THE COMMODORE APTS II</t>
  </si>
  <si>
    <t xml:space="preserve">312 CT ST</t>
  </si>
  <si>
    <t xml:space="preserve">ORA20030030</t>
  </si>
  <si>
    <t xml:space="preserve">FOUR OAKS</t>
  </si>
  <si>
    <t xml:space="preserve">1083 23RD ST SE</t>
  </si>
  <si>
    <t xml:space="preserve">ORA20040090</t>
  </si>
  <si>
    <t xml:space="preserve">LINKS</t>
  </si>
  <si>
    <t xml:space="preserve">310 KLICKITAT ST</t>
  </si>
  <si>
    <t xml:space="preserve">ORA20050035</t>
  </si>
  <si>
    <t xml:space="preserve">NK WEST BUILDING</t>
  </si>
  <si>
    <t xml:space="preserve">1206 ADAMS AVE</t>
  </si>
  <si>
    <t xml:space="preserve">ORA20060080</t>
  </si>
  <si>
    <t xml:space="preserve">QUAIL RUN APTS</t>
  </si>
  <si>
    <t xml:space="preserve">20 ERICKSON AVE</t>
  </si>
  <si>
    <t xml:space="preserve">SHADY COVE</t>
  </si>
  <si>
    <t xml:space="preserve">97539</t>
  </si>
  <si>
    <t xml:space="preserve">ORA20030100</t>
  </si>
  <si>
    <t xml:space="preserve">WALLERWOOD</t>
  </si>
  <si>
    <t xml:space="preserve">1134 WALLER ST SE</t>
  </si>
  <si>
    <t xml:space="preserve">ORA20040040</t>
  </si>
  <si>
    <t xml:space="preserve">COREY COMMONS</t>
  </si>
  <si>
    <t xml:space="preserve">2000 S EIGHTH ST</t>
  </si>
  <si>
    <t xml:space="preserve">ORA20050065</t>
  </si>
  <si>
    <t xml:space="preserve">POWELL PLAZA II</t>
  </si>
  <si>
    <t xml:space="preserve">Shares address with ORA20050060 (phase, resyndication or duplicate)</t>
  </si>
  <si>
    <t xml:space="preserve">ORA20030042</t>
  </si>
  <si>
    <t xml:space="preserve">HAZEL COURT</t>
  </si>
  <si>
    <t xml:space="preserve">549 HAZEL ST</t>
  </si>
  <si>
    <t xml:space="preserve">JEFFERSON</t>
  </si>
  <si>
    <t xml:space="preserve">97352</t>
  </si>
  <si>
    <t xml:space="preserve">ORA20030085</t>
  </si>
  <si>
    <t xml:space="preserve">STAYTON MANOR</t>
  </si>
  <si>
    <t xml:space="preserve">820 N THIRD AVE</t>
  </si>
  <si>
    <t xml:space="preserve">ORA20060030</t>
  </si>
  <si>
    <t xml:space="preserve">HIGHLAND STATION</t>
  </si>
  <si>
    <t xml:space="preserve">1262 HIGHLAND AVE NE</t>
  </si>
  <si>
    <t xml:space="preserve">ORA19900085</t>
  </si>
  <si>
    <t xml:space="preserve">ROSE CITY VILLAGE APTS</t>
  </si>
  <si>
    <t xml:space="preserve">1610 NE 66TH AVE</t>
  </si>
  <si>
    <t xml:space="preserve">No Longer Monitored</t>
  </si>
  <si>
    <t xml:space="preserve">ORA19890035</t>
  </si>
  <si>
    <t xml:space="preserve">DURHAM PARK APTS</t>
  </si>
  <si>
    <t xml:space="preserve">16100 SW 108TH AVE</t>
  </si>
  <si>
    <t xml:space="preserve">ORA19880280</t>
  </si>
  <si>
    <t xml:space="preserve">SUNFLOWER APTS II</t>
  </si>
  <si>
    <t xml:space="preserve">11547 SW 135TH AVE</t>
  </si>
  <si>
    <t xml:space="preserve">Shares address with ORA19890105 (phase, resyndication or duplicate)</t>
  </si>
  <si>
    <t xml:space="preserve">ORA19970065</t>
  </si>
  <si>
    <t xml:space="preserve">NEWELL CREEK APTS</t>
  </si>
  <si>
    <t xml:space="preserve">14155 BEAVERCREEK RD</t>
  </si>
  <si>
    <t xml:space="preserve">ORA19880075</t>
  </si>
  <si>
    <t xml:space="preserve">EL MORO APTS</t>
  </si>
  <si>
    <t xml:space="preserve">2016 SE 122ND AVE</t>
  </si>
  <si>
    <t xml:space="preserve">ORA19890010</t>
  </si>
  <si>
    <t xml:space="preserve">BARCLAY HILLS</t>
  </si>
  <si>
    <t xml:space="preserve">13449 BARCLAY HILLS DR</t>
  </si>
  <si>
    <t xml:space="preserve">ORA19890105</t>
  </si>
  <si>
    <t xml:space="preserve">SUNFLOWER APTS I</t>
  </si>
  <si>
    <t xml:space="preserve">Shares address with ORA19880280 (phase, resyndication or duplicate)</t>
  </si>
  <si>
    <t xml:space="preserve">ORA19900050</t>
  </si>
  <si>
    <t xml:space="preserve">GOLDEN WEST</t>
  </si>
  <si>
    <t xml:space="preserve">707 NW EVERETT ST</t>
  </si>
  <si>
    <t xml:space="preserve">ORA19920010</t>
  </si>
  <si>
    <t xml:space="preserve">BELLEAU WOOD</t>
  </si>
  <si>
    <t xml:space="preserve">14914 SW TRACY ANN CT</t>
  </si>
  <si>
    <t xml:space="preserve">97007</t>
  </si>
  <si>
    <t xml:space="preserve">ORA19980015</t>
  </si>
  <si>
    <t xml:space="preserve">ASHLEY SENIOR CENTER APTS</t>
  </si>
  <si>
    <t xml:space="preserve">2301 SISKIYOU BLVD</t>
  </si>
  <si>
    <t xml:space="preserve">ORA19890095</t>
  </si>
  <si>
    <t xml:space="preserve">STONERIDGE II</t>
  </si>
  <si>
    <t xml:space="preserve">3862 SUNNYVIEW RD NE</t>
  </si>
  <si>
    <t xml:space="preserve">ORA19890055</t>
  </si>
  <si>
    <t xml:space="preserve">HOLIDAY GARDENS - TALENT APTS</t>
  </si>
  <si>
    <t xml:space="preserve">220 HOLIDAY LN</t>
  </si>
  <si>
    <t xml:space="preserve">TALENT</t>
  </si>
  <si>
    <t xml:space="preserve">97540</t>
  </si>
  <si>
    <t xml:space="preserve">ORA19870110</t>
  </si>
  <si>
    <t xml:space="preserve">SEA HAVEN APTS</t>
  </si>
  <si>
    <t xml:space="preserve">1550 SE 14TH ST</t>
  </si>
  <si>
    <t xml:space="preserve">ORA19870125</t>
  </si>
  <si>
    <t xml:space="preserve">VILLAGE MANOR</t>
  </si>
  <si>
    <t xml:space="preserve">2411 S SECOND ST</t>
  </si>
  <si>
    <t xml:space="preserve">ORA19890100</t>
  </si>
  <si>
    <t xml:space="preserve">STONERIDGE III</t>
  </si>
  <si>
    <t xml:space="preserve">3576 SUNNYVIEW RD NE</t>
  </si>
  <si>
    <t xml:space="preserve">ORA19900020</t>
  </si>
  <si>
    <t xml:space="preserve">BROOKSIDE COURT APTS</t>
  </si>
  <si>
    <t xml:space="preserve">Shares address with ORA19910013 (phase, resyndication or duplicate)</t>
  </si>
  <si>
    <t xml:space="preserve">ORA19870120</t>
  </si>
  <si>
    <t xml:space="preserve">SUNNYSLOPE APTS</t>
  </si>
  <si>
    <t xml:space="preserve">621 N RIVER RD</t>
  </si>
  <si>
    <t xml:space="preserve">ROGUE RIVER</t>
  </si>
  <si>
    <t xml:space="preserve">97537</t>
  </si>
  <si>
    <t xml:space="preserve">ORA19880230</t>
  </si>
  <si>
    <t xml:space="preserve">JANDINA PARK APTS</t>
  </si>
  <si>
    <t xml:space="preserve">1750 SW SESAME ST</t>
  </si>
  <si>
    <t xml:space="preserve">ORA19890135</t>
  </si>
  <si>
    <t xml:space="preserve">WOODLAND APTS</t>
  </si>
  <si>
    <t xml:space="preserve">2401 LONGWOOD DR</t>
  </si>
  <si>
    <t xml:space="preserve">REEDSPORT</t>
  </si>
  <si>
    <t xml:space="preserve">97467</t>
  </si>
  <si>
    <t xml:space="preserve">ORA19880270</t>
  </si>
  <si>
    <t xml:space="preserve">SECOND WIND APTS</t>
  </si>
  <si>
    <t xml:space="preserve">7927 SW 31ST AVE</t>
  </si>
  <si>
    <t xml:space="preserve">ORA19890050</t>
  </si>
  <si>
    <t xml:space="preserve">GLENNIS PARK</t>
  </si>
  <si>
    <t xml:space="preserve">140 NW SCOTT ST</t>
  </si>
  <si>
    <t xml:space="preserve">ORA19890045</t>
  </si>
  <si>
    <t xml:space="preserve">EVANS ST SENIOR APTS</t>
  </si>
  <si>
    <t xml:space="preserve">39665 EVANS ST</t>
  </si>
  <si>
    <t xml:space="preserve">ORA19880225</t>
  </si>
  <si>
    <t xml:space="preserve">IMPERIAL ARMS APTS</t>
  </si>
  <si>
    <t xml:space="preserve">1429 SW 14TH AVE</t>
  </si>
  <si>
    <t xml:space="preserve">ORA19880100</t>
  </si>
  <si>
    <t xml:space="preserve">HOLIDAY GARDENS - JACKSONVILLE APTS</t>
  </si>
  <si>
    <t xml:space="preserve">556 G ST</t>
  </si>
  <si>
    <t xml:space="preserve">JACKSONVILLE</t>
  </si>
  <si>
    <t xml:space="preserve">97530</t>
  </si>
  <si>
    <t xml:space="preserve">ORA19890080</t>
  </si>
  <si>
    <t xml:space="preserve">NORTHFORK APTS</t>
  </si>
  <si>
    <t xml:space="preserve">544 N TENTH ST</t>
  </si>
  <si>
    <t xml:space="preserve">ORA19890130</t>
  </si>
  <si>
    <t xml:space="preserve">WILLIAMETTE PLACE SENIOR APTS II</t>
  </si>
  <si>
    <t xml:space="preserve">Shares address with ORA19870135 (phase, resyndication or duplicate)</t>
  </si>
  <si>
    <t xml:space="preserve">ORA19870075</t>
  </si>
  <si>
    <t xml:space="preserve">IBERIS ST APTS</t>
  </si>
  <si>
    <t xml:space="preserve">3862 IBERIS ST NE</t>
  </si>
  <si>
    <t xml:space="preserve">ORA19880240</t>
  </si>
  <si>
    <t xml:space="preserve">MELISSA ANNE APTS</t>
  </si>
  <si>
    <t xml:space="preserve">7660 E BURNSIDE ST</t>
  </si>
  <si>
    <t xml:space="preserve">97215</t>
  </si>
  <si>
    <t xml:space="preserve">ORA19880290</t>
  </si>
  <si>
    <t xml:space="preserve">TIOGA ROOM &amp; APTS</t>
  </si>
  <si>
    <t xml:space="preserve">275 N BROADWAY</t>
  </si>
  <si>
    <t xml:space="preserve">COOS BAY</t>
  </si>
  <si>
    <t xml:space="preserve">97420</t>
  </si>
  <si>
    <t xml:space="preserve">ORA19880050</t>
  </si>
  <si>
    <t xml:space="preserve">COUNTRY CLUB MANOR</t>
  </si>
  <si>
    <t xml:space="preserve">2477 CAL YOUNG RD</t>
  </si>
  <si>
    <t xml:space="preserve">ORA19880010</t>
  </si>
  <si>
    <t xml:space="preserve">9105 SE 32ND AVE</t>
  </si>
  <si>
    <t xml:space="preserve">ORA19880015</t>
  </si>
  <si>
    <t xml:space="preserve">CEDARS APTS</t>
  </si>
  <si>
    <t xml:space="preserve">25 W 30TH AVE</t>
  </si>
  <si>
    <t xml:space="preserve">ORA19880040</t>
  </si>
  <si>
    <t xml:space="preserve">CAROL ANN APTS</t>
  </si>
  <si>
    <t xml:space="preserve">5109 NE KILLINGSWORTH ST</t>
  </si>
  <si>
    <t xml:space="preserve">ORA19880045</t>
  </si>
  <si>
    <t xml:space="preserve">CONVERSE COURT APTS</t>
  </si>
  <si>
    <t xml:space="preserve">325 NW 18TH AVE</t>
  </si>
  <si>
    <t xml:space="preserve">ORA19880310</t>
  </si>
  <si>
    <t xml:space="preserve">WILLAMETTE STREET</t>
  </si>
  <si>
    <t xml:space="preserve">2966 WILLAMETTE ST</t>
  </si>
  <si>
    <t xml:space="preserve">ORA19880055</t>
  </si>
  <si>
    <t xml:space="preserve">COURTYARD APTS</t>
  </si>
  <si>
    <t xml:space="preserve">140 SW NINTH ST</t>
  </si>
  <si>
    <t xml:space="preserve">ORA19880105</t>
  </si>
  <si>
    <t xml:space="preserve">HOLLADAY CT</t>
  </si>
  <si>
    <t xml:space="preserve">2310 NE WEIDLER ST</t>
  </si>
  <si>
    <t xml:space="preserve">ORA19880315</t>
  </si>
  <si>
    <t xml:space="preserve">WILSHIRE APTS</t>
  </si>
  <si>
    <t xml:space="preserve">420 SE GRAND AVE</t>
  </si>
  <si>
    <t xml:space="preserve">ORA19870030</t>
  </si>
  <si>
    <t xml:space="preserve">HILLSIDE APTS</t>
  </si>
  <si>
    <t xml:space="preserve">420 HILLSIDE AVE</t>
  </si>
  <si>
    <t xml:space="preserve">ORA19870025</t>
  </si>
  <si>
    <t xml:space="preserve">EASTSIDE ONE APTS</t>
  </si>
  <si>
    <t xml:space="preserve">138 25TH ST NE</t>
  </si>
  <si>
    <t xml:space="preserve">ORA19870090</t>
  </si>
  <si>
    <t xml:space="preserve">KINNAMON SQUARE APTS</t>
  </si>
  <si>
    <t xml:space="preserve">4445 SW 188TH AVE</t>
  </si>
  <si>
    <t xml:space="preserve">ORA19880025</t>
  </si>
  <si>
    <t xml:space="preserve">BAKER STREET APTS</t>
  </si>
  <si>
    <t xml:space="preserve">1920 SW BAKER ST</t>
  </si>
  <si>
    <t xml:space="preserve">ORA19880085</t>
  </si>
  <si>
    <t xml:space="preserve">FOUNTAIN COURT</t>
  </si>
  <si>
    <t xml:space="preserve">894 W ORCHARD AVE</t>
  </si>
  <si>
    <t xml:space="preserve">ORA19880275</t>
  </si>
  <si>
    <t xml:space="preserve">SUNBURST MANOR APTS</t>
  </si>
  <si>
    <t xml:space="preserve">88078 SIXTH ST</t>
  </si>
  <si>
    <t xml:space="preserve">ORA19890040</t>
  </si>
  <si>
    <t xml:space="preserve">EAST 15TH ST DUPLEX &amp; 4-PLEX</t>
  </si>
  <si>
    <t xml:space="preserve">447 E 15TH AVE</t>
  </si>
  <si>
    <t xml:space="preserve">ORA19890085</t>
  </si>
  <si>
    <t xml:space="preserve">OPUS THREE</t>
  </si>
  <si>
    <t xml:space="preserve">13730 SE STARK ST</t>
  </si>
  <si>
    <t xml:space="preserve">ORA19880255</t>
  </si>
  <si>
    <t xml:space="preserve">PARDEE LANE HOUSE</t>
  </si>
  <si>
    <t xml:space="preserve">105 PARDEE LN</t>
  </si>
  <si>
    <t xml:space="preserve">ORA19880020</t>
  </si>
  <si>
    <t xml:space="preserve">4-PLEX</t>
  </si>
  <si>
    <t xml:space="preserve">12125 SW FIFTH ST</t>
  </si>
  <si>
    <t xml:space="preserve">ORA19880030</t>
  </si>
  <si>
    <t xml:space="preserve">BEAVERTON APTS</t>
  </si>
  <si>
    <t xml:space="preserve">11815 SW FIFTH ST</t>
  </si>
  <si>
    <t xml:space="preserve">ORA19880035</t>
  </si>
  <si>
    <t xml:space="preserve">BEECH STREET 4-PLEX</t>
  </si>
  <si>
    <t xml:space="preserve">1027 N BEECH ST</t>
  </si>
  <si>
    <t xml:space="preserve">ORA19880090</t>
  </si>
  <si>
    <t xml:space="preserve">FRANKLIN STREET APTS</t>
  </si>
  <si>
    <t xml:space="preserve">4920 SW FRANKLIN AVE</t>
  </si>
  <si>
    <t xml:space="preserve">ORA19890090</t>
  </si>
  <si>
    <t xml:space="preserve">RUSSELL PLACE DUPLEXES</t>
  </si>
  <si>
    <t xml:space="preserve">16333 NE RUSSELL ST</t>
  </si>
  <si>
    <t xml:space="preserve">ORA19880235</t>
  </si>
  <si>
    <t xml:space="preserve">MAIN STREET TRIPLEX</t>
  </si>
  <si>
    <t xml:space="preserve">1110 MAIN ST</t>
  </si>
  <si>
    <t xml:space="preserve">ORA19890125</t>
  </si>
  <si>
    <t xml:space="preserve">WALNUT TRIPLEX</t>
  </si>
  <si>
    <t xml:space="preserve">647 SE WALNUT ST</t>
  </si>
  <si>
    <t xml:space="preserve">ORA19870020</t>
  </si>
  <si>
    <t xml:space="preserve">DUPLEX</t>
  </si>
  <si>
    <t xml:space="preserve">2815 SE FRANCIS ST</t>
  </si>
  <si>
    <t xml:space="preserve">ORA19880060</t>
  </si>
  <si>
    <t xml:space="preserve">DENVER STREET DUPLEX</t>
  </si>
  <si>
    <t xml:space="preserve">411 DENVER ST SE</t>
  </si>
  <si>
    <t xml:space="preserve">ORA19880065</t>
  </si>
  <si>
    <t xml:space="preserve">309 NW 25TH ST</t>
  </si>
  <si>
    <t xml:space="preserve">ORA19880070</t>
  </si>
  <si>
    <t xml:space="preserve">5276 NE 15TH AVE</t>
  </si>
  <si>
    <t xml:space="preserve">ORA19980005</t>
  </si>
  <si>
    <t xml:space="preserve">30TH PL DUPLEX</t>
  </si>
  <si>
    <t xml:space="preserve">204 30TH PL SE</t>
  </si>
  <si>
    <t xml:space="preserve">ORA19870035</t>
  </si>
  <si>
    <t xml:space="preserve">1525 NE EMERSON ST</t>
  </si>
  <si>
    <t xml:space="preserve">ORA19870040</t>
  </si>
  <si>
    <t xml:space="preserve">2024 NE EMERSON ST</t>
  </si>
  <si>
    <t xml:space="preserve">ORA19870045</t>
  </si>
  <si>
    <t xml:space="preserve">3514 NE CLEVELAND AVE</t>
  </si>
  <si>
    <t xml:space="preserve">ORA19870050</t>
  </si>
  <si>
    <t xml:space="preserve">4403 NE 16TH AVE</t>
  </si>
  <si>
    <t xml:space="preserve">ORA19870055</t>
  </si>
  <si>
    <t xml:space="preserve">5215 NE GARFIELD AVE</t>
  </si>
  <si>
    <t xml:space="preserve">ORA19870060</t>
  </si>
  <si>
    <t xml:space="preserve">6635 NE 24TH AVE</t>
  </si>
  <si>
    <t xml:space="preserve">ORA19870065</t>
  </si>
  <si>
    <t xml:space="preserve">7034 NE SEVENTH PL</t>
  </si>
  <si>
    <t xml:space="preserve">ORA19870070</t>
  </si>
  <si>
    <t xml:space="preserve">8523 N CURTIS AVE</t>
  </si>
  <si>
    <t xml:space="preserve">ORA19870080</t>
  </si>
  <si>
    <t xml:space="preserve">KILLINGSWORTH HOUSE</t>
  </si>
  <si>
    <t xml:space="preserve">1707 NE KILLINGSWORTH ST</t>
  </si>
  <si>
    <t xml:space="preserve">ORA19870085</t>
  </si>
  <si>
    <t xml:space="preserve">817 NE KILLINGSWORTH ST</t>
  </si>
  <si>
    <t xml:space="preserve">ORA19870095</t>
  </si>
  <si>
    <t xml:space="preserve">MICHIGAN HOUSE</t>
  </si>
  <si>
    <t xml:space="preserve">5942 N MICHIGAN AVE</t>
  </si>
  <si>
    <t xml:space="preserve">ORA19870100</t>
  </si>
  <si>
    <t xml:space="preserve">MISSISSIPPI HOUSE</t>
  </si>
  <si>
    <t xml:space="preserve">5323 N MISSISSIPPI AVE</t>
  </si>
  <si>
    <t xml:space="preserve">ORA19870115</t>
  </si>
  <si>
    <t xml:space="preserve">SUMMER HOUSE</t>
  </si>
  <si>
    <t xml:space="preserve">1725 NE SUMNER ST</t>
  </si>
  <si>
    <t xml:space="preserve">ORA19870130</t>
  </si>
  <si>
    <t xml:space="preserve">VILLARD HOUSE</t>
  </si>
  <si>
    <t xml:space="preserve">6935 N VILLARD AVE</t>
  </si>
  <si>
    <t xml:space="preserve">ORA19870140</t>
  </si>
  <si>
    <t xml:space="preserve">WILLIS HOUSE</t>
  </si>
  <si>
    <t xml:space="preserve">4121 N WILLIS BLVD</t>
  </si>
  <si>
    <t xml:space="preserve">ORA19880095</t>
  </si>
  <si>
    <t xml:space="preserve">HOLGATE HOUSE</t>
  </si>
  <si>
    <t xml:space="preserve">4601 SE CESAR E CHAVEZ BLVD</t>
  </si>
  <si>
    <t xml:space="preserve">ORA19880110</t>
  </si>
  <si>
    <t xml:space="preserve">1035 NE 25TH AVE</t>
  </si>
  <si>
    <t xml:space="preserve">ORA19880115</t>
  </si>
  <si>
    <t xml:space="preserve">105 N GOING ST</t>
  </si>
  <si>
    <t xml:space="preserve">ORA19880120</t>
  </si>
  <si>
    <t xml:space="preserve">1125 W NINTH ST</t>
  </si>
  <si>
    <t xml:space="preserve">ORA19880125</t>
  </si>
  <si>
    <t xml:space="preserve">3310 N WINCHELL ST</t>
  </si>
  <si>
    <t xml:space="preserve">ORA19880130</t>
  </si>
  <si>
    <t xml:space="preserve">6TH HOUSE</t>
  </si>
  <si>
    <t xml:space="preserve">3927 NE 6TH AVE</t>
  </si>
  <si>
    <t xml:space="preserve">ORA19880135</t>
  </si>
  <si>
    <t xml:space="preserve">360 SE OAK ST</t>
  </si>
  <si>
    <t xml:space="preserve">ORA19880145</t>
  </si>
  <si>
    <t xml:space="preserve">3927 NE SIXTH AVE</t>
  </si>
  <si>
    <t xml:space="preserve">ORA19880155</t>
  </si>
  <si>
    <t xml:space="preserve">3963 NE NINTH AVE</t>
  </si>
  <si>
    <t xml:space="preserve">ORA19880160</t>
  </si>
  <si>
    <t xml:space="preserve">402 NE FOURTH AVE</t>
  </si>
  <si>
    <t xml:space="preserve">ORA19880165</t>
  </si>
  <si>
    <t xml:space="preserve">4036 N GANTENBEIN AVE</t>
  </si>
  <si>
    <t xml:space="preserve">ORA19880175</t>
  </si>
  <si>
    <t xml:space="preserve">4513 NE 18TH AVE</t>
  </si>
  <si>
    <t xml:space="preserve">ORA19880180</t>
  </si>
  <si>
    <t xml:space="preserve">5109 NE 11TH AVE</t>
  </si>
  <si>
    <t xml:space="preserve">ORA19880185</t>
  </si>
  <si>
    <t xml:space="preserve">5273 NE 23RD AVE</t>
  </si>
  <si>
    <t xml:space="preserve">ORA19880190</t>
  </si>
  <si>
    <t xml:space="preserve">5506 NE 32ND PL</t>
  </si>
  <si>
    <t xml:space="preserve">ORA19880195</t>
  </si>
  <si>
    <t xml:space="preserve">5620 NE 22ND AVE</t>
  </si>
  <si>
    <t xml:space="preserve">ORA19880200</t>
  </si>
  <si>
    <t xml:space="preserve">5628 NE 22ND AVE</t>
  </si>
  <si>
    <t xml:space="preserve">ORA19880205</t>
  </si>
  <si>
    <t xml:space="preserve">6025 N CAMPBELL AVE</t>
  </si>
  <si>
    <t xml:space="preserve">ORA19880210</t>
  </si>
  <si>
    <t xml:space="preserve">ORA19880215</t>
  </si>
  <si>
    <t xml:space="preserve">715 NE FAILING ST</t>
  </si>
  <si>
    <t xml:space="preserve">ORA19880220</t>
  </si>
  <si>
    <t xml:space="preserve">7175 SW HALL BLVD</t>
  </si>
  <si>
    <t xml:space="preserve">97008</t>
  </si>
  <si>
    <t xml:space="preserve">ORA19880245</t>
  </si>
  <si>
    <t xml:space="preserve">3721 N MICHIGAN AVE</t>
  </si>
  <si>
    <t xml:space="preserve">ORA19890025</t>
  </si>
  <si>
    <t xml:space="preserve">DENVER HOUSE 1</t>
  </si>
  <si>
    <t xml:space="preserve">7056 N DENVER AVE</t>
  </si>
  <si>
    <t xml:space="preserve">ORA19890030</t>
  </si>
  <si>
    <t xml:space="preserve">DENVER HOUSE 2</t>
  </si>
  <si>
    <t xml:space="preserve">7048 N DENVER AVE</t>
  </si>
  <si>
    <t xml:space="preserve">ORA19890060</t>
  </si>
  <si>
    <t xml:space="preserve">340 S EIGHTH AVE</t>
  </si>
  <si>
    <t xml:space="preserve">CORNELIUS</t>
  </si>
  <si>
    <t xml:space="preserve">97113</t>
  </si>
  <si>
    <t xml:space="preserve">ORA19890065</t>
  </si>
  <si>
    <t xml:space="preserve">545 N BALDWIN ST</t>
  </si>
  <si>
    <t xml:space="preserve">ORA19890120</t>
  </si>
  <si>
    <t xml:space="preserve">WABASH HOUSE</t>
  </si>
  <si>
    <t xml:space="preserve">1165 WABASH AVE</t>
  </si>
  <si>
    <t xml:space="preserve">ORA19900060</t>
  </si>
  <si>
    <t xml:space="preserve">1226 AVE B</t>
  </si>
  <si>
    <t xml:space="preserve">ORA20150004</t>
  </si>
  <si>
    <t xml:space="preserve">ERICKSON-FRITZ APTS</t>
  </si>
  <si>
    <t xml:space="preserve">9 NW 2ND AVE</t>
  </si>
  <si>
    <t xml:space="preserve">ORA20141007</t>
  </si>
  <si>
    <t xml:space="preserve">SIUSLAW DUNES</t>
  </si>
  <si>
    <t xml:space="preserve">1750 43RD STREET</t>
  </si>
  <si>
    <t xml:space="preserve">ORA20050010</t>
  </si>
  <si>
    <t xml:space="preserve">AUTUMN PARK</t>
  </si>
  <si>
    <t xml:space="preserve">10900 SW WILSONVILLE RD</t>
  </si>
  <si>
    <t xml:space="preserve">ORA20070115</t>
  </si>
  <si>
    <t xml:space="preserve">WILLAMETTE GARDENS</t>
  </si>
  <si>
    <t xml:space="preserve">3545 KINSROW AVE</t>
  </si>
  <si>
    <t xml:space="preserve">ORA20070045</t>
  </si>
  <si>
    <t xml:space="preserve">MORRISON</t>
  </si>
  <si>
    <t xml:space="preserve">1959 SW MORRISON ST</t>
  </si>
  <si>
    <t xml:space="preserve">ORA20080040</t>
  </si>
  <si>
    <t xml:space="preserve">HUMBOLDT GARDENS</t>
  </si>
  <si>
    <t xml:space="preserve">5033 N VANCOUVER AVE</t>
  </si>
  <si>
    <t xml:space="preserve">ORA20080130</t>
  </si>
  <si>
    <t xml:space="preserve">SUNSET GARDENS APTS</t>
  </si>
  <si>
    <t xml:space="preserve">951 SE 13TH AVE</t>
  </si>
  <si>
    <t xml:space="preserve">ORA20080090</t>
  </si>
  <si>
    <t xml:space="preserve">QUEEN ANNE APTS</t>
  </si>
  <si>
    <t xml:space="preserve">142 E ELMORE ST</t>
  </si>
  <si>
    <t xml:space="preserve">ORA20080070</t>
  </si>
  <si>
    <t xml:space="preserve">MUSOLF MANOR</t>
  </si>
  <si>
    <t xml:space="preserve">216 NW THIRD AVE</t>
  </si>
  <si>
    <t xml:space="preserve">ORA20080110</t>
  </si>
  <si>
    <t xml:space="preserve">ROGUE RIVER ESTATES</t>
  </si>
  <si>
    <t xml:space="preserve">1395 POPLAR DR</t>
  </si>
  <si>
    <t xml:space="preserve">ORA20070030</t>
  </si>
  <si>
    <t xml:space="preserve">MAPLE TERRACE - MEDFORD</t>
  </si>
  <si>
    <t xml:space="preserve">5 MACE RD</t>
  </si>
  <si>
    <t xml:space="preserve">ORA20080045</t>
  </si>
  <si>
    <t xml:space="preserve">JEFFREY APTS</t>
  </si>
  <si>
    <t xml:space="preserve">1201 SW 11TH AVE</t>
  </si>
  <si>
    <t xml:space="preserve">ORA20080055</t>
  </si>
  <si>
    <t xml:space="preserve">MERLO STATION APTS I</t>
  </si>
  <si>
    <t xml:space="preserve">2024 SW MERLO CT</t>
  </si>
  <si>
    <t xml:space="preserve">ORA20080020</t>
  </si>
  <si>
    <t xml:space="preserve">ESPERANZA COURT</t>
  </si>
  <si>
    <t xml:space="preserve">3611 SE 28TH AVE</t>
  </si>
  <si>
    <t xml:space="preserve">ORA20070090</t>
  </si>
  <si>
    <t xml:space="preserve">TRENTON TERRACE</t>
  </si>
  <si>
    <t xml:space="preserve">4720 N TRENTON ST</t>
  </si>
  <si>
    <t xml:space="preserve">ORA20070060</t>
  </si>
  <si>
    <t xml:space="preserve">NORTH MAIN VILLAGE</t>
  </si>
  <si>
    <t xml:space="preserve">10554 SE MAIN ST</t>
  </si>
  <si>
    <t xml:space="preserve">ORA20080010</t>
  </si>
  <si>
    <t xml:space="preserve">BROADWAY VANTAGE</t>
  </si>
  <si>
    <t xml:space="preserve">8238 NE BROADWAY ST</t>
  </si>
  <si>
    <t xml:space="preserve">ORA20080125</t>
  </si>
  <si>
    <t xml:space="preserve">SIERRA WEST, PROYECTO ADELANTES FAMILIAS</t>
  </si>
  <si>
    <t xml:space="preserve">353 SE 12TH AVE</t>
  </si>
  <si>
    <t xml:space="preserve">ORA20070040</t>
  </si>
  <si>
    <t xml:space="preserve">MAYBELLE CLARK MACDONALD CENTER</t>
  </si>
  <si>
    <t xml:space="preserve">605 NW COUCH ST</t>
  </si>
  <si>
    <t xml:space="preserve">ORA20080015</t>
  </si>
  <si>
    <t xml:space="preserve">CONIFER GARDENS</t>
  </si>
  <si>
    <t xml:space="preserve">700 ROYAL AVE</t>
  </si>
  <si>
    <t xml:space="preserve">ORA20070110</t>
  </si>
  <si>
    <t xml:space="preserve">WATERSHED AT HILLSDALE</t>
  </si>
  <si>
    <t xml:space="preserve">6388 SW CAPITOL HWY</t>
  </si>
  <si>
    <t xml:space="preserve">ORA20080035</t>
  </si>
  <si>
    <t xml:space="preserve">GRANDE WOODS APTS</t>
  </si>
  <si>
    <t xml:space="preserve">2005B GEKELER LN</t>
  </si>
  <si>
    <t xml:space="preserve">ORA20080120</t>
  </si>
  <si>
    <t xml:space="preserve">VILLAGE QUARTER</t>
  </si>
  <si>
    <t xml:space="preserve">333 NE IRVINE ST</t>
  </si>
  <si>
    <t xml:space="preserve">ORA20089136</t>
  </si>
  <si>
    <t xml:space="preserve">NUEVO AMANCER</t>
  </si>
  <si>
    <t xml:space="preserve">ORA20070020</t>
  </si>
  <si>
    <t xml:space="preserve">INDIAN HILLS</t>
  </si>
  <si>
    <t xml:space="preserve">1335 SW SECOND ST</t>
  </si>
  <si>
    <t xml:space="preserve">ORA20080030</t>
  </si>
  <si>
    <t xml:space="preserve">GARDEN GROVE APTS</t>
  </si>
  <si>
    <t xml:space="preserve">2727 22ND AVE</t>
  </si>
  <si>
    <t xml:space="preserve">ORA20080060</t>
  </si>
  <si>
    <t xml:space="preserve">MERLO STATION APTS II</t>
  </si>
  <si>
    <t xml:space="preserve">2054 SW MERLO CT</t>
  </si>
  <si>
    <t xml:space="preserve">ORA20070065</t>
  </si>
  <si>
    <t xml:space="preserve">PINEHURST APTS</t>
  </si>
  <si>
    <t xml:space="preserve">1502 21ST ST</t>
  </si>
  <si>
    <t xml:space="preserve">ORA20070075</t>
  </si>
  <si>
    <t xml:space="preserve">RIDGEMONT APTS</t>
  </si>
  <si>
    <t xml:space="preserve">2210 SW 19TH ST</t>
  </si>
  <si>
    <t xml:space="preserve">ORA20070105</t>
  </si>
  <si>
    <t xml:space="preserve">WASHINGTON PARK</t>
  </si>
  <si>
    <t xml:space="preserve">925 COWL ST</t>
  </si>
  <si>
    <t xml:space="preserve">ORA20080135</t>
  </si>
  <si>
    <t xml:space="preserve">WILLOW PARK APTS</t>
  </si>
  <si>
    <t xml:space="preserve">2824 22ND AVE</t>
  </si>
  <si>
    <t xml:space="preserve">ORA20080005</t>
  </si>
  <si>
    <t xml:space="preserve">BEACON CREST APTS</t>
  </si>
  <si>
    <t xml:space="preserve">2897 NE 47TH ST</t>
  </si>
  <si>
    <t xml:space="preserve">ORA20080115</t>
  </si>
  <si>
    <t xml:space="preserve">SUNLAND PARK APTS</t>
  </si>
  <si>
    <t xml:space="preserve">1630 W SUNLAND AVE</t>
  </si>
  <si>
    <t xml:space="preserve">ORA20070005</t>
  </si>
  <si>
    <t xml:space="preserve">COLONIA AMISTAD</t>
  </si>
  <si>
    <t xml:space="preserve">30 S GUN CLUB RD</t>
  </si>
  <si>
    <t xml:space="preserve">INDEPENDENCE</t>
  </si>
  <si>
    <t xml:space="preserve">97351</t>
  </si>
  <si>
    <t xml:space="preserve">ORA20070025</t>
  </si>
  <si>
    <t xml:space="preserve">LEANDER COURT</t>
  </si>
  <si>
    <t xml:space="preserve">4600 SE 122ND AVE</t>
  </si>
  <si>
    <t xml:space="preserve">ORA20070015</t>
  </si>
  <si>
    <t xml:space="preserve">HERON RIDGE APTS</t>
  </si>
  <si>
    <t xml:space="preserve">521 FIR ST</t>
  </si>
  <si>
    <t xml:space="preserve">ORA20070070</t>
  </si>
  <si>
    <t xml:space="preserve">RICKREALL CREEK TOWNHOMES</t>
  </si>
  <si>
    <t xml:space="preserve">277 SW WALNUT AVE</t>
  </si>
  <si>
    <t xml:space="preserve">ORA20070080</t>
  </si>
  <si>
    <t xml:space="preserve">ROYAL BUILDING</t>
  </si>
  <si>
    <t xml:space="preserve">509 MAIN ST</t>
  </si>
  <si>
    <t xml:space="preserve">ORA20080075</t>
  </si>
  <si>
    <t xml:space="preserve">PENDLETON SQUARE APTS I</t>
  </si>
  <si>
    <t xml:space="preserve">300 SW 28TH DR</t>
  </si>
  <si>
    <t xml:space="preserve">ORA20080050</t>
  </si>
  <si>
    <t xml:space="preserve">LAKE EMPIRE APTS</t>
  </si>
  <si>
    <t xml:space="preserve">1660 NEWMARK AVE</t>
  </si>
  <si>
    <t xml:space="preserve">ORA20080085</t>
  </si>
  <si>
    <t xml:space="preserve">PINES</t>
  </si>
  <si>
    <t xml:space="preserve">1550 15TH ST</t>
  </si>
  <si>
    <t xml:space="preserve">ORA20080065</t>
  </si>
  <si>
    <t xml:space="preserve">MOUNTAIN VIEW MANOR</t>
  </si>
  <si>
    <t xml:space="preserve">76365 FERN ST</t>
  </si>
  <si>
    <t xml:space="preserve">OAKRIDGE</t>
  </si>
  <si>
    <t xml:space="preserve">97463</t>
  </si>
  <si>
    <t xml:space="preserve">ORA20070095</t>
  </si>
  <si>
    <t xml:space="preserve">TRYON MEWS APTS</t>
  </si>
  <si>
    <t xml:space="preserve">8453 SW 30TH AVE</t>
  </si>
  <si>
    <t xml:space="preserve">ORA20080025</t>
  </si>
  <si>
    <t xml:space="preserve">FOREST HILLS MANOR</t>
  </si>
  <si>
    <t xml:space="preserve">2655 FRONTAGE RD</t>
  </si>
  <si>
    <t xml:space="preserve">ORA20070055</t>
  </si>
  <si>
    <t xml:space="preserve">NEW WINDS APTS</t>
  </si>
  <si>
    <t xml:space="preserve">750 LAUREL ST</t>
  </si>
  <si>
    <t xml:space="preserve">ORA20070035</t>
  </si>
  <si>
    <t xml:space="preserve">MARTIN LUTHER KING MANOR</t>
  </si>
  <si>
    <t xml:space="preserve">6620 NE SIXTH AVE</t>
  </si>
  <si>
    <t xml:space="preserve">ORA20070050</t>
  </si>
  <si>
    <t xml:space="preserve">NAWIKKA CT APTS</t>
  </si>
  <si>
    <t xml:space="preserve">5110 SE 76TH AVE</t>
  </si>
  <si>
    <t xml:space="preserve">ORA20070085</t>
  </si>
  <si>
    <t xml:space="preserve">TILLICUM CT APTS</t>
  </si>
  <si>
    <t xml:space="preserve">5135 SE 73RD AVE</t>
  </si>
  <si>
    <t xml:space="preserve">ORA20080100</t>
  </si>
  <si>
    <t xml:space="preserve">RIVERSIDE MANOR APTS I</t>
  </si>
  <si>
    <t xml:space="preserve">1575 HAWTHORNE AVE</t>
  </si>
  <si>
    <t xml:space="preserve">ORA20070100</t>
  </si>
  <si>
    <t xml:space="preserve">VERMONT SPRINGS</t>
  </si>
  <si>
    <t xml:space="preserve">1825 SW VERMONT ST</t>
  </si>
  <si>
    <t xml:space="preserve">ORA20080080</t>
  </si>
  <si>
    <t xml:space="preserve">PENDLETON SQUARE APTS II</t>
  </si>
  <si>
    <t xml:space="preserve">294 SW 28TH DR</t>
  </si>
  <si>
    <t xml:space="preserve">ORA20080095</t>
  </si>
  <si>
    <t xml:space="preserve">RIDGEWAY VILLAGE</t>
  </si>
  <si>
    <t xml:space="preserve">3117 RIDGEWAY DR</t>
  </si>
  <si>
    <t xml:space="preserve">ORA20080105</t>
  </si>
  <si>
    <t xml:space="preserve">RIVERSIDE MANOR APTS II</t>
  </si>
  <si>
    <t xml:space="preserve">1595 HAWTHORNE AVE</t>
  </si>
  <si>
    <t xml:space="preserve">ORA20210002</t>
  </si>
  <si>
    <t xml:space="preserve">APPLEGATE LANDING</t>
  </si>
  <si>
    <t xml:space="preserve">1875 STOLTZ HILL ROAD</t>
  </si>
  <si>
    <t xml:space="preserve">ORA20140015</t>
  </si>
  <si>
    <t xml:space="preserve">EASTON RIDGE APTS</t>
  </si>
  <si>
    <t xml:space="preserve">9009 SE CAUSEY AVE</t>
  </si>
  <si>
    <t xml:space="preserve">ORA20141004</t>
  </si>
  <si>
    <t xml:space="preserve">CATHEDRAL GARDENS APTS</t>
  </si>
  <si>
    <t xml:space="preserve">8652 N SWIFT WAY</t>
  </si>
  <si>
    <t xml:space="preserve">ORA20141006</t>
  </si>
  <si>
    <t xml:space="preserve">ROBERT LINDSEY TOWER SITE 1</t>
  </si>
  <si>
    <t xml:space="preserve">370 CHURCH ST SE</t>
  </si>
  <si>
    <t xml:space="preserve">Shares address with ORA20149038 (phase, resyndication or duplicate)</t>
  </si>
  <si>
    <t xml:space="preserve">ORA20141005</t>
  </si>
  <si>
    <t xml:space="preserve">PARKWAY WEST</t>
  </si>
  <si>
    <t xml:space="preserve">3103-3129 7TH PL NE</t>
  </si>
  <si>
    <t xml:space="preserve">ORA20141003</t>
  </si>
  <si>
    <t xml:space="preserve">BROOKSIDE ROSE APTS SITE 1</t>
  </si>
  <si>
    <t xml:space="preserve">933 N ROSE ST</t>
  </si>
  <si>
    <t xml:space="preserve">Shares address with ORA19900025 (phase, resyndication or duplicate)</t>
  </si>
  <si>
    <t xml:space="preserve">ORA20141008</t>
  </si>
  <si>
    <t xml:space="preserve">STEPHENS CREEK CROSSING NORTH</t>
  </si>
  <si>
    <t xml:space="preserve">6783 SW 26TH AVE</t>
  </si>
  <si>
    <t xml:space="preserve">ORA20141001</t>
  </si>
  <si>
    <t xml:space="preserve">ARIEL GLEN APTS SITE 1</t>
  </si>
  <si>
    <t xml:space="preserve">1700 SE TEMPEST DR</t>
  </si>
  <si>
    <t xml:space="preserve">Shares address with ORA19950010 (phase, resyndication or duplicate)</t>
  </si>
  <si>
    <t xml:space="preserve">ORA20144003</t>
  </si>
  <si>
    <t xml:space="preserve">HEALY HEIGHTS APTS SITE 2</t>
  </si>
  <si>
    <t xml:space="preserve">1900 NE BEAR CREEK RD</t>
  </si>
  <si>
    <t xml:space="preserve">Shares address with ORA19950055 (phase, resyndication or duplicate)</t>
  </si>
  <si>
    <t xml:space="preserve">ORA20140020</t>
  </si>
  <si>
    <t xml:space="preserve">GLISAN COMMONS PHASE I</t>
  </si>
  <si>
    <t xml:space="preserve">555 NE 100TH AVE</t>
  </si>
  <si>
    <t xml:space="preserve">ORA20150005</t>
  </si>
  <si>
    <t xml:space="preserve">GILMAN COURT FKA GLISAN COMMONS PHASE II</t>
  </si>
  <si>
    <t xml:space="preserve">610 NE 99TH AVE</t>
  </si>
  <si>
    <t xml:space="preserve">ORA20150008</t>
  </si>
  <si>
    <t xml:space="preserve">ORCHARDS AT ORENCO PH 1, THE</t>
  </si>
  <si>
    <t xml:space="preserve">6520 NE CHERRY DRIVE</t>
  </si>
  <si>
    <t xml:space="preserve">ORA20140010</t>
  </si>
  <si>
    <t xml:space="preserve">DESKINS COMMONS</t>
  </si>
  <si>
    <t xml:space="preserve">1103 N MERIDIAN ST</t>
  </si>
  <si>
    <t xml:space="preserve">ORA20150011</t>
  </si>
  <si>
    <t xml:space="preserve">WOODWIND FKA WOODLAND SQUARE</t>
  </si>
  <si>
    <t xml:space="preserve">1415 SALEM AVE SE</t>
  </si>
  <si>
    <t xml:space="preserve">ORA20150001</t>
  </si>
  <si>
    <t xml:space="preserve">BASCOM VILLAGE PHASE I</t>
  </si>
  <si>
    <t xml:space="preserve">3090 MATT DRIVE</t>
  </si>
  <si>
    <t xml:space="preserve">97408</t>
  </si>
  <si>
    <t xml:space="preserve">ORA20140005</t>
  </si>
  <si>
    <t xml:space="preserve">CHERRY CREEK I</t>
  </si>
  <si>
    <t xml:space="preserve">1002 N BERKELEY WAY</t>
  </si>
  <si>
    <t xml:space="preserve">ORA20150009</t>
  </si>
  <si>
    <t xml:space="preserve">REINDEER MEADOWS</t>
  </si>
  <si>
    <t xml:space="preserve">1601 SW REINDEER AVE</t>
  </si>
  <si>
    <t xml:space="preserve">ORA20140025</t>
  </si>
  <si>
    <t xml:space="preserve">STEPHENS CREEK SOUTH</t>
  </si>
  <si>
    <t xml:space="preserve">6851 SW 26TH AVE</t>
  </si>
  <si>
    <t xml:space="preserve">ORA20144004</t>
  </si>
  <si>
    <t xml:space="preserve">PARKWAY EAST APTS SITE 2</t>
  </si>
  <si>
    <t xml:space="preserve">3147 7TH PL NE</t>
  </si>
  <si>
    <t xml:space="preserve">ORA20150010</t>
  </si>
  <si>
    <t xml:space="preserve">VILLAGE EAST APTS - SPRINGFIELD</t>
  </si>
  <si>
    <t xml:space="preserve">6330 MAIN STREET</t>
  </si>
  <si>
    <t xml:space="preserve">ORA20150002</t>
  </si>
  <si>
    <t xml:space="preserve">BLUE SPRINGS CROSSING</t>
  </si>
  <si>
    <t xml:space="preserve">10800 S WALTON RD</t>
  </si>
  <si>
    <t xml:space="preserve">ISLAND CITY</t>
  </si>
  <si>
    <t xml:space="preserve">ORA20144002</t>
  </si>
  <si>
    <t xml:space="preserve">BROOKSIDE ROSE APTS SITE 2</t>
  </si>
  <si>
    <t xml:space="preserve">1108 N ROSE ST</t>
  </si>
  <si>
    <t xml:space="preserve">Shares address with ORA19870105 (phase, resyndication or duplicate)</t>
  </si>
  <si>
    <t xml:space="preserve">ORA20150006</t>
  </si>
  <si>
    <t xml:space="preserve">IKOI-SO TERRACE</t>
  </si>
  <si>
    <t xml:space="preserve">1550 SE OAK GROVE BLVD</t>
  </si>
  <si>
    <t xml:space="preserve">ORA20150007</t>
  </si>
  <si>
    <t xml:space="preserve">JULIAN HOTEL APTS</t>
  </si>
  <si>
    <t xml:space="preserve">105 SW 2ND ST</t>
  </si>
  <si>
    <t xml:space="preserve">ORA20141002</t>
  </si>
  <si>
    <t xml:space="preserve">BEECH STREET APTS</t>
  </si>
  <si>
    <t xml:space="preserve">3650 NE MALLORY AVE</t>
  </si>
  <si>
    <t xml:space="preserve">ORA20150003</t>
  </si>
  <si>
    <t xml:space="preserve">BLUFFS AT RATCLIFF</t>
  </si>
  <si>
    <t xml:space="preserve">3202 BLUFF STREET SE</t>
  </si>
  <si>
    <t xml:space="preserve">ORA20240011</t>
  </si>
  <si>
    <t xml:space="preserve">SEQUOIA CROSSINGS</t>
  </si>
  <si>
    <t xml:space="preserve">2950 BROADWAY STREET NE</t>
  </si>
  <si>
    <t xml:space="preserve">ORA20160002</t>
  </si>
  <si>
    <t xml:space="preserve">85 STORIES GROUP II</t>
  </si>
  <si>
    <t xml:space="preserve">4400 NE BROADWAY ST</t>
  </si>
  <si>
    <t xml:space="preserve">ORA20160001</t>
  </si>
  <si>
    <t xml:space="preserve">85 STORIES GROUP I</t>
  </si>
  <si>
    <t xml:space="preserve">2140 NW KEARNEY ST</t>
  </si>
  <si>
    <t xml:space="preserve">ORA20160007</t>
  </si>
  <si>
    <t xml:space="preserve">HOLIDAY GARDENS APARTMENTS</t>
  </si>
  <si>
    <t xml:space="preserve">39655 EVANS ST</t>
  </si>
  <si>
    <t xml:space="preserve">ORA20160006</t>
  </si>
  <si>
    <t xml:space="preserve">HAWTHORNE EAST</t>
  </si>
  <si>
    <t xml:space="preserve">1420 SE 16TH AVENUE</t>
  </si>
  <si>
    <t xml:space="preserve">ORA20160013</t>
  </si>
  <si>
    <t xml:space="preserve">RIVERSIDE APARTMENTS + CHENNAI LANDING</t>
  </si>
  <si>
    <t xml:space="preserve">375 SW H STREET</t>
  </si>
  <si>
    <t xml:space="preserve">Shares address with ORA19980080 (phase, resyndication or duplicate)</t>
  </si>
  <si>
    <t xml:space="preserve">ORA20160015</t>
  </si>
  <si>
    <t xml:space="preserve">TOWN CENTER COURTYARDS</t>
  </si>
  <si>
    <t xml:space="preserve">11475 SE 85TH AVE</t>
  </si>
  <si>
    <t xml:space="preserve">ORA20160011</t>
  </si>
  <si>
    <t xml:space="preserve">ORCHARDS AT ORENCO PHASE II</t>
  </si>
  <si>
    <t xml:space="preserve">6598 NE CHERRY DRIVE</t>
  </si>
  <si>
    <t xml:space="preserve">ORA20160005</t>
  </si>
  <si>
    <t xml:space="preserve">BRONAUGH APARTMENTS</t>
  </si>
  <si>
    <t xml:space="preserve">1434 SW MORRISON</t>
  </si>
  <si>
    <t xml:space="preserve">ORA20160012</t>
  </si>
  <si>
    <t xml:space="preserve">PARKVIEW TERRACE</t>
  </si>
  <si>
    <t xml:space="preserve">1002 SE PARK PLAZA DR</t>
  </si>
  <si>
    <t xml:space="preserve">ORA20160004</t>
  </si>
  <si>
    <t xml:space="preserve">BASCOM VILLAGE II</t>
  </si>
  <si>
    <t xml:space="preserve">PARKVIEW DR + COUNTY FARM RD</t>
  </si>
  <si>
    <t xml:space="preserve">ORA20160009</t>
  </si>
  <si>
    <t xml:space="preserve">MIRACLES-CENTRAL APARTMENTS</t>
  </si>
  <si>
    <t xml:space="preserve">1306 NE 2ND AVENUE</t>
  </si>
  <si>
    <t xml:space="preserve">ORA20160014</t>
  </si>
  <si>
    <t xml:space="preserve">ROSEWOOD PLAZA</t>
  </si>
  <si>
    <t xml:space="preserve">18155 NE COUCH ST</t>
  </si>
  <si>
    <t xml:space="preserve">ORA20160003</t>
  </si>
  <si>
    <t xml:space="preserve">ALONA PLACE</t>
  </si>
  <si>
    <t xml:space="preserve">1ST AVE / OAK ST</t>
  </si>
  <si>
    <t xml:space="preserve">JUNCTION CITY</t>
  </si>
  <si>
    <t xml:space="preserve">97448</t>
  </si>
  <si>
    <t xml:space="preserve">ORA20160010</t>
  </si>
  <si>
    <t xml:space="preserve">NAYA GENERATIONS</t>
  </si>
  <si>
    <t xml:space="preserve">5205 SE 86TH AVE</t>
  </si>
  <si>
    <t xml:space="preserve">ORA00000034</t>
  </si>
  <si>
    <t xml:space="preserve">PARKVIEW APTS - WARRENTON</t>
  </si>
  <si>
    <t xml:space="preserve">421 NW RIDGE RD</t>
  </si>
  <si>
    <t xml:space="preserve">No year in HUD ID - vintage unknown</t>
  </si>
  <si>
    <t xml:space="preserve">ORA00000030</t>
  </si>
  <si>
    <t xml:space="preserve">NORTH PLAINS SENIOR PLAZA</t>
  </si>
  <si>
    <t xml:space="preserve">31485 NW KAYBEM ST</t>
  </si>
  <si>
    <t xml:space="preserve">ORA20160008</t>
  </si>
  <si>
    <t xml:space="preserve">IRONHORSE LODGE</t>
  </si>
  <si>
    <t xml:space="preserve">435 NE WAYFINDER WAY</t>
  </si>
  <si>
    <t xml:space="preserve">ORA00000010</t>
  </si>
  <si>
    <t xml:space="preserve">OGDEN APTS</t>
  </si>
  <si>
    <t xml:space="preserve">ORA00000023</t>
  </si>
  <si>
    <t xml:space="preserve">HAZELTINE APTS I AND II</t>
  </si>
  <si>
    <t xml:space="preserve">LOGAN &amp; W SECOND ST</t>
  </si>
  <si>
    <t xml:space="preserve">ORA00000005</t>
  </si>
  <si>
    <t xml:space="preserve">KELLY DUPLEX</t>
  </si>
  <si>
    <t xml:space="preserve">5531 SW KELLY AVE</t>
  </si>
  <si>
    <t xml:space="preserve">ORA20203007</t>
  </si>
  <si>
    <t xml:space="preserve">85 STORIES GROUP 6 (9 SCATTERED SITES)</t>
  </si>
  <si>
    <t xml:space="preserve">17225 SE ALDER</t>
  </si>
  <si>
    <t xml:space="preserve">ORA20210004</t>
  </si>
  <si>
    <t xml:space="preserve">FIELDS APTS, THE</t>
  </si>
  <si>
    <t xml:space="preserve">7800 SW HUNZIKER STREET</t>
  </si>
  <si>
    <t xml:space="preserve">ORA20180017</t>
  </si>
  <si>
    <t xml:space="preserve">SUNSET VIEW APTS</t>
  </si>
  <si>
    <t xml:space="preserve">16251 SW JENKINS RD</t>
  </si>
  <si>
    <t xml:space="preserve">ORA20212007</t>
  </si>
  <si>
    <t xml:space="preserve">ROCKWOOD VILLAGE (FKA ROCKWOOD 10)</t>
  </si>
  <si>
    <t xml:space="preserve">783 SE 185TH AVENUE</t>
  </si>
  <si>
    <t xml:space="preserve">ORA20210005</t>
  </si>
  <si>
    <t xml:space="preserve">ROSEWOOD STATION</t>
  </si>
  <si>
    <t xml:space="preserve">8810-8860 SE OTTY ROAD</t>
  </si>
  <si>
    <t xml:space="preserve">ORA20190003</t>
  </si>
  <si>
    <t xml:space="preserve">CORNERSTONE APARTMENTS</t>
  </si>
  <si>
    <t xml:space="preserve">3350 PORTLAND ROAD NE</t>
  </si>
  <si>
    <t xml:space="preserve">ORA20180004</t>
  </si>
  <si>
    <t xml:space="preserve">COMMONS, THE</t>
  </si>
  <si>
    <t xml:space="preserve">5800 NE CENTER COMMONS WAY</t>
  </si>
  <si>
    <t xml:space="preserve">ORA20180008</t>
  </si>
  <si>
    <t xml:space="preserve">HAZEL HEIGHTS</t>
  </si>
  <si>
    <t xml:space="preserve">12613 + 12647 SE STARK ST</t>
  </si>
  <si>
    <t xml:space="preserve">ORA20180012</t>
  </si>
  <si>
    <t xml:space="preserve">OLIVER STATION</t>
  </si>
  <si>
    <t xml:space="preserve">5959 + 5990 SE 92ND AVE</t>
  </si>
  <si>
    <t xml:space="preserve">ORA20200005</t>
  </si>
  <si>
    <t xml:space="preserve">SURF VIEW VILLAGE</t>
  </si>
  <si>
    <t xml:space="preserve">121 NE 60TH STREET</t>
  </si>
  <si>
    <t xml:space="preserve">ORA20180016</t>
  </si>
  <si>
    <t xml:space="preserve">SQUARE MANOR</t>
  </si>
  <si>
    <t xml:space="preserve">12020 SE GLADSTONE ST / 9110 NE HASSALO</t>
  </si>
  <si>
    <t xml:space="preserve">ORA20190001</t>
  </si>
  <si>
    <t xml:space="preserve">72FOSTER</t>
  </si>
  <si>
    <t xml:space="preserve">5005 SE 72ND AVENUE</t>
  </si>
  <si>
    <t xml:space="preserve">ORA20190008</t>
  </si>
  <si>
    <t xml:space="preserve">VIBRANT!</t>
  </si>
  <si>
    <t xml:space="preserve">1620 NW 14TH AVENUE</t>
  </si>
  <si>
    <t xml:space="preserve">ORA20185020</t>
  </si>
  <si>
    <t xml:space="preserve">VM HOUSING PONDEROSA HEIGHTS</t>
  </si>
  <si>
    <t xml:space="preserve">601 N BROOKS CAMP ROAD</t>
  </si>
  <si>
    <t xml:space="preserve">ORA20203006</t>
  </si>
  <si>
    <t xml:space="preserve">333 OAK APTS</t>
  </si>
  <si>
    <t xml:space="preserve">333 SW OAK ST</t>
  </si>
  <si>
    <t xml:space="preserve">Shares address with ORA20000075 (phase, resyndication or duplicate)</t>
  </si>
  <si>
    <t xml:space="preserve">ORA20180019</t>
  </si>
  <si>
    <t xml:space="preserve">VILLAGE MEADOWS HOUSING (PONDEROSA HTS + HAWKS VIEW ESTATES)</t>
  </si>
  <si>
    <t xml:space="preserve">601 + 680 N BROOKS CAMP RD + 51760 LIL DESCHUTES LN</t>
  </si>
  <si>
    <t xml:space="preserve">SISTERS/LAPINE</t>
  </si>
  <si>
    <t xml:space="preserve">ORA20180002</t>
  </si>
  <si>
    <t xml:space="preserve">BIG VALLEY APTS</t>
  </si>
  <si>
    <t xml:space="preserve">1350 EAST 1ST AVENUE</t>
  </si>
  <si>
    <t xml:space="preserve">ORA20180001</t>
  </si>
  <si>
    <t xml:space="preserve">BEATRICE MORROW APTS</t>
  </si>
  <si>
    <t xml:space="preserve">3368 NE MARTIN LUTHER KING JR BLVD</t>
  </si>
  <si>
    <t xml:space="preserve">ORA20200001</t>
  </si>
  <si>
    <t xml:space="preserve">ARGYLE GARDENS (FKA LISAH)</t>
  </si>
  <si>
    <t xml:space="preserve">8550 N ARGYLE WAY</t>
  </si>
  <si>
    <t xml:space="preserve">ORA20210003</t>
  </si>
  <si>
    <t xml:space="preserve">DEER CREEK VILLAGE</t>
  </si>
  <si>
    <t xml:space="preserve">2843 NE DOUGLAS AVENUE</t>
  </si>
  <si>
    <t xml:space="preserve">ORA20180007</t>
  </si>
  <si>
    <t xml:space="preserve">GREENS, THE (RIDINGS TERRACE + MONTCLAIR MANOR)</t>
  </si>
  <si>
    <t xml:space="preserve">511 RIDINGS AVE + 141 W BROADWAY AVE</t>
  </si>
  <si>
    <t xml:space="preserve">MOLALLA/MILTON-FREEWATER</t>
  </si>
  <si>
    <t xml:space="preserve">ORA20190006</t>
  </si>
  <si>
    <t xml:space="preserve">TWO RIVERS WINSTON</t>
  </si>
  <si>
    <t xml:space="preserve">189 NW GLENHART AVENUE</t>
  </si>
  <si>
    <t xml:space="preserve">ORA20210006</t>
  </si>
  <si>
    <t xml:space="preserve">SHA RAD GROUP I BRUSH COLLEGE VILLAGE AND MEADOWLARK VILLAGE</t>
  </si>
  <si>
    <t xml:space="preserve">1560-1598 BRUSH COLLEGE RD NW 4921-4979 SUNNYSIDE ROAD SE</t>
  </si>
  <si>
    <t xml:space="preserve">97304</t>
  </si>
  <si>
    <t xml:space="preserve">ORA20180006</t>
  </si>
  <si>
    <t xml:space="preserve">GARLINGTON HOUSING</t>
  </si>
  <si>
    <t xml:space="preserve">3080 NE MLK JR BLVD</t>
  </si>
  <si>
    <t xml:space="preserve">ORA20180013</t>
  </si>
  <si>
    <t xml:space="preserve">ORCHARDS AT ORENCO PHASE III</t>
  </si>
  <si>
    <t xml:space="preserve">6616 NE CHERRY DR</t>
  </si>
  <si>
    <t xml:space="preserve">ORA20200004</t>
  </si>
  <si>
    <t xml:space="preserve">PIONEER ENTERPRISES PIONEER PARK</t>
  </si>
  <si>
    <t xml:space="preserve">88059 FIFTH STREET</t>
  </si>
  <si>
    <t xml:space="preserve">Shares address with ORA19880260 (phase, resyndication or duplicate)</t>
  </si>
  <si>
    <t xml:space="preserve">ORA20180003</t>
  </si>
  <si>
    <t xml:space="preserve">CHARLOTTE B RUTHERFORD PLACE</t>
  </si>
  <si>
    <t xml:space="preserve">6905 N INTERSTATE AVE</t>
  </si>
  <si>
    <t xml:space="preserve">ORA20200003</t>
  </si>
  <si>
    <t xml:space="preserve">MARKET DISTRICT COMMONS</t>
  </si>
  <si>
    <t xml:space="preserve">560 OAK STREET</t>
  </si>
  <si>
    <t xml:space="preserve">ORA20190005</t>
  </si>
  <si>
    <t xml:space="preserve">ORCHARDS OF 82ND</t>
  </si>
  <si>
    <t xml:space="preserve">8118 SE DIVISION STREET</t>
  </si>
  <si>
    <t xml:space="preserve">ORA20190002</t>
  </si>
  <si>
    <t xml:space="preserve">CORNELIUS PLACE</t>
  </si>
  <si>
    <t xml:space="preserve">120 N 13TH AVENUE 1310 N ADAIR STREET</t>
  </si>
  <si>
    <t xml:space="preserve">ORA20180015</t>
  </si>
  <si>
    <t xml:space="preserve">SKY MEADOWS</t>
  </si>
  <si>
    <t xml:space="preserve">5145 SE HOMEDALE RD; 530 N 8TH ST; 1919 TUNNEL ST</t>
  </si>
  <si>
    <t xml:space="preserve">ORA20180010</t>
  </si>
  <si>
    <t xml:space="preserve">MYRTLEWOOD, THE</t>
  </si>
  <si>
    <t xml:space="preserve">1072 MAIN ST</t>
  </si>
  <si>
    <t xml:space="preserve">ORA20180014</t>
  </si>
  <si>
    <t xml:space="preserve">RICHARDSON BRIDGE</t>
  </si>
  <si>
    <t xml:space="preserve">1210 ACORN PARK ST</t>
  </si>
  <si>
    <t xml:space="preserve">ORA20180011</t>
  </si>
  <si>
    <t xml:space="preserve">OCHOCO SCHOOL APTS</t>
  </si>
  <si>
    <t xml:space="preserve">440 NW MADRAS HWY</t>
  </si>
  <si>
    <t xml:space="preserve">ORA20180005</t>
  </si>
  <si>
    <t xml:space="preserve">DAGGETT TOWNHOMES</t>
  </si>
  <si>
    <t xml:space="preserve">2027 NE DAGGETT LANE</t>
  </si>
  <si>
    <t xml:space="preserve">ORA20180009</t>
  </si>
  <si>
    <t xml:space="preserve">MEADOWBROOK II APTS</t>
  </si>
  <si>
    <t xml:space="preserve">601 E MAIN ST</t>
  </si>
  <si>
    <t xml:space="preserve">JOHN DAY</t>
  </si>
  <si>
    <t xml:space="preserve">97845</t>
  </si>
  <si>
    <t xml:space="preserve">ORA20230009</t>
  </si>
  <si>
    <t xml:space="preserve">STILLWATER CROSSING APARTMENTS</t>
  </si>
  <si>
    <t xml:space="preserve">60887 SW ATWOOD DRIVE</t>
  </si>
  <si>
    <t xml:space="preserve">ORA20240004</t>
  </si>
  <si>
    <t xml:space="preserve">BROADLEAF ARBOR (FKA ST HELENS APARTMENTS)</t>
  </si>
  <si>
    <t xml:space="preserve">2250 GABLE ROAD</t>
  </si>
  <si>
    <t xml:space="preserve">ST. HELENS</t>
  </si>
  <si>
    <t xml:space="preserve">ORA20240009</t>
  </si>
  <si>
    <t xml:space="preserve">LAS FLORES APARTMENTS FKA MAPLE APTS</t>
  </si>
  <si>
    <t xml:space="preserve">14338 S MAPLE LANE COURT</t>
  </si>
  <si>
    <t xml:space="preserve">ORA20240013</t>
  </si>
  <si>
    <t xml:space="preserve">SUSAN EMMONS, THE</t>
  </si>
  <si>
    <t xml:space="preserve">1727 NW HOYT STREET 624 NW 18TH AVENUE</t>
  </si>
  <si>
    <t xml:space="preserve">ORA20230010</t>
  </si>
  <si>
    <t xml:space="preserve">SUNSHINE PARK APARTMENTS</t>
  </si>
  <si>
    <t xml:space="preserve">152 SUNSHINE ROAD</t>
  </si>
  <si>
    <t xml:space="preserve">ORA20230011</t>
  </si>
  <si>
    <t xml:space="preserve">TERRACE GLEN APARTMENTS</t>
  </si>
  <si>
    <t xml:space="preserve">9660 SW GREENBURG ROAD</t>
  </si>
  <si>
    <t xml:space="preserve">ORA20220006</t>
  </si>
  <si>
    <t xml:space="preserve">THE BRIA APARTMENTS (FKA146TH EAST WEST)</t>
  </si>
  <si>
    <t xml:space="preserve">20 NE 146TH AVENUE</t>
  </si>
  <si>
    <t xml:space="preserve">ORA20230006</t>
  </si>
  <si>
    <t xml:space="preserve">COLONIA PAZ II</t>
  </si>
  <si>
    <t xml:space="preserve">500 WELDWOOD DRIVE</t>
  </si>
  <si>
    <t xml:space="preserve">ORA20240001</t>
  </si>
  <si>
    <t xml:space="preserve">53RD FLATS</t>
  </si>
  <si>
    <t xml:space="preserve">2020 SW 53RD ST</t>
  </si>
  <si>
    <t xml:space="preserve">ORA20230004</t>
  </si>
  <si>
    <t xml:space="preserve">BARREL BROOK</t>
  </si>
  <si>
    <t xml:space="preserve">900 N DOUGLAS STREET</t>
  </si>
  <si>
    <t xml:space="preserve">Shares address with ORA19890020 (phase, resyndication or duplicate)</t>
  </si>
  <si>
    <t xml:space="preserve">ORA20240008</t>
  </si>
  <si>
    <t xml:space="preserve">GRAND FIR APARTMENTS FKA 27TH AVENUE APARTMENTS</t>
  </si>
  <si>
    <t xml:space="preserve">4455 27TH AVENUE</t>
  </si>
  <si>
    <t xml:space="preserve">ORA20230013</t>
  </si>
  <si>
    <t xml:space="preserve">YAQUINA HALL APTS-SOUTHFAIR APTS</t>
  </si>
  <si>
    <t xml:space="preserve">2720 B STREET NE 1901-1989 FAIRGROUNDS RD NE</t>
  </si>
  <si>
    <t xml:space="preserve">ORA20240006</t>
  </si>
  <si>
    <t xml:space="preserve">EAGLE CAP APARTMENTS</t>
  </si>
  <si>
    <t xml:space="preserve">607 SW 2ND STREET</t>
  </si>
  <si>
    <t xml:space="preserve">ORA20240007</t>
  </si>
  <si>
    <t xml:space="preserve">FERN RIDGE APARTMENTS (AKA STAYTON APARTMENTS)</t>
  </si>
  <si>
    <t xml:space="preserve">2101 N THIRD AVENUE</t>
  </si>
  <si>
    <t xml:space="preserve">ORA20240012</t>
  </si>
  <si>
    <t xml:space="preserve">SOUTH HILL COMMONS</t>
  </si>
  <si>
    <t xml:space="preserve">809, 811, 819, 821, 823 SE 15TH ST</t>
  </si>
  <si>
    <t xml:space="preserve">PENDELTON</t>
  </si>
  <si>
    <t xml:space="preserve">ORA20220001</t>
  </si>
  <si>
    <t xml:space="preserve">ALDERCREST APARTMENTS</t>
  </si>
  <si>
    <t xml:space="preserve">21900 SE ALDER DRIVE</t>
  </si>
  <si>
    <t xml:space="preserve">ORA20230008</t>
  </si>
  <si>
    <t xml:space="preserve">HATTIE REDMOND APARTMENTS (FKA BALDWIN PROJECT)</t>
  </si>
  <si>
    <t xml:space="preserve">7690 N INTERSTATE AVE</t>
  </si>
  <si>
    <t xml:space="preserve">ORA20240002</t>
  </si>
  <si>
    <t xml:space="preserve">BEAR CREEK APARTMENTS (FKA MOLALLA APARTMENTS)</t>
  </si>
  <si>
    <t xml:space="preserve">1000 W MAIN STREET</t>
  </si>
  <si>
    <t xml:space="preserve">ORA20230001</t>
  </si>
  <si>
    <t xml:space="preserve">ALONGSIDE SENIOR HOUSING</t>
  </si>
  <si>
    <t xml:space="preserve">8803 SW OMARA STREET</t>
  </si>
  <si>
    <t xml:space="preserve">ORA20240005</t>
  </si>
  <si>
    <t xml:space="preserve">CATHEDRAL SQUARE</t>
  </si>
  <si>
    <t xml:space="preserve">201 GRANDVIEW LANE</t>
  </si>
  <si>
    <t xml:space="preserve">ORA20220003</t>
  </si>
  <si>
    <t xml:space="preserve">HAYU TILIXAM</t>
  </si>
  <si>
    <t xml:space="preserve">5825 NE PRESCOTT</t>
  </si>
  <si>
    <t xml:space="preserve">ORA20230005</t>
  </si>
  <si>
    <t xml:space="preserve">CANAL COMMONS 2</t>
  </si>
  <si>
    <t xml:space="preserve">21206 THORNHILL LANE</t>
  </si>
  <si>
    <t xml:space="preserve">ORA20220004</t>
  </si>
  <si>
    <t xml:space="preserve">MIDTOWN PLACE</t>
  </si>
  <si>
    <t xml:space="preserve">736 NW 5TH STREET</t>
  </si>
  <si>
    <t xml:space="preserve">ORA20220002</t>
  </si>
  <si>
    <t xml:space="preserve">BARNES BUTTE VISTA</t>
  </si>
  <si>
    <t xml:space="preserve">1050 NE PETERS ROAD</t>
  </si>
  <si>
    <t xml:space="preserve">ORA20240014</t>
  </si>
  <si>
    <t xml:space="preserve">WECOMA PLACE (LINCOLN DHC)</t>
  </si>
  <si>
    <t xml:space="preserve">2133 NE 29TH STREET</t>
  </si>
  <si>
    <t xml:space="preserve">ORA20221008</t>
  </si>
  <si>
    <t xml:space="preserve">ANKENY WOODS ARMS</t>
  </si>
  <si>
    <t xml:space="preserve">11908 SE ANKENY ST</t>
  </si>
  <si>
    <t xml:space="preserve">ORA20230012</t>
  </si>
  <si>
    <t xml:space="preserve">TRILLIUM HOUSE (FKA CHELSEA GARDENS)</t>
  </si>
  <si>
    <t xml:space="preserve">700 SE 14TH PLACE</t>
  </si>
  <si>
    <t xml:space="preserve">ORA20230007</t>
  </si>
  <si>
    <t xml:space="preserve">HARVEY RICE HERITAGE</t>
  </si>
  <si>
    <t xml:space="preserve">1420 NE KILLINGSWORTH</t>
  </si>
  <si>
    <t xml:space="preserve">ORA20230002</t>
  </si>
  <si>
    <t xml:space="preserve">AMANDA COURT</t>
  </si>
  <si>
    <t xml:space="preserve">4537 &amp; 4541 SE 122ND AVE</t>
  </si>
  <si>
    <t xml:space="preserve">ORA20220007</t>
  </si>
  <si>
    <t xml:space="preserve">VALFRE AT AVENIDA 26, THE</t>
  </si>
  <si>
    <t xml:space="preserve">2508 MAIN STREET</t>
  </si>
  <si>
    <t xml:space="preserve">ORA20240003</t>
  </si>
  <si>
    <t xml:space="preserve">BRIARWOOD-ANDERLIK MANOR</t>
  </si>
  <si>
    <t xml:space="preserve">SCATTERED SITES</t>
  </si>
  <si>
    <t xml:space="preserve">KEIZER</t>
  </si>
  <si>
    <t xml:space="preserve">ORA20240010</t>
  </si>
  <si>
    <t xml:space="preserve">OAK MANOR APARTMENTS</t>
  </si>
  <si>
    <t xml:space="preserve">3944 OAK STREET</t>
  </si>
  <si>
    <t xml:space="preserve">ORA20039116</t>
  </si>
  <si>
    <t xml:space="preserve">THE ST FRANCIS</t>
  </si>
  <si>
    <t xml:space="preserve">1024 SW MAIN STREET</t>
  </si>
  <si>
    <t xml:space="preserve">Duplicate of ORA20030080 (same address, year, units)</t>
  </si>
  <si>
    <t xml:space="preserve">Y</t>
  </si>
  <si>
    <t xml:space="preserve">ORA20149038</t>
  </si>
  <si>
    <t xml:space="preserve">ROBERT LINDSEY TOWER/PARKWAY EAST APTS</t>
  </si>
  <si>
    <t xml:space="preserve">370 CHURCH STREET SE</t>
  </si>
  <si>
    <t xml:space="preserve">Duplicate of ORA20141006 (same address, year, units)</t>
  </si>
  <si>
    <t xml:space="preserve">ORA20000075</t>
  </si>
  <si>
    <t xml:space="preserve">OAK APTS</t>
  </si>
  <si>
    <t xml:space="preserve">Later LIHTC record at same address: ORA20203006 (2020) - likely resyndication</t>
  </si>
  <si>
    <t xml:space="preserve">ORA19950010</t>
  </si>
  <si>
    <t xml:space="preserve">ARIEL GLEN APTS</t>
  </si>
  <si>
    <t xml:space="preserve">Later LIHTC record at same address: ORA20141001 (2014) - likely resyndication</t>
  </si>
  <si>
    <t xml:space="preserve">ORA19950055</t>
  </si>
  <si>
    <t xml:space="preserve">HEALY HEIGHTS</t>
  </si>
  <si>
    <t xml:space="preserve">Later LIHTC record at same address: ORA20144003 (2014) - likely resyndication</t>
  </si>
  <si>
    <t xml:space="preserve">ORA19910005</t>
  </si>
  <si>
    <t xml:space="preserve">ARENDS PLACE I</t>
  </si>
  <si>
    <t xml:space="preserve">Later LIHTC record at same address: ORA20120020 (2012) - likely resyndication</t>
  </si>
  <si>
    <t xml:space="preserve">ORA19890020</t>
  </si>
  <si>
    <t xml:space="preserve">COTTAGE GROVE SENIOR LIVING CENTER</t>
  </si>
  <si>
    <t xml:space="preserve">900 N DOUGLAS ST</t>
  </si>
  <si>
    <t xml:space="preserve">Later LIHTC record at same address: ORA20230004 (2023) - likely resyndication</t>
  </si>
  <si>
    <t xml:space="preserve">ORA19900025</t>
  </si>
  <si>
    <t xml:space="preserve">BROOKSIDE VILLAGE APTS</t>
  </si>
  <si>
    <t xml:space="preserve">Later LIHTC record at same address: ORA20141003 (2014) - likely resyndication</t>
  </si>
  <si>
    <t xml:space="preserve">ORA19870105</t>
  </si>
  <si>
    <t xml:space="preserve">ROSE COURT APTS</t>
  </si>
  <si>
    <t xml:space="preserve">Later LIHTC record at same address: ORA20144002 (2014) - likely resyndication</t>
  </si>
  <si>
    <t xml:space="preserve">ORA19950070</t>
  </si>
  <si>
    <t xml:space="preserve">MADISON APTS</t>
  </si>
  <si>
    <t xml:space="preserve">Later LIHTC record at same address: ORA20130616 (2013) - likely resyndication</t>
  </si>
  <si>
    <t xml:space="preserve">ORA19980080</t>
  </si>
  <si>
    <t xml:space="preserve">MADRAS FAMILY HOUSING CTR II</t>
  </si>
  <si>
    <t xml:space="preserve">375 SW H ST</t>
  </si>
  <si>
    <t xml:space="preserve">Later LIHTC record at same address: ORA20160013 (2016) - likely resyndication</t>
  </si>
  <si>
    <t xml:space="preserve">ORA19880260</t>
  </si>
  <si>
    <t xml:space="preserve">PIONEER PARK</t>
  </si>
  <si>
    <t xml:space="preserve">88059 FIFTH ST</t>
  </si>
  <si>
    <t xml:space="preserve">Later LIHTC record at same address: ORA20200004 (2020) - likely resyndication</t>
  </si>
  <si>
    <t xml:space="preserve">Scoring model and inputs</t>
  </si>
  <si>
    <t xml:space="preserve">Blue cells are parameters you can change; every score on the Leads tab recalculates from them.</t>
  </si>
  <si>
    <t xml:space="preserve">As-of date</t>
  </si>
  <si>
    <t xml:space="preserve">Run date. Replace with =TODAY() to keep the tracker live.</t>
  </si>
  <si>
    <t xml:space="preserve">As-of year</t>
  </si>
  <si>
    <t xml:space="preserve">Calculated.</t>
  </si>
  <si>
    <t xml:space="preserve">Notice window before expiration (years)</t>
  </si>
  <si>
    <t xml:space="preserve">Oregon PuSH-CP: first owner notice is due 36 to 30 months before affordability expires (OHCS PuSH-CP Instruction Guide, Jan 2026).</t>
  </si>
  <si>
    <t xml:space="preserve">Expiration forecast horizon (years)</t>
  </si>
  <si>
    <t xml:space="preserve">Matches OHCS Affordable Housing 10-year Expiration Forecast.</t>
  </si>
  <si>
    <t xml:space="preserve">Year-15 window: starting age</t>
  </si>
  <si>
    <t xml:space="preserve">Assumption: investor exit planning starts about two years before the compliance period closes.</t>
  </si>
  <si>
    <t xml:space="preserve">Year-15 window: ending age</t>
  </si>
  <si>
    <t xml:space="preserve">Assumption: most limited-partner exits are complete within about two years after Year 15.</t>
  </si>
  <si>
    <t xml:space="preserve">Recap window: starting age</t>
  </si>
  <si>
    <t xml:space="preserve">Assumption: after the Year-15 window, the property is a recapitalisation or resyndication candidate.</t>
  </si>
  <si>
    <t xml:space="preserve">Capital-cycle age signal (years)</t>
  </si>
  <si>
    <t xml:space="preserve">Assumption: major systems typically need replacement around 20 years after placed-in-service.</t>
  </si>
  <si>
    <t xml:space="preserve">Mixed-income threshold (market units / total)</t>
  </si>
  <si>
    <t xml:space="preserve">Assumption: 10% or more unrestricted units counts as a separate value signal.</t>
  </si>
  <si>
    <t xml:space="preserve">First vintage with extended-use requirement</t>
  </si>
  <si>
    <t xml:space="preserve">IRC 42(h)(6): extended low-income housing commitment applies to allocations after 1989.</t>
  </si>
  <si>
    <t xml:space="preserve">Years from vintage to close of federal minimum 30-year period</t>
  </si>
  <si>
    <t xml:space="preserve">Year 1 = vintage year, so Year 30 closes Dec 31 of vintage + 29. Add 1 if first credit year was deferred.</t>
  </si>
  <si>
    <t xml:space="preserve">Tier thresholds (score out of 100)</t>
  </si>
  <si>
    <t xml:space="preserve">Immediate: score at or above</t>
  </si>
  <si>
    <t xml:space="preserve">Thresholds and factor weights follow the installed deal-finder skill (off-market mode).</t>
  </si>
  <si>
    <t xml:space="preserve">This week: score at or above</t>
  </si>
  <si>
    <t xml:space="preserve">Nurture: score at or above</t>
  </si>
  <si>
    <t xml:space="preserve">Factor points</t>
  </si>
  <si>
    <t xml:space="preserve">Factor (max)</t>
  </si>
  <si>
    <t xml:space="preserve">Condition</t>
  </si>
  <si>
    <t xml:space="preserve">Points</t>
  </si>
  <si>
    <t xml:space="preserve">LIHTC adaptation</t>
  </si>
  <si>
    <t xml:space="preserve">Signal stacking (25)</t>
  </si>
  <si>
    <t xml:space="preserve">1 signal</t>
  </si>
  <si>
    <t xml:space="preserve">Signals counted: active lifecycle trigger (Year-15 window, 30-year mark, verified expiration); capital-cycle age; mixed-income; other verified signals you enter.</t>
  </si>
  <si>
    <t xml:space="preserve">2 signals</t>
  </si>
  <si>
    <t xml:space="preserve">3 or more signals</t>
  </si>
  <si>
    <t xml:space="preserve">Equity position (20)</t>
  </si>
  <si>
    <t xml:space="preserve">Above 70%</t>
  </si>
  <si>
    <t xml:space="preserve">User input (est. equity %). Not derivable from the HUD extract.</t>
  </si>
  <si>
    <t xml:space="preserve">50% to 70%</t>
  </si>
  <si>
    <t xml:space="preserve">30% to 50%</t>
  </si>
  <si>
    <t xml:space="preserve">Below 30%</t>
  </si>
  <si>
    <t xml:space="preserve">Unknown (neutral default)</t>
  </si>
  <si>
    <t xml:space="preserve">Applied until you enter an estimate.</t>
  </si>
  <si>
    <t xml:space="preserve">Time pressure (20)</t>
  </si>
  <si>
    <t xml:space="preserve">Verified expiration inside notice window</t>
  </si>
  <si>
    <t xml:space="preserve">Needs a verified expiration date from the OHCS forecast or the recorded REUA.</t>
  </si>
  <si>
    <t xml:space="preserve">Estimated 30-yr mark inside notice window; verified expired; Year-15 window</t>
  </si>
  <si>
    <t xml:space="preserve">Estimated dates score lower than verified ones because many Oregon REUAs run past 30 years.</t>
  </si>
  <si>
    <t xml:space="preserve">Verified expiration inside 10-year horizon</t>
  </si>
  <si>
    <t xml:space="preserve">Past 30-yr mark, unverified</t>
  </si>
  <si>
    <t xml:space="preserve">Either a longer state restriction (no clock) or a recent expiry; verify.</t>
  </si>
  <si>
    <t xml:space="preserve">No clock (recap window, out of program, pre-1990, late compliance, unknown)</t>
  </si>
  <si>
    <t xml:space="preserve">Credit period or superseded record</t>
  </si>
  <si>
    <t xml:space="preserve">Sale is impractical during the 10-year credit period.</t>
  </si>
  <si>
    <t xml:space="preserve">Ownership duration (15)</t>
  </si>
  <si>
    <t xml:space="preserve">More than 15 years</t>
  </si>
  <si>
    <t xml:space="preserve">Years since last transfer if entered; otherwise years since vintage (assumes original ownership).</t>
  </si>
  <si>
    <t xml:space="preserve">10 to 15 years</t>
  </si>
  <si>
    <t xml:space="preserve">5 to 10 years</t>
  </si>
  <si>
    <t xml:space="preserve">Under 5 years</t>
  </si>
  <si>
    <t xml:space="preserve">Unknown (out of program or no vintage)</t>
  </si>
  <si>
    <t xml:space="preserve">Out-of-program records are old enough that ownership has probably changed.</t>
  </si>
  <si>
    <t xml:space="preserve">Condition signals (10)</t>
  </si>
  <si>
    <t xml:space="preserve">Distress flag = Y</t>
  </si>
  <si>
    <t xml:space="preserve">Use for a PSI award, failed NSPIRE inspection, code case or known deferred maintenance.</t>
  </si>
  <si>
    <t xml:space="preserve">Age 25 years or more</t>
  </si>
  <si>
    <t xml:space="preserve">Age since vintage is a proxy only; a rehab resets it.</t>
  </si>
  <si>
    <t xml:space="preserve">Age 15 to 24 years</t>
  </si>
  <si>
    <t xml:space="preserve">Age under 15 years</t>
  </si>
  <si>
    <t xml:space="preserve">Owner profile (10)</t>
  </si>
  <si>
    <t xml:space="preserve">For-profit, out-of-state</t>
  </si>
  <si>
    <t xml:space="preserve">User input (owner type). Not in the HUD extract.</t>
  </si>
  <si>
    <t xml:space="preserve">For-profit, in-state</t>
  </si>
  <si>
    <t xml:space="preserve">Nonprofit</t>
  </si>
  <si>
    <t xml:space="preserve">Housing authority / public</t>
  </si>
  <si>
    <t xml:space="preserve">Applied until you pick an owner type.</t>
  </si>
  <si>
    <t xml:space="preserve">Cells to fill in on the Leads tab (yellow columns)</t>
  </si>
  <si>
    <t xml:space="preserve">Column</t>
  </si>
  <si>
    <t xml:space="preserve">What to enter</t>
  </si>
  <si>
    <t xml:space="preserve">Example</t>
  </si>
  <si>
    <t xml:space="preserve">Effect on score</t>
  </si>
  <si>
    <t xml:space="preserve">Y if a later LIHTC allocation replaced this record. Pre-filled from address matching; clear it if wrong.</t>
  </si>
  <si>
    <t xml:space="preserve">Zeroes the score and removes the record from tiers.</t>
  </si>
  <si>
    <t xml:space="preserve">Affordability end date from the OHCS expiration forecast or the recorded REUA.</t>
  </si>
  <si>
    <t xml:space="preserve">Replaces the estimated 30-year mark; drives stage and time pressure.</t>
  </si>
  <si>
    <t xml:space="preserve">Year of the last arm's-length sale or general-partner change.</t>
  </si>
  <si>
    <t xml:space="preserve">Replaces vintage in ownership duration.</t>
  </si>
  <si>
    <t xml:space="preserve">Pick from the list.</t>
  </si>
  <si>
    <t xml:space="preserve">Owner profile points.</t>
  </si>
  <si>
    <t xml:space="preserve">Estimated equity as a share of value, entered as a percentage.</t>
  </si>
  <si>
    <t xml:space="preserve">Equity position points.</t>
  </si>
  <si>
    <t xml:space="preserve">Y for a stabilisation award, failed inspection, code case or similar.</t>
  </si>
  <si>
    <t xml:space="preserve">Condition points go to 10.</t>
  </si>
  <si>
    <t xml:space="preserve">Count of signals confirmed outside this file: owner notice filed, broker whisper, tax delinquency, litigation.</t>
  </si>
  <si>
    <t xml:space="preserve">Adds to signal stacking.</t>
  </si>
  <si>
    <t xml:space="preserve">Example values above are illustrative only; they show the expected format and are not used in any calculation.</t>
  </si>
  <si>
    <t xml:space="preserve">Oregon rules, sources and gaps</t>
  </si>
  <si>
    <t xml:space="preserve">Paraphrased from the sources linked in column C. Not legal advice; confirm against the statute, rule and the recorded agreement for each property.</t>
  </si>
  <si>
    <t xml:space="preserve">A. Oregon publicly supported housing preservation (PuSH-CP): what it does to an off-market deal</t>
  </si>
  <si>
    <t xml:space="preserve">Rule</t>
  </si>
  <si>
    <t xml:space="preserve">What it means for sourcing</t>
  </si>
  <si>
    <t xml:space="preserve">Source</t>
  </si>
  <si>
    <t xml:space="preserve">Who is covered</t>
  </si>
  <si>
    <t xml:space="preserve">Multifamily rentals of 5 or more units with government assistance that carries affordability restrictions. Fee and tax-abatement-only properties and tenant-based vouchers are outside it. The Leads tab flags records under 5 units.</t>
  </si>
  <si>
    <t xml:space="preserve">https://www.oregon.gov/ohcs/compliance-monitoring/pages/push-cp-instruction-guide.aspx</t>
  </si>
  <si>
    <t xml:space="preserve">Owner notices to government</t>
  </si>
  <si>
    <t xml:space="preserve">First notice of intent is due 36 to 30 months before affordability expires; a second is due 30 to 24 months before. Notices go to OHCS and each local government entitled to notice.</t>
  </si>
  <si>
    <t xml:space="preserve">Tenant notice</t>
  </si>
  <si>
    <t xml:space="preserve">Where OHCS is a party to the contract, tenants are noticed 24 to 20 months out; for expirations on or after July 1, 2028 the tenant notice moves to 36 to 30 months.</t>
  </si>
  <si>
    <t xml:space="preserve">Qualified purchasers</t>
  </si>
  <si>
    <t xml:space="preserve">OHCS, local governments and OHCS-appointed designees can make offers from the first notice until 60 days before expiration, and can record a right of first refusal up to the expiration date.</t>
  </si>
  <si>
    <t xml:space="preserve">Right of first refusal mechanics</t>
  </si>
  <si>
    <t xml:space="preserve">An owner who intends to accept a third-party offer must send it to any qualified purchaser with a recorded ROFR, who then has 45 days to match. A matching offer may set earnest money at 2% of price (capped at $250,000), keep it refundable for 90 days, and close 240 days or more after signing. The owner must take the first matching offer unless it withdraws from selling.</t>
  </si>
  <si>
    <t xml:space="preserve">Practical effect on a private buyer</t>
  </si>
  <si>
    <t xml:space="preserve">A private off-market offer on a covered property inside the notice window can be matched and taken by a preservation buyer. Underwrite a long closing timeline, or approach as (or alongside) an OHCS designee that commits to keep the property affordable.</t>
  </si>
  <si>
    <t xml:space="preserve">Late or missing notice</t>
  </si>
  <si>
    <t xml:space="preserve">Expiration is pushed out automatically (to the later of 30 months after the first notice or 24 months after the second), and OHCS can record the extension without owner consent.</t>
  </si>
  <si>
    <t xml:space="preserve">Safe harbour after expiration</t>
  </si>
  <si>
    <t xml:space="preserve">For three years after restrictions end, existing tenants keep rent-increase limits and protection from no-cause termination; voucher holders and new move-ins are excluded.</t>
  </si>
  <si>
    <t xml:space="preserve">Designee route</t>
  </si>
  <si>
    <t xml:space="preserve">A prospective preservation buyer can apply to act as OHCS designee for a specific property; a designee that buys must sign an OHCS affordability contract even without new OHCS funding.</t>
  </si>
  <si>
    <t xml:space="preserve">Portland local layer</t>
  </si>
  <si>
    <t xml:space="preserve">Inside Portland, City Code Chapter 30.01 separately covers assisted properties of 10 or more units: the owner owes the City 90 days' notice before an action that ends affordability, and the City gets a purchase opportunity. Applies on top of the state process.</t>
  </si>
  <si>
    <t xml:space="preserve">https://www.portland.gov/code/30/01</t>
  </si>
  <si>
    <t xml:space="preserve">PuSH Seller's Tax Credit</t>
  </si>
  <si>
    <t xml:space="preserve">A seller of publicly supported housing can receive a state tax credit when the buyer agrees to keep rents affordable for at least 30 years. OHCS can allocate up to $3 million of credits a year with no carry-forward. Useful as a price bridge in a preservation offer.</t>
  </si>
  <si>
    <t xml:space="preserve">https://www.oregon.gov/ohcs/rental-housing/housing-development/development-resources/Pages/push-seller-tax-credit.aspx</t>
  </si>
  <si>
    <t xml:space="preserve">B. LIHTC lifecycle rules behind the stages</t>
  </si>
  <si>
    <t xml:space="preserve">How the tracker uses it</t>
  </si>
  <si>
    <t xml:space="preserve">15-year compliance period</t>
  </si>
  <si>
    <t xml:space="preserve">Year 15 close is estimated as vintage + 14. The Year-15 window (ages 13 to 17) flags investor-exit timing.</t>
  </si>
  <si>
    <t xml:space="preserve">IRC 42(i)(1)</t>
  </si>
  <si>
    <t xml:space="preserve">30-year extended use (post-1989 allocations)</t>
  </si>
  <si>
    <t xml:space="preserve">The federal minimum 30-year period closes at vintage + 29. Pre-1990 allocations had a 15-year compliance period only.</t>
  </si>
  <si>
    <t xml:space="preserve">IRC 42(h)(6)</t>
  </si>
  <si>
    <t xml:space="preserve">Oregon terms are often longer</t>
  </si>
  <si>
    <t xml:space="preserve">Recent Oregon QAPs require 60 years for 9% awards and 60 years for most 4% awards (30 years or the paired source term in some cases). Older awards vary, so the estimated 30-year mark is the earliest possible date, not the actual one.</t>
  </si>
  <si>
    <t xml:space="preserve">https://www.oregon.gov/ohcs/rental-housing/housing-development/development-resources/Documents/QAP/2025-qap-final.pdf</t>
  </si>
  <si>
    <t xml:space="preserve">Qualified contract waiver</t>
  </si>
  <si>
    <t xml:space="preserve">Oregon applicants waive the qualified-contract exit when they apply, so early termination through that route is generally unavailable for recent awards. Check older REUAs individually.</t>
  </si>
  <si>
    <t xml:space="preserve">Federal three-year tenant protection</t>
  </si>
  <si>
    <t xml:space="preserve">When an extended-use period ends other than by foreclosure, existing low-income tenants are protected from eviction without cause and from rent increases above LIHTC limits for three years.</t>
  </si>
  <si>
    <t xml:space="preserve">IRC 42(h)(6)(E)(ii)</t>
  </si>
  <si>
    <t xml:space="preserve">C. Signal sources: used in this run and still to pull</t>
  </si>
  <si>
    <t xml:space="preserve">Signal / source</t>
  </si>
  <si>
    <t xml:space="preserve">Status and how to use it</t>
  </si>
  <si>
    <t xml:space="preserve">Link</t>
  </si>
  <si>
    <t xml:space="preserve">HUD LIHTC database extract (uploaded)</t>
  </si>
  <si>
    <t xml:space="preserve">USED. 754 Oregon records with nine fields. Supplies name, address, units, monitoring status and the vintage proxy.</t>
  </si>
  <si>
    <t xml:space="preserve">https://www.huduser.gov/portal/datasets/lihtc/property.html</t>
  </si>
  <si>
    <t xml:space="preserve">OHCS Affordable Housing 10-year Expiration Forecast</t>
  </si>
  <si>
    <t xml:space="preserve">NOT PULLED: the open-data site did not return rows to automated access from this session. 187 properties with latest expiration date, restricted units, funding type and preservation status. Paste each date into Verified expiration date; this is the single most valuable enrichment.</t>
  </si>
  <si>
    <t xml:space="preserve">https://data.oregon.gov/dataset/Affordable-Housing-10-year-Expiration-Forecast/ye2f-a4g9</t>
  </si>
  <si>
    <t xml:space="preserve">Oregon Affordable Housing Inventory (OAHI)</t>
  </si>
  <si>
    <t xml:space="preserve">NOT PULLED. About 1,800 properties and 53 fields from OHCS, HUD, USDA, Metro and housing authorities, including affordability expiration dates. Use it for restriction terms on properties outside the 10-year forecast.</t>
  </si>
  <si>
    <t xml:space="preserve">https://data.oregon.gov/dataset/Oregon-Affordable-Housing-Inventory/p9yn-ftai/data_preview</t>
  </si>
  <si>
    <t xml:space="preserve">OHCS Property Stabilization Investments list</t>
  </si>
  <si>
    <t xml:space="preserve">NOT MATCHED: OHCS reports 30 projects with over $39 million in conditional commitments for debt buy-downs and repairs, but the project list did not load here. Mark matches with Distress flag = Y.</t>
  </si>
  <si>
    <t xml:space="preserve">https://www.oregon.gov/ohcs/rental-housing/housing-development/development-resources/pages/preservation-development-resources.aspx</t>
  </si>
  <si>
    <t xml:space="preserve">HUD full LIHTC public file (LIHTCPUB)</t>
  </si>
  <si>
    <t xml:space="preserve">NOT PULLED. Adds placed-in-service and allocation years, credit type, nonprofit sponsor flag, resyndication flag and the reason a property is no longer monitored. Replaces the vintage proxy and fills Owner type for nonprofits.</t>
  </si>
  <si>
    <t xml:space="preserve">County assessor and recorder</t>
  </si>
  <si>
    <t xml:space="preserve">NOT PULLED. Owner entity and mailing address, last transfer date, recorded REUA and any recorded right of first refusal. Fills Owner type, Last transfer year and Owner / GP entity.</t>
  </si>
  <si>
    <t xml:space="preserve">Owner notices of intent to withdraw</t>
  </si>
  <si>
    <t xml:space="preserve">NOT PULLED. No public list of filed notices was found; the published 10-year forecast reports preservation status per property and is the public proxy. Count a confirmed notice under Other verified signals.</t>
  </si>
  <si>
    <t xml:space="preserve">Tax delinquency, sheriff's sales, code enforcement</t>
  </si>
  <si>
    <t xml:space="preserve">NOT RUN statewide. Foreclosure is rare for LIHTC properties; run these county by county only for Immediate and This-week leads.</t>
  </si>
  <si>
    <t xml:space="preserve">D. Data caveats in this run</t>
  </si>
  <si>
    <t xml:space="preserve">Item</t>
  </si>
  <si>
    <t xml:space="preserve">Detail</t>
  </si>
  <si>
    <t xml:space="preserve">Where handled</t>
  </si>
  <si>
    <t xml:space="preserve">Vintage is a proxy</t>
  </si>
  <si>
    <t xml:space="preserve">The year comes from the HUD ID, which normally matches the placed-in-service year. Every stage and date estimate depends on it.</t>
  </si>
  <si>
    <t xml:space="preserve">Leads column N</t>
  </si>
  <si>
    <t xml:space="preserve">5 records carry no year in the HUD ID and are scored as Unknown vintage.</t>
  </si>
  <si>
    <t xml:space="preserve">Leads column S</t>
  </si>
  <si>
    <t xml:space="preserve">No 2017 records</t>
  </si>
  <si>
    <t xml:space="preserve">The extract has no records with a 2017 HUD ID year; this may be a gap in HUD reporting.</t>
  </si>
  <si>
    <t xml:space="preserve">Unit-count errors</t>
  </si>
  <si>
    <t xml:space="preserve">7 records show more low-income units than total units; market-rate units are set to zero for them.</t>
  </si>
  <si>
    <t xml:space="preserve">Missing fields</t>
  </si>
  <si>
    <t xml:space="preserve">22 records have no ZIP, 3 no address, 1 no unit count, 22 no low-income unit count.</t>
  </si>
  <si>
    <t xml:space="preserve">Resyndications</t>
  </si>
  <si>
    <t xml:space="preserve">Address matching found earlier records replaced by a later allocation and two duplicate rows; they are marked Superseded. Resyndications under a new address or name are not caught.</t>
  </si>
  <si>
    <t xml:space="preserve">Leads columns S and T</t>
  </si>
  <si>
    <t xml:space="preserve">HUD monitoring status lags</t>
  </si>
  <si>
    <t xml:space="preserve">HUD notes its file does not correctly identify every property that has left the program, so Not Indicated does not prove a property is still restricted.</t>
  </si>
  <si>
    <t xml:space="preserve">Leads column M</t>
  </si>
  <si>
    <t xml:space="preserve">E. Market context (why distress is a live channel in 2026)</t>
  </si>
  <si>
    <t xml:space="preserve">State stabilisation awards</t>
  </si>
  <si>
    <t xml:space="preserve">In January 2026 OHCS committed $23.2 million to 15 financially distressed properties in Multnomah County (1,362 homes); owners cited insurance costs, unpaid rent and emergency repairs. The programme has since reached 30 projects.</t>
  </si>
  <si>
    <t xml:space="preserve">https://apps.oregon.gov/oregon-newsroom/OR/OHCS/Posts/Post/oregon-housing-and-community-services-takes-action-to-preserve-1300-affordable-homes</t>
  </si>
  <si>
    <t xml:space="preserve">Lender view</t>
  </si>
  <si>
    <t xml:space="preserve">The Network for Oregon Affordable Housing told legislators its portfolio includes 36 projects close to foreclosure and 120 losing money each year.</t>
  </si>
  <si>
    <t xml:space="preserve">https://housingoregon.org/category/housing-oregon-public-news/</t>
  </si>
  <si>
    <t xml:space="preserve">Funding position</t>
  </si>
  <si>
    <t xml:space="preserve">2025-27 stabilisation and preservation gap funds are fully subscribed; $20 million of general obligation bonds follows after a spring 2027 bond sale. Owners without an award are the likelier sellers.</t>
  </si>
</sst>
</file>

<file path=xl/styles.xml><?xml version="1.0" encoding="utf-8"?>
<styleSheet xmlns="http://schemas.openxmlformats.org/spreadsheetml/2006/main">
  <numFmts count="10">
    <numFmt numFmtId="164" formatCode="General"/>
    <numFmt numFmtId="165" formatCode="#,##0"/>
    <numFmt numFmtId="166" formatCode="0.0%"/>
    <numFmt numFmtId="167" formatCode="0;\-0;\-"/>
    <numFmt numFmtId="168" formatCode="0"/>
    <numFmt numFmtId="169" formatCode="General"/>
    <numFmt numFmtId="170" formatCode="yyyy\-mm\-dd"/>
    <numFmt numFmtId="171" formatCode="0%"/>
    <numFmt numFmtId="172" formatCode="0.0"/>
    <numFmt numFmtId="173" formatCode="0.0000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sz val="10"/>
      <color rgb="FF0000FF"/>
      <name val="Arial"/>
      <family val="0"/>
      <charset val="1"/>
    </font>
    <font>
      <sz val="10"/>
      <name val="Arial"/>
      <family val="2"/>
    </font>
    <font>
      <u val="single"/>
      <sz val="10"/>
      <color rgb="FF0563C1"/>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7F6000"/>
        <bgColor rgb="FF555555"/>
      </patternFill>
    </fill>
    <fill>
      <patternFill patternType="solid">
        <fgColor rgb="FFFFFF00"/>
        <bgColor rgb="FFFFFF00"/>
      </patternFill>
    </fill>
    <fill>
      <patternFill patternType="solid">
        <fgColor rgb="FFF2F2F2"/>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71" fontId="9" fillId="4" borderId="1" xfId="0" applyFont="true" applyBorder="true" applyAlignment="false" applyProtection="false">
      <alignment horizontal="general" vertical="bottom" textRotation="0" wrapText="false" indent="0" shrinkToFit="false"/>
      <protection locked="true" hidden="false"/>
    </xf>
    <xf numFmtId="172" fontId="8" fillId="5" borderId="0" xfId="0" applyFont="true" applyBorder="false" applyAlignment="false" applyProtection="false">
      <alignment horizontal="general" vertical="bottom" textRotation="0" wrapText="false" indent="0" shrinkToFit="false"/>
      <protection locked="true" hidden="false"/>
    </xf>
    <xf numFmtId="169" fontId="8" fillId="5" borderId="0" xfId="0" applyFont="true" applyBorder="false" applyAlignment="false" applyProtection="false">
      <alignment horizontal="general" vertical="bottom" textRotation="0" wrapText="false" indent="0" shrinkToFit="false"/>
      <protection locked="true" hidden="false"/>
    </xf>
    <xf numFmtId="173" fontId="8" fillId="5" borderId="0" xfId="0" applyFont="true" applyBorder="fals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70" fontId="9" fillId="4" borderId="1" xfId="0" applyFont="true" applyBorder="true" applyAlignment="true" applyProtection="false">
      <alignment horizontal="center" vertical="bottom" textRotation="0" wrapText="false" indent="0" shrinkToFit="false"/>
      <protection locked="true" hidden="false"/>
    </xf>
    <xf numFmtId="171" fontId="9" fillId="4"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F8CBAD"/>
        </patternFill>
      </fill>
    </dxf>
    <dxf>
      <fill>
        <patternFill>
          <bgColor rgb="FFFFE699"/>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D0CECE"/>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7F6000"/>
          <bgColor rgb="FF000000"/>
        </patternFill>
      </fill>
    </dxf>
    <dxf>
      <fill>
        <patternFill patternType="solid">
          <fgColor rgb="FFFFFF00"/>
          <bgColor rgb="FF000000"/>
        </patternFill>
      </fill>
    </dxf>
    <dxf>
      <fill>
        <patternFill patternType="solid">
          <fgColor rgb="FF0000FF"/>
          <bgColor rgb="FF000000"/>
        </patternFill>
      </fill>
    </dxf>
    <dxf>
      <fill>
        <patternFill patternType="solid">
          <fgColor rgb="FFF2F2F2"/>
          <bgColor rgb="FF000000"/>
        </patternFill>
      </fill>
    </dxf>
    <dxf>
      <fill>
        <patternFill>
          <bgColor rgb="FFC6E0B4"/>
        </patternFill>
      </fill>
    </dxf>
    <dxf>
      <fill>
        <patternFill>
          <bgColor rgb="FFEDEDED"/>
        </patternFill>
      </fill>
    </dxf>
    <dxf>
      <fill>
        <patternFill>
          <bgColor rgb="FFD0CE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2F2F2"/>
      <rgbColor rgb="FFEDEDED"/>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8CBAD"/>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hyperlink" Target="https://www.oregon.gov/ohcs/compliance-monitoring/pages/push-cp-instruction-guide.aspx" TargetMode="External"/><Relationship Id="rId2" Type="http://schemas.openxmlformats.org/officeDocument/2006/relationships/hyperlink" Target="https://www.oregon.gov/ohcs/compliance-monitoring/pages/push-cp-instruction-guide.aspx" TargetMode="External"/><Relationship Id="rId3" Type="http://schemas.openxmlformats.org/officeDocument/2006/relationships/hyperlink" Target="https://www.oregon.gov/ohcs/compliance-monitoring/pages/push-cp-instruction-guide.aspx" TargetMode="External"/><Relationship Id="rId4" Type="http://schemas.openxmlformats.org/officeDocument/2006/relationships/hyperlink" Target="https://www.oregon.gov/ohcs/compliance-monitoring/pages/push-cp-instruction-guide.aspx" TargetMode="External"/><Relationship Id="rId5" Type="http://schemas.openxmlformats.org/officeDocument/2006/relationships/hyperlink" Target="https://www.oregon.gov/ohcs/compliance-monitoring/pages/push-cp-instruction-guide.aspx" TargetMode="External"/><Relationship Id="rId6" Type="http://schemas.openxmlformats.org/officeDocument/2006/relationships/hyperlink" Target="https://www.oregon.gov/ohcs/compliance-monitoring/pages/push-cp-instruction-guide.aspx" TargetMode="External"/><Relationship Id="rId7" Type="http://schemas.openxmlformats.org/officeDocument/2006/relationships/hyperlink" Target="https://www.oregon.gov/ohcs/compliance-monitoring/pages/push-cp-instruction-guide.aspx" TargetMode="External"/><Relationship Id="rId8" Type="http://schemas.openxmlformats.org/officeDocument/2006/relationships/hyperlink" Target="https://www.oregon.gov/ohcs/compliance-monitoring/pages/push-cp-instruction-guide.aspx" TargetMode="External"/><Relationship Id="rId9" Type="http://schemas.openxmlformats.org/officeDocument/2006/relationships/hyperlink" Target="https://www.oregon.gov/ohcs/compliance-monitoring/pages/push-cp-instruction-guide.aspx" TargetMode="External"/><Relationship Id="rId10" Type="http://schemas.openxmlformats.org/officeDocument/2006/relationships/hyperlink" Target="https://www.portland.gov/code/30/01" TargetMode="External"/><Relationship Id="rId11" Type="http://schemas.openxmlformats.org/officeDocument/2006/relationships/hyperlink" Target="https://www.oregon.gov/ohcs/rental-housing/housing-development/development-resources/Pages/push-seller-tax-credit.aspx" TargetMode="External"/><Relationship Id="rId12" Type="http://schemas.openxmlformats.org/officeDocument/2006/relationships/hyperlink" Target="https://www.oregon.gov/ohcs/rental-housing/housing-development/development-resources/Documents/QAP/2025-qap-final.pdf" TargetMode="External"/><Relationship Id="rId13" Type="http://schemas.openxmlformats.org/officeDocument/2006/relationships/hyperlink" Target="https://www.oregon.gov/ohcs/rental-housing/housing-development/development-resources/Documents/QAP/2025-qap-final.pdf" TargetMode="External"/><Relationship Id="rId14" Type="http://schemas.openxmlformats.org/officeDocument/2006/relationships/hyperlink" Target="https://www.huduser.gov/portal/datasets/lihtc/property.html" TargetMode="External"/><Relationship Id="rId15" Type="http://schemas.openxmlformats.org/officeDocument/2006/relationships/hyperlink" Target="https://data.oregon.gov/dataset/Affordable-Housing-10-year-Expiration-Forecast/ye2f-a4g9" TargetMode="External"/><Relationship Id="rId16" Type="http://schemas.openxmlformats.org/officeDocument/2006/relationships/hyperlink" Target="https://data.oregon.gov/dataset/Oregon-Affordable-Housing-Inventory/p9yn-ftai/data_preview" TargetMode="External"/><Relationship Id="rId17" Type="http://schemas.openxmlformats.org/officeDocument/2006/relationships/hyperlink" Target="https://www.oregon.gov/ohcs/rental-housing/housing-development/development-resources/pages/preservation-development-resources.aspx" TargetMode="External"/><Relationship Id="rId18" Type="http://schemas.openxmlformats.org/officeDocument/2006/relationships/hyperlink" Target="https://www.huduser.gov/portal/datasets/lihtc/property.html" TargetMode="External"/><Relationship Id="rId19" Type="http://schemas.openxmlformats.org/officeDocument/2006/relationships/hyperlink" Target="https://www.oregon.gov/ohcs/compliance-monitoring/pages/push-cp-instruction-guide.aspx" TargetMode="External"/><Relationship Id="rId20" Type="http://schemas.openxmlformats.org/officeDocument/2006/relationships/hyperlink" Target="https://apps.oregon.gov/oregon-newsroom/OR/OHCS/Posts/Post/oregon-housing-and-community-services-takes-action-to-preserve-1300-affordable-homes" TargetMode="External"/><Relationship Id="rId21" Type="http://schemas.openxmlformats.org/officeDocument/2006/relationships/hyperlink" Target="https://housingoregon.org/category/housing-oregon-public-news/" TargetMode="External"/><Relationship Id="rId22" Type="http://schemas.openxmlformats.org/officeDocument/2006/relationships/hyperlink" Target="https://www.oregon.gov/ohcs/rental-housing/housing-development/development-resources/pages/preservation-development-resources.asp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42"/>
    <col collapsed="false" customWidth="true" hidden="false" outlineLevel="0" max="3" min="3" style="0" width="16"/>
    <col collapsed="false" customWidth="true" hidden="false" outlineLevel="0" max="4" min="4" style="0" width="14"/>
    <col collapsed="false" customWidth="true" hidden="false" outlineLevel="0" max="5" min="5" style="0" width="70"/>
    <col collapsed="false" customWidth="true" hidden="false" outlineLevel="0" max="6" min="6" style="0" width="10"/>
    <col collapsed="false" customWidth="true" hidden="false" outlineLevel="0" max="7" min="7" style="0" width="8"/>
    <col collapsed="false" customWidth="true" hidden="false" outlineLevel="0" max="8" min="8" style="0" width="12"/>
    <col collapsed="false" customWidth="true" hidden="false" outlineLevel="0" max="9" min="9" style="0" width="14"/>
  </cols>
  <sheetData>
    <row r="1" customFormat="false" ht="17.35" hidden="false" customHeight="false" outlineLevel="0" collapsed="false">
      <c r="A1" s="1" t="s">
        <v>0</v>
      </c>
    </row>
    <row r="2" customFormat="false" ht="15" hidden="false" customHeight="false" outlineLevel="0" collapsed="false">
      <c r="A2" s="2" t="str">
        <f aca="false">"As of "&amp;TEXT(Scoring!B3,"mmmm d, yyyy")&amp;". Universe: HUD LIHTC database extract for Oregon (uploaded LIHTC.xlsx). Scores are provisional until the yellow columns on the Leads tab are filled in."</f>
        <v>As of October 2, 2026. Universe: HUD LIHTC database extract for Oregon (uploaded LIHTC.xlsx). Scores are provisional until the yellow columns on the Leads tab are filled in.</v>
      </c>
    </row>
    <row r="4" customFormat="false" ht="15" hidden="false" customHeight="false" outlineLevel="0" collapsed="false">
      <c r="A4" s="3" t="s">
        <v>1</v>
      </c>
    </row>
    <row r="5" customFormat="false" ht="15" hidden="false" customHeight="false" outlineLevel="0" collapsed="false">
      <c r="A5" s="4" t="s">
        <v>2</v>
      </c>
      <c r="B5" s="4" t="s">
        <v>3</v>
      </c>
      <c r="C5" s="4" t="s">
        <v>4</v>
      </c>
    </row>
    <row r="6" customFormat="false" ht="15" hidden="false" customHeight="false" outlineLevel="0" collapsed="false">
      <c r="A6" s="5" t="s">
        <v>5</v>
      </c>
      <c r="B6" s="6" t="n">
        <f aca="false">COUNTA(Leads!$E$2:$E$755)</f>
        <v>754</v>
      </c>
      <c r="C6" s="6" t="n">
        <f aca="false">SUM(Leads!$J$2:$J$755)</f>
        <v>45401</v>
      </c>
    </row>
    <row r="7" customFormat="false" ht="15" hidden="false" customHeight="false" outlineLevel="0" collapsed="false">
      <c r="A7" s="5" t="s">
        <v>6</v>
      </c>
      <c r="B7" s="6" t="n">
        <f aca="false">COUNTIF(Leads!$T$2:$T$755,"Y")</f>
        <v>12</v>
      </c>
      <c r="C7" s="6" t="n">
        <f aca="false">SUMIF(Leads!$T$2:$T$755,"Y",Leads!$J$2:$J$755)</f>
        <v>711</v>
      </c>
    </row>
    <row r="8" customFormat="false" ht="15" hidden="false" customHeight="false" outlineLevel="0" collapsed="false">
      <c r="A8" s="5" t="s">
        <v>7</v>
      </c>
      <c r="B8" s="6" t="n">
        <f aca="false">B6-B7</f>
        <v>742</v>
      </c>
      <c r="C8" s="6" t="n">
        <f aca="false">C6-C7</f>
        <v>44690</v>
      </c>
    </row>
    <row r="9" customFormat="false" ht="15" hidden="false" customHeight="false" outlineLevel="0" collapsed="false">
      <c r="A9" s="5" t="s">
        <v>8</v>
      </c>
      <c r="B9" s="6" t="n">
        <f aca="false">COUNTIF(Leads!$D$2:$D$755,"Out of program")</f>
        <v>105</v>
      </c>
      <c r="C9" s="6" t="n">
        <f aca="false">SUMIF(Leads!$D$2:$D$755,"Out of program",Leads!$J$2:$J$755)</f>
        <v>2339</v>
      </c>
    </row>
    <row r="10" customFormat="false" ht="15" hidden="false" customHeight="false" outlineLevel="0" collapsed="false">
      <c r="A10" s="5" t="s">
        <v>9</v>
      </c>
      <c r="B10" s="6" t="n">
        <f aca="false">COUNTIF(Leads!$R$2:$R$755,"No (under 5 units)")</f>
        <v>73</v>
      </c>
      <c r="C10" s="6" t="n">
        <f aca="false">SUMIF(Leads!$R$2:$R$755,"No (under 5 units)",Leads!$J$2:$J$755)</f>
        <v>110</v>
      </c>
    </row>
    <row r="11" customFormat="false" ht="15" hidden="false" customHeight="false" outlineLevel="0" collapsed="false">
      <c r="A11" s="5" t="s">
        <v>10</v>
      </c>
      <c r="B11" s="6" t="n">
        <f aca="false">COUNT(Leads!$U$2:$U$755)</f>
        <v>0</v>
      </c>
      <c r="C11" s="6"/>
    </row>
    <row r="13" customFormat="false" ht="15" hidden="false" customHeight="false" outlineLevel="0" collapsed="false">
      <c r="A13" s="3" t="s">
        <v>11</v>
      </c>
    </row>
    <row r="14" customFormat="false" ht="15" hidden="false" customHeight="false" outlineLevel="0" collapsed="false">
      <c r="A14" s="4" t="s">
        <v>12</v>
      </c>
      <c r="B14" s="4" t="s">
        <v>13</v>
      </c>
      <c r="C14" s="4" t="s">
        <v>4</v>
      </c>
      <c r="D14" s="4" t="s">
        <v>14</v>
      </c>
      <c r="E14" s="4" t="s">
        <v>15</v>
      </c>
    </row>
    <row r="15" customFormat="false" ht="15" hidden="false" customHeight="false" outlineLevel="0" collapsed="false">
      <c r="A15" s="7" t="s">
        <v>16</v>
      </c>
      <c r="B15" s="5" t="n">
        <f aca="false">COUNTIF(Leads!$B$2:$B$755,A15)</f>
        <v>8</v>
      </c>
      <c r="C15" s="6" t="n">
        <f aca="false">SUMIF(Leads!$B$2:$B$755,A15,Leads!$J$2:$J$755)</f>
        <v>706</v>
      </c>
      <c r="D15" s="8" t="n">
        <f aca="false">IF($B$19=0,0,B15/$B$19)</f>
        <v>0.0107816711590297</v>
      </c>
      <c r="E15" s="9" t="s">
        <v>17</v>
      </c>
    </row>
    <row r="16" customFormat="false" ht="23.85" hidden="false" customHeight="false" outlineLevel="0" collapsed="false">
      <c r="A16" s="7" t="s">
        <v>18</v>
      </c>
      <c r="B16" s="5" t="n">
        <f aca="false">COUNTIF(Leads!$B$2:$B$755,A16)</f>
        <v>361</v>
      </c>
      <c r="C16" s="6" t="n">
        <f aca="false">SUMIF(Leads!$B$2:$B$755,A16,Leads!$J$2:$J$755)</f>
        <v>21917</v>
      </c>
      <c r="D16" s="8" t="n">
        <f aca="false">IF($B$19=0,0,B16/$B$19)</f>
        <v>0.486522911051213</v>
      </c>
      <c r="E16" s="9" t="s">
        <v>19</v>
      </c>
    </row>
    <row r="17" customFormat="false" ht="15" hidden="false" customHeight="false" outlineLevel="0" collapsed="false">
      <c r="A17" s="7" t="s">
        <v>20</v>
      </c>
      <c r="B17" s="5" t="n">
        <f aca="false">COUNTIF(Leads!$B$2:$B$755,A17)</f>
        <v>285</v>
      </c>
      <c r="C17" s="6" t="n">
        <f aca="false">SUMIF(Leads!$B$2:$B$755,A17,Leads!$J$2:$J$755)</f>
        <v>14234</v>
      </c>
      <c r="D17" s="8" t="n">
        <f aca="false">IF($B$19=0,0,B17/$B$19)</f>
        <v>0.384097035040431</v>
      </c>
      <c r="E17" s="9" t="s">
        <v>21</v>
      </c>
    </row>
    <row r="18" customFormat="false" ht="15" hidden="false" customHeight="false" outlineLevel="0" collapsed="false">
      <c r="A18" s="7" t="s">
        <v>22</v>
      </c>
      <c r="B18" s="5" t="n">
        <f aca="false">COUNTIF(Leads!$B$2:$B$755,A18)</f>
        <v>88</v>
      </c>
      <c r="C18" s="6" t="n">
        <f aca="false">SUMIF(Leads!$B$2:$B$755,A18,Leads!$J$2:$J$755)</f>
        <v>7833</v>
      </c>
      <c r="D18" s="8" t="n">
        <f aca="false">IF($B$19=0,0,B18/$B$19)</f>
        <v>0.118598382749326</v>
      </c>
      <c r="E18" s="9" t="s">
        <v>23</v>
      </c>
    </row>
    <row r="19" customFormat="false" ht="15" hidden="false" customHeight="false" outlineLevel="0" collapsed="false">
      <c r="A19" s="3" t="s">
        <v>24</v>
      </c>
      <c r="B19" s="3" t="n">
        <f aca="false">SUM(B15:B18)</f>
        <v>742</v>
      </c>
      <c r="C19" s="10" t="n">
        <f aca="false">SUM(C15:C18)</f>
        <v>44690</v>
      </c>
      <c r="E19" s="2" t="str">
        <f aca="false">IF(B19=B8,"Ties to unique leads scored","CHECK: does not tie to unique leads")</f>
        <v>Ties to unique leads scored</v>
      </c>
    </row>
    <row r="21" customFormat="false" ht="15" hidden="false" customHeight="false" outlineLevel="0" collapsed="false">
      <c r="A21" s="3" t="s">
        <v>25</v>
      </c>
    </row>
    <row r="22" customFormat="false" ht="15" hidden="false" customHeight="false" outlineLevel="0" collapsed="false">
      <c r="A22" s="4" t="s">
        <v>26</v>
      </c>
      <c r="B22" s="4" t="s">
        <v>13</v>
      </c>
      <c r="C22" s="4" t="s">
        <v>4</v>
      </c>
      <c r="D22" s="4" t="s">
        <v>27</v>
      </c>
      <c r="E22" s="4" t="s">
        <v>28</v>
      </c>
    </row>
    <row r="23" customFormat="false" ht="23.85" hidden="false" customHeight="false" outlineLevel="0" collapsed="false">
      <c r="A23" s="5" t="s">
        <v>29</v>
      </c>
      <c r="B23" s="5" t="n">
        <f aca="false">COUNTIF(Leads!$D$2:$D$755,A23)</f>
        <v>0</v>
      </c>
      <c r="C23" s="6" t="n">
        <f aca="false">SUMIF(Leads!$D$2:$D$755,A23,Leads!$J$2:$J$755)</f>
        <v>0</v>
      </c>
      <c r="D23" s="11" t="n">
        <f aca="false">IFERROR(AVERAGEIF(Leads!$D$2:$D$755,A23,Leads!$C$2:$C$755),0)</f>
        <v>0</v>
      </c>
      <c r="E23" s="9" t="s">
        <v>30</v>
      </c>
    </row>
    <row r="24" customFormat="false" ht="23.85" hidden="false" customHeight="false" outlineLevel="0" collapsed="false">
      <c r="A24" s="5" t="s">
        <v>31</v>
      </c>
      <c r="B24" s="5" t="n">
        <f aca="false">COUNTIF(Leads!$D$2:$D$755,A24)</f>
        <v>0</v>
      </c>
      <c r="C24" s="6" t="n">
        <f aca="false">SUMIF(Leads!$D$2:$D$755,A24,Leads!$J$2:$J$755)</f>
        <v>0</v>
      </c>
      <c r="D24" s="11" t="n">
        <f aca="false">IFERROR(AVERAGEIF(Leads!$D$2:$D$755,A24,Leads!$C$2:$C$755),0)</f>
        <v>0</v>
      </c>
      <c r="E24" s="9" t="s">
        <v>32</v>
      </c>
    </row>
    <row r="25" customFormat="false" ht="15" hidden="false" customHeight="false" outlineLevel="0" collapsed="false">
      <c r="A25" s="5" t="s">
        <v>33</v>
      </c>
      <c r="B25" s="5" t="n">
        <f aca="false">COUNTIF(Leads!$D$2:$D$755,A25)</f>
        <v>0</v>
      </c>
      <c r="C25" s="6" t="n">
        <f aca="false">SUMIF(Leads!$D$2:$D$755,A25,Leads!$J$2:$J$755)</f>
        <v>0</v>
      </c>
      <c r="D25" s="11" t="n">
        <f aca="false">IFERROR(AVERAGEIF(Leads!$D$2:$D$755,A25,Leads!$C$2:$C$755),0)</f>
        <v>0</v>
      </c>
      <c r="E25" s="9" t="s">
        <v>34</v>
      </c>
    </row>
    <row r="26" customFormat="false" ht="23.85" hidden="false" customHeight="false" outlineLevel="0" collapsed="false">
      <c r="A26" s="5" t="s">
        <v>35</v>
      </c>
      <c r="B26" s="5" t="n">
        <f aca="false">COUNTIF(Leads!$D$2:$D$755,A26)</f>
        <v>83</v>
      </c>
      <c r="C26" s="6" t="n">
        <f aca="false">SUMIF(Leads!$D$2:$D$755,A26,Leads!$J$2:$J$755)</f>
        <v>5724</v>
      </c>
      <c r="D26" s="11" t="n">
        <f aca="false">IFERROR(AVERAGEIF(Leads!$D$2:$D$755,A26,Leads!$C$2:$C$755),0)</f>
        <v>70.6746987951807</v>
      </c>
      <c r="E26" s="9" t="s">
        <v>36</v>
      </c>
    </row>
    <row r="27" customFormat="false" ht="23.85" hidden="false" customHeight="false" outlineLevel="0" collapsed="false">
      <c r="A27" s="5" t="s">
        <v>37</v>
      </c>
      <c r="B27" s="5" t="n">
        <f aca="false">COUNTIF(Leads!$D$2:$D$755,A27)</f>
        <v>105</v>
      </c>
      <c r="C27" s="6" t="n">
        <f aca="false">SUMIF(Leads!$D$2:$D$755,A27,Leads!$J$2:$J$755)</f>
        <v>6849</v>
      </c>
      <c r="D27" s="11" t="n">
        <f aca="false">IFERROR(AVERAGEIF(Leads!$D$2:$D$755,A27,Leads!$C$2:$C$755),0)</f>
        <v>64.2</v>
      </c>
      <c r="E27" s="9" t="s">
        <v>38</v>
      </c>
    </row>
    <row r="28" customFormat="false" ht="15" hidden="false" customHeight="false" outlineLevel="0" collapsed="false">
      <c r="A28" s="5" t="s">
        <v>39</v>
      </c>
      <c r="B28" s="5" t="n">
        <f aca="false">COUNTIF(Leads!$D$2:$D$755,A28)</f>
        <v>110</v>
      </c>
      <c r="C28" s="6" t="n">
        <f aca="false">SUMIF(Leads!$D$2:$D$755,A28,Leads!$J$2:$J$755)</f>
        <v>5917</v>
      </c>
      <c r="D28" s="11" t="n">
        <f aca="false">IFERROR(AVERAGEIF(Leads!$D$2:$D$755,A28,Leads!$C$2:$C$755),0)</f>
        <v>56.4</v>
      </c>
      <c r="E28" s="9" t="s">
        <v>40</v>
      </c>
    </row>
    <row r="29" customFormat="false" ht="15" hidden="false" customHeight="false" outlineLevel="0" collapsed="false">
      <c r="A29" s="5" t="s">
        <v>41</v>
      </c>
      <c r="B29" s="5" t="n">
        <f aca="false">COUNTIF(Leads!$D$2:$D$755,A29)</f>
        <v>206</v>
      </c>
      <c r="C29" s="6" t="n">
        <f aca="false">SUMIF(Leads!$D$2:$D$755,A29,Leads!$J$2:$J$755)</f>
        <v>13926</v>
      </c>
      <c r="D29" s="11" t="n">
        <f aca="false">IFERROR(AVERAGEIF(Leads!$D$2:$D$755,A29,Leads!$C$2:$C$755),0)</f>
        <v>47.6699029126214</v>
      </c>
      <c r="E29" s="9" t="s">
        <v>42</v>
      </c>
    </row>
    <row r="30" customFormat="false" ht="23.85" hidden="false" customHeight="false" outlineLevel="0" collapsed="false">
      <c r="A30" s="5" t="s">
        <v>43</v>
      </c>
      <c r="B30" s="5" t="n">
        <f aca="false">COUNTIF(Leads!$D$2:$D$755,A30)</f>
        <v>105</v>
      </c>
      <c r="C30" s="6" t="n">
        <f aca="false">SUMIF(Leads!$D$2:$D$755,A30,Leads!$J$2:$J$755)</f>
        <v>2339</v>
      </c>
      <c r="D30" s="11" t="n">
        <f aca="false">IFERROR(AVERAGEIF(Leads!$D$2:$D$755,A30,Leads!$C$2:$C$755),0)</f>
        <v>44.6666666666667</v>
      </c>
      <c r="E30" s="9" t="s">
        <v>44</v>
      </c>
    </row>
    <row r="31" customFormat="false" ht="23.85" hidden="false" customHeight="false" outlineLevel="0" collapsed="false">
      <c r="A31" s="5" t="s">
        <v>45</v>
      </c>
      <c r="B31" s="5" t="n">
        <f aca="false">COUNTIF(Leads!$D$2:$D$755,A31)</f>
        <v>18</v>
      </c>
      <c r="C31" s="6" t="n">
        <f aca="false">SUMIF(Leads!$D$2:$D$755,A31,Leads!$J$2:$J$755)</f>
        <v>259</v>
      </c>
      <c r="D31" s="11" t="n">
        <f aca="false">IFERROR(AVERAGEIF(Leads!$D$2:$D$755,A31,Leads!$C$2:$C$755),0)</f>
        <v>52</v>
      </c>
      <c r="E31" s="9" t="s">
        <v>46</v>
      </c>
    </row>
    <row r="32" customFormat="false" ht="15" hidden="false" customHeight="false" outlineLevel="0" collapsed="false">
      <c r="A32" s="5" t="s">
        <v>47</v>
      </c>
      <c r="B32" s="5" t="n">
        <f aca="false">COUNTIF(Leads!$D$2:$D$755,A32)</f>
        <v>27</v>
      </c>
      <c r="C32" s="6" t="n">
        <f aca="false">SUMIF(Leads!$D$2:$D$755,A32,Leads!$J$2:$J$755)</f>
        <v>1750</v>
      </c>
      <c r="D32" s="11" t="n">
        <f aca="false">IFERROR(AVERAGEIF(Leads!$D$2:$D$755,A32,Leads!$C$2:$C$755),0)</f>
        <v>33.7407407407407</v>
      </c>
      <c r="E32" s="9" t="s">
        <v>48</v>
      </c>
    </row>
    <row r="33" customFormat="false" ht="15" hidden="false" customHeight="false" outlineLevel="0" collapsed="false">
      <c r="A33" s="5" t="s">
        <v>49</v>
      </c>
      <c r="B33" s="5" t="n">
        <f aca="false">COUNTIF(Leads!$D$2:$D$755,A33)</f>
        <v>85</v>
      </c>
      <c r="C33" s="6" t="n">
        <f aca="false">SUMIF(Leads!$D$2:$D$755,A33,Leads!$J$2:$J$755)</f>
        <v>7853</v>
      </c>
      <c r="D33" s="11" t="n">
        <f aca="false">IFERROR(AVERAGEIF(Leads!$D$2:$D$755,A33,Leads!$C$2:$C$755),0)</f>
        <v>24.3882352941176</v>
      </c>
      <c r="E33" s="9" t="s">
        <v>50</v>
      </c>
    </row>
    <row r="34" customFormat="false" ht="15" hidden="false" customHeight="false" outlineLevel="0" collapsed="false">
      <c r="A34" s="5" t="s">
        <v>51</v>
      </c>
      <c r="B34" s="5" t="n">
        <f aca="false">COUNTIF(Leads!$D$2:$D$755,A34)</f>
        <v>3</v>
      </c>
      <c r="C34" s="6" t="n">
        <f aca="false">SUMIF(Leads!$D$2:$D$755,A34,Leads!$J$2:$J$755)</f>
        <v>73</v>
      </c>
      <c r="D34" s="11" t="n">
        <f aca="false">IFERROR(AVERAGEIF(Leads!$D$2:$D$755,A34,Leads!$C$2:$C$755),0)</f>
        <v>29</v>
      </c>
      <c r="E34" s="9" t="s">
        <v>52</v>
      </c>
    </row>
    <row r="35" customFormat="false" ht="15" hidden="false" customHeight="false" outlineLevel="0" collapsed="false">
      <c r="A35" s="5" t="s">
        <v>53</v>
      </c>
      <c r="B35" s="5" t="n">
        <f aca="false">COUNTIF(Leads!$D$2:$D$755,A35)</f>
        <v>12</v>
      </c>
      <c r="C35" s="6" t="n">
        <f aca="false">SUMIF(Leads!$D$2:$D$755,A35,Leads!$J$2:$J$755)</f>
        <v>711</v>
      </c>
      <c r="D35" s="11" t="n">
        <f aca="false">IFERROR(AVERAGEIF(Leads!$D$2:$D$755,A35,Leads!$C$2:$C$755),0)</f>
        <v>0</v>
      </c>
      <c r="E35" s="9" t="s">
        <v>54</v>
      </c>
    </row>
    <row r="36" customFormat="false" ht="15" hidden="false" customHeight="false" outlineLevel="0" collapsed="false">
      <c r="A36" s="3" t="s">
        <v>24</v>
      </c>
      <c r="B36" s="3" t="n">
        <f aca="false">SUM(B23:B35)</f>
        <v>754</v>
      </c>
      <c r="C36" s="10" t="n">
        <f aca="false">SUM(C23:C35)</f>
        <v>45401</v>
      </c>
      <c r="E36" s="2" t="str">
        <f aca="false">IF(B36=B6,"Ties to records scanned","CHECK: does not tie to records scanned")</f>
        <v>Ties to records scanned</v>
      </c>
    </row>
    <row r="38" customFormat="false" ht="15" hidden="false" customHeight="false" outlineLevel="0" collapsed="false">
      <c r="A38" s="3" t="s">
        <v>55</v>
      </c>
    </row>
    <row r="39" customFormat="false" ht="15" hidden="false" customHeight="false" outlineLevel="0" collapsed="false">
      <c r="A39" s="4" t="s">
        <v>56</v>
      </c>
      <c r="B39" s="4" t="s">
        <v>57</v>
      </c>
      <c r="C39" s="4" t="s">
        <v>58</v>
      </c>
      <c r="D39" s="4" t="s">
        <v>4</v>
      </c>
      <c r="E39" s="4" t="s">
        <v>26</v>
      </c>
      <c r="F39" s="4" t="s">
        <v>59</v>
      </c>
      <c r="G39" s="4" t="s">
        <v>60</v>
      </c>
      <c r="H39" s="4" t="s">
        <v>12</v>
      </c>
      <c r="I39" s="4" t="s">
        <v>61</v>
      </c>
    </row>
    <row r="40" customFormat="false" ht="15" hidden="false" customHeight="false" outlineLevel="0" collapsed="false">
      <c r="A40" s="12" t="n">
        <v>1</v>
      </c>
      <c r="B40" s="5" t="str">
        <f aca="false">INDEX(Leads!$F$2:$F$755,MATCH($A40,Leads!$A$2:$A$755,0))</f>
        <v>VILLAGE AT LOVEJOY FOUNTAIN</v>
      </c>
      <c r="C40" s="5" t="str">
        <f aca="false">INDEX(Leads!$H$2:$H$755,MATCH($A40,Leads!$A$2:$A$755,0))</f>
        <v>PORTLAND</v>
      </c>
      <c r="D40" s="5" t="n">
        <f aca="false">INDEX(Leads!$J$2:$J$755,MATCH($A40,Leads!$A$2:$A$755,0))</f>
        <v>198</v>
      </c>
      <c r="E40" s="5" t="str">
        <f aca="false">INDEX(Leads!$D$2:$D$755,MATCH($A40,Leads!$A$2:$A$755,0))</f>
        <v>30-yr mark: notice window (est.)</v>
      </c>
      <c r="F40" s="13" t="n">
        <f aca="false">INDEX(Leads!$N$2:$N$755,MATCH($A40,Leads!$A$2:$A$755,0))</f>
        <v>1999</v>
      </c>
      <c r="G40" s="5" t="n">
        <f aca="false">INDEX(Leads!$C$2:$C$755,MATCH($A40,Leads!$A$2:$A$755,0))</f>
        <v>77</v>
      </c>
      <c r="H40" s="5" t="str">
        <f aca="false">INDEX(Leads!$B$2:$B$755,MATCH($A40,Leads!$A$2:$A$755,0))</f>
        <v>Immediate</v>
      </c>
      <c r="I40" s="5" t="str">
        <f aca="false">INDEX(Leads!$E$2:$E$755,MATCH($A40,Leads!$A$2:$A$755,0))</f>
        <v>ORA19990155</v>
      </c>
    </row>
    <row r="41" customFormat="false" ht="15" hidden="false" customHeight="false" outlineLevel="0" collapsed="false">
      <c r="A41" s="12" t="n">
        <v>2</v>
      </c>
      <c r="B41" s="5" t="str">
        <f aca="false">INDEX(Leads!$F$2:$F$755,MATCH($A41,Leads!$A$2:$A$755,0))</f>
        <v>ST ANTHONY VILLAGE</v>
      </c>
      <c r="C41" s="5" t="str">
        <f aca="false">INDEX(Leads!$H$2:$H$755,MATCH($A41,Leads!$A$2:$A$755,0))</f>
        <v>PORTLAND</v>
      </c>
      <c r="D41" s="5" t="n">
        <f aca="false">INDEX(Leads!$J$2:$J$755,MATCH($A41,Leads!$A$2:$A$755,0))</f>
        <v>128</v>
      </c>
      <c r="E41" s="5" t="str">
        <f aca="false">INDEX(Leads!$D$2:$D$755,MATCH($A41,Leads!$A$2:$A$755,0))</f>
        <v>30-yr mark: notice window (est.)</v>
      </c>
      <c r="F41" s="13" t="n">
        <f aca="false">INDEX(Leads!$N$2:$N$755,MATCH($A41,Leads!$A$2:$A$755,0))</f>
        <v>1999</v>
      </c>
      <c r="G41" s="5" t="n">
        <f aca="false">INDEX(Leads!$C$2:$C$755,MATCH($A41,Leads!$A$2:$A$755,0))</f>
        <v>77</v>
      </c>
      <c r="H41" s="5" t="str">
        <f aca="false">INDEX(Leads!$B$2:$B$755,MATCH($A41,Leads!$A$2:$A$755,0))</f>
        <v>Immediate</v>
      </c>
      <c r="I41" s="5" t="str">
        <f aca="false">INDEX(Leads!$E$2:$E$755,MATCH($A41,Leads!$A$2:$A$755,0))</f>
        <v>ORA19990140</v>
      </c>
    </row>
    <row r="42" customFormat="false" ht="15" hidden="false" customHeight="false" outlineLevel="0" collapsed="false">
      <c r="A42" s="12" t="n">
        <v>3</v>
      </c>
      <c r="B42" s="5" t="str">
        <f aca="false">INDEX(Leads!$F$2:$F$755,MATCH($A42,Leads!$A$2:$A$755,0))</f>
        <v>PARKWAY VILLAGE APTS - SALEM</v>
      </c>
      <c r="C42" s="5" t="str">
        <f aca="false">INDEX(Leads!$H$2:$H$755,MATCH($A42,Leads!$A$2:$A$755,0))</f>
        <v>SALEM</v>
      </c>
      <c r="D42" s="5" t="n">
        <f aca="false">INDEX(Leads!$J$2:$J$755,MATCH($A42,Leads!$A$2:$A$755,0))</f>
        <v>124</v>
      </c>
      <c r="E42" s="5" t="str">
        <f aca="false">INDEX(Leads!$D$2:$D$755,MATCH($A42,Leads!$A$2:$A$755,0))</f>
        <v>30-yr mark: notice window (est.)</v>
      </c>
      <c r="F42" s="13" t="n">
        <f aca="false">INDEX(Leads!$N$2:$N$755,MATCH($A42,Leads!$A$2:$A$755,0))</f>
        <v>1997</v>
      </c>
      <c r="G42" s="5" t="n">
        <f aca="false">INDEX(Leads!$C$2:$C$755,MATCH($A42,Leads!$A$2:$A$755,0))</f>
        <v>77</v>
      </c>
      <c r="H42" s="5" t="str">
        <f aca="false">INDEX(Leads!$B$2:$B$755,MATCH($A42,Leads!$A$2:$A$755,0))</f>
        <v>Immediate</v>
      </c>
      <c r="I42" s="5" t="str">
        <f aca="false">INDEX(Leads!$E$2:$E$755,MATCH($A42,Leads!$A$2:$A$755,0))</f>
        <v>ORA19970141</v>
      </c>
    </row>
    <row r="43" customFormat="false" ht="15" hidden="false" customHeight="false" outlineLevel="0" collapsed="false">
      <c r="A43" s="12" t="n">
        <v>4</v>
      </c>
      <c r="B43" s="5" t="str">
        <f aca="false">INDEX(Leads!$F$2:$F$755,MATCH($A43,Leads!$A$2:$A$755,0))</f>
        <v>FIFTH AVE COURTS</v>
      </c>
      <c r="C43" s="5" t="str">
        <f aca="false">INDEX(Leads!$H$2:$H$755,MATCH($A43,Leads!$A$2:$A$755,0))</f>
        <v>PORTLAND</v>
      </c>
      <c r="D43" s="5" t="n">
        <f aca="false">INDEX(Leads!$J$2:$J$755,MATCH($A43,Leads!$A$2:$A$755,0))</f>
        <v>96</v>
      </c>
      <c r="E43" s="5" t="str">
        <f aca="false">INDEX(Leads!$D$2:$D$755,MATCH($A43,Leads!$A$2:$A$755,0))</f>
        <v>30-yr mark: notice window (est.)</v>
      </c>
      <c r="F43" s="13" t="n">
        <f aca="false">INDEX(Leads!$N$2:$N$755,MATCH($A43,Leads!$A$2:$A$755,0))</f>
        <v>1999</v>
      </c>
      <c r="G43" s="5" t="n">
        <f aca="false">INDEX(Leads!$C$2:$C$755,MATCH($A43,Leads!$A$2:$A$755,0))</f>
        <v>77</v>
      </c>
      <c r="H43" s="5" t="str">
        <f aca="false">INDEX(Leads!$B$2:$B$755,MATCH($A43,Leads!$A$2:$A$755,0))</f>
        <v>Immediate</v>
      </c>
      <c r="I43" s="5" t="str">
        <f aca="false">INDEX(Leads!$E$2:$E$755,MATCH($A43,Leads!$A$2:$A$755,0))</f>
        <v>ORA19990055</v>
      </c>
    </row>
    <row r="44" customFormat="false" ht="15" hidden="false" customHeight="false" outlineLevel="0" collapsed="false">
      <c r="A44" s="12" t="n">
        <v>5</v>
      </c>
      <c r="B44" s="5" t="str">
        <f aca="false">INDEX(Leads!$F$2:$F$755,MATCH($A44,Leads!$A$2:$A$755,0))</f>
        <v>FLOYD LIGHT APTS</v>
      </c>
      <c r="C44" s="5" t="str">
        <f aca="false">INDEX(Leads!$H$2:$H$755,MATCH($A44,Leads!$A$2:$A$755,0))</f>
        <v>PORTLAND</v>
      </c>
      <c r="D44" s="5" t="n">
        <f aca="false">INDEX(Leads!$J$2:$J$755,MATCH($A44,Leads!$A$2:$A$755,0))</f>
        <v>51</v>
      </c>
      <c r="E44" s="5" t="str">
        <f aca="false">INDEX(Leads!$D$2:$D$755,MATCH($A44,Leads!$A$2:$A$755,0))</f>
        <v>30-yr mark: notice window (est.)</v>
      </c>
      <c r="F44" s="13" t="n">
        <f aca="false">INDEX(Leads!$N$2:$N$755,MATCH($A44,Leads!$A$2:$A$755,0))</f>
        <v>1997</v>
      </c>
      <c r="G44" s="5" t="n">
        <f aca="false">INDEX(Leads!$C$2:$C$755,MATCH($A44,Leads!$A$2:$A$755,0))</f>
        <v>77</v>
      </c>
      <c r="H44" s="5" t="str">
        <f aca="false">INDEX(Leads!$B$2:$B$755,MATCH($A44,Leads!$A$2:$A$755,0))</f>
        <v>Immediate</v>
      </c>
      <c r="I44" s="5" t="str">
        <f aca="false">INDEX(Leads!$E$2:$E$755,MATCH($A44,Leads!$A$2:$A$755,0))</f>
        <v>ORA19970035</v>
      </c>
    </row>
    <row r="45" customFormat="false" ht="15" hidden="false" customHeight="false" outlineLevel="0" collapsed="false">
      <c r="A45" s="12" t="n">
        <v>6</v>
      </c>
      <c r="B45" s="5" t="str">
        <f aca="false">INDEX(Leads!$F$2:$F$755,MATCH($A45,Leads!$A$2:$A$755,0))</f>
        <v>COLUMBIA VIEW APTS</v>
      </c>
      <c r="C45" s="5" t="str">
        <f aca="false">INDEX(Leads!$H$2:$H$755,MATCH($A45,Leads!$A$2:$A$755,0))</f>
        <v>HOOD RIVER</v>
      </c>
      <c r="D45" s="5" t="n">
        <f aca="false">INDEX(Leads!$J$2:$J$755,MATCH($A45,Leads!$A$2:$A$755,0))</f>
        <v>48</v>
      </c>
      <c r="E45" s="5" t="str">
        <f aca="false">INDEX(Leads!$D$2:$D$755,MATCH($A45,Leads!$A$2:$A$755,0))</f>
        <v>30-yr mark: notice window (est.)</v>
      </c>
      <c r="F45" s="13" t="n">
        <f aca="false">INDEX(Leads!$N$2:$N$755,MATCH($A45,Leads!$A$2:$A$755,0))</f>
        <v>1999</v>
      </c>
      <c r="G45" s="5" t="n">
        <f aca="false">INDEX(Leads!$C$2:$C$755,MATCH($A45,Leads!$A$2:$A$755,0))</f>
        <v>77</v>
      </c>
      <c r="H45" s="5" t="str">
        <f aca="false">INDEX(Leads!$B$2:$B$755,MATCH($A45,Leads!$A$2:$A$755,0))</f>
        <v>Immediate</v>
      </c>
      <c r="I45" s="5" t="str">
        <f aca="false">INDEX(Leads!$E$2:$E$755,MATCH($A45,Leads!$A$2:$A$755,0))</f>
        <v>ORA19990040</v>
      </c>
    </row>
    <row r="46" customFormat="false" ht="15" hidden="false" customHeight="false" outlineLevel="0" collapsed="false">
      <c r="A46" s="12" t="n">
        <v>7</v>
      </c>
      <c r="B46" s="5" t="str">
        <f aca="false">INDEX(Leads!$F$2:$F$755,MATCH($A46,Leads!$A$2:$A$755,0))</f>
        <v>AMES CREEK COURT</v>
      </c>
      <c r="C46" s="5" t="str">
        <f aca="false">INDEX(Leads!$H$2:$H$755,MATCH($A46,Leads!$A$2:$A$755,0))</f>
        <v>SWEET HOME</v>
      </c>
      <c r="D46" s="5" t="n">
        <f aca="false">INDEX(Leads!$J$2:$J$755,MATCH($A46,Leads!$A$2:$A$755,0))</f>
        <v>31</v>
      </c>
      <c r="E46" s="5" t="str">
        <f aca="false">INDEX(Leads!$D$2:$D$755,MATCH($A46,Leads!$A$2:$A$755,0))</f>
        <v>30-yr mark: notice window (est.)</v>
      </c>
      <c r="F46" s="13" t="n">
        <f aca="false">INDEX(Leads!$N$2:$N$755,MATCH($A46,Leads!$A$2:$A$755,0))</f>
        <v>1999</v>
      </c>
      <c r="G46" s="5" t="n">
        <f aca="false">INDEX(Leads!$C$2:$C$755,MATCH($A46,Leads!$A$2:$A$755,0))</f>
        <v>77</v>
      </c>
      <c r="H46" s="5" t="str">
        <f aca="false">INDEX(Leads!$B$2:$B$755,MATCH($A46,Leads!$A$2:$A$755,0))</f>
        <v>Immediate</v>
      </c>
      <c r="I46" s="5" t="str">
        <f aca="false">INDEX(Leads!$E$2:$E$755,MATCH($A46,Leads!$A$2:$A$755,0))</f>
        <v>ORA19990005</v>
      </c>
    </row>
    <row r="47" customFormat="false" ht="15" hidden="false" customHeight="false" outlineLevel="0" collapsed="false">
      <c r="A47" s="12" t="n">
        <v>8</v>
      </c>
      <c r="B47" s="5" t="str">
        <f aca="false">INDEX(Leads!$F$2:$F$755,MATCH($A47,Leads!$A$2:$A$755,0))</f>
        <v>RONDEL COURT</v>
      </c>
      <c r="C47" s="5" t="str">
        <f aca="false">INDEX(Leads!$H$2:$H$755,MATCH($A47,Leads!$A$2:$A$755,0))</f>
        <v>MOLALLA</v>
      </c>
      <c r="D47" s="5" t="n">
        <f aca="false">INDEX(Leads!$J$2:$J$755,MATCH($A47,Leads!$A$2:$A$755,0))</f>
        <v>30</v>
      </c>
      <c r="E47" s="5" t="str">
        <f aca="false">INDEX(Leads!$D$2:$D$755,MATCH($A47,Leads!$A$2:$A$755,0))</f>
        <v>30-yr mark: notice window (est.)</v>
      </c>
      <c r="F47" s="13" t="n">
        <f aca="false">INDEX(Leads!$N$2:$N$755,MATCH($A47,Leads!$A$2:$A$755,0))</f>
        <v>1999</v>
      </c>
      <c r="G47" s="5" t="n">
        <f aca="false">INDEX(Leads!$C$2:$C$755,MATCH($A47,Leads!$A$2:$A$755,0))</f>
        <v>77</v>
      </c>
      <c r="H47" s="5" t="str">
        <f aca="false">INDEX(Leads!$B$2:$B$755,MATCH($A47,Leads!$A$2:$A$755,0))</f>
        <v>Immediate</v>
      </c>
      <c r="I47" s="5" t="str">
        <f aca="false">INDEX(Leads!$E$2:$E$755,MATCH($A47,Leads!$A$2:$A$755,0))</f>
        <v>ORA19990130</v>
      </c>
    </row>
    <row r="48" customFormat="false" ht="15" hidden="false" customHeight="false" outlineLevel="0" collapsed="false">
      <c r="A48" s="12" t="n">
        <v>9</v>
      </c>
      <c r="B48" s="5" t="str">
        <f aca="false">INDEX(Leads!$F$2:$F$755,MATCH($A48,Leads!$A$2:$A$755,0))</f>
        <v>TWELFTH AVENUE TERRACE</v>
      </c>
      <c r="C48" s="5" t="str">
        <f aca="false">INDEX(Leads!$H$2:$H$755,MATCH($A48,Leads!$A$2:$A$755,0))</f>
        <v>PORTLAND</v>
      </c>
      <c r="D48" s="5" t="n">
        <f aca="false">INDEX(Leads!$J$2:$J$755,MATCH($A48,Leads!$A$2:$A$755,0))</f>
        <v>119</v>
      </c>
      <c r="E48" s="5" t="str">
        <f aca="false">INDEX(Leads!$D$2:$D$755,MATCH($A48,Leads!$A$2:$A$755,0))</f>
        <v>Past 30-yr mark (verify)</v>
      </c>
      <c r="F48" s="13" t="n">
        <f aca="false">INDEX(Leads!$N$2:$N$755,MATCH($A48,Leads!$A$2:$A$755,0))</f>
        <v>1994</v>
      </c>
      <c r="G48" s="5" t="n">
        <f aca="false">INDEX(Leads!$C$2:$C$755,MATCH($A48,Leads!$A$2:$A$755,0))</f>
        <v>71</v>
      </c>
      <c r="H48" s="5" t="str">
        <f aca="false">INDEX(Leads!$B$2:$B$755,MATCH($A48,Leads!$A$2:$A$755,0))</f>
        <v>This week</v>
      </c>
      <c r="I48" s="5" t="str">
        <f aca="false">INDEX(Leads!$E$2:$E$755,MATCH($A48,Leads!$A$2:$A$755,0))</f>
        <v>ORA19949091</v>
      </c>
    </row>
    <row r="49" customFormat="false" ht="15" hidden="false" customHeight="false" outlineLevel="0" collapsed="false">
      <c r="A49" s="12" t="n">
        <v>10</v>
      </c>
      <c r="B49" s="5" t="str">
        <f aca="false">INDEX(Leads!$F$2:$F$755,MATCH($A49,Leads!$A$2:$A$755,0))</f>
        <v>ST JAMES</v>
      </c>
      <c r="C49" s="5" t="str">
        <f aca="false">INDEX(Leads!$H$2:$H$755,MATCH($A49,Leads!$A$2:$A$755,0))</f>
        <v>PORTLAND</v>
      </c>
      <c r="D49" s="5" t="n">
        <f aca="false">INDEX(Leads!$J$2:$J$755,MATCH($A49,Leads!$A$2:$A$755,0))</f>
        <v>109</v>
      </c>
      <c r="E49" s="5" t="str">
        <f aca="false">INDEX(Leads!$D$2:$D$755,MATCH($A49,Leads!$A$2:$A$755,0))</f>
        <v>Past 30-yr mark (verify)</v>
      </c>
      <c r="F49" s="13" t="n">
        <f aca="false">INDEX(Leads!$N$2:$N$755,MATCH($A49,Leads!$A$2:$A$755,0))</f>
        <v>1994</v>
      </c>
      <c r="G49" s="5" t="n">
        <f aca="false">INDEX(Leads!$C$2:$C$755,MATCH($A49,Leads!$A$2:$A$755,0))</f>
        <v>71</v>
      </c>
      <c r="H49" s="5" t="str">
        <f aca="false">INDEX(Leads!$B$2:$B$755,MATCH($A49,Leads!$A$2:$A$755,0))</f>
        <v>This week</v>
      </c>
      <c r="I49" s="5" t="str">
        <f aca="false">INDEX(Leads!$E$2:$E$755,MATCH($A49,Leads!$A$2:$A$755,0))</f>
        <v>ORA19940065</v>
      </c>
    </row>
    <row r="50" customFormat="false" ht="15" hidden="false" customHeight="false" outlineLevel="0" collapsed="false">
      <c r="A50" s="12" t="n">
        <v>11</v>
      </c>
      <c r="B50" s="5" t="str">
        <f aca="false">INDEX(Leads!$F$2:$F$755,MATCH($A50,Leads!$A$2:$A$755,0))</f>
        <v>STONEYBROOK</v>
      </c>
      <c r="C50" s="5" t="str">
        <f aca="false">INDEX(Leads!$H$2:$H$755,MATCH($A50,Leads!$A$2:$A$755,0))</f>
        <v>REDMOND</v>
      </c>
      <c r="D50" s="5" t="n">
        <f aca="false">INDEX(Leads!$J$2:$J$755,MATCH($A50,Leads!$A$2:$A$755,0))</f>
        <v>50</v>
      </c>
      <c r="E50" s="5" t="str">
        <f aca="false">INDEX(Leads!$D$2:$D$755,MATCH($A50,Leads!$A$2:$A$755,0))</f>
        <v>Past 30-yr mark (verify)</v>
      </c>
      <c r="F50" s="13" t="n">
        <f aca="false">INDEX(Leads!$N$2:$N$755,MATCH($A50,Leads!$A$2:$A$755,0))</f>
        <v>1993</v>
      </c>
      <c r="G50" s="5" t="n">
        <f aca="false">INDEX(Leads!$C$2:$C$755,MATCH($A50,Leads!$A$2:$A$755,0))</f>
        <v>71</v>
      </c>
      <c r="H50" s="5" t="str">
        <f aca="false">INDEX(Leads!$B$2:$B$755,MATCH($A50,Leads!$A$2:$A$755,0))</f>
        <v>This week</v>
      </c>
      <c r="I50" s="5" t="str">
        <f aca="false">INDEX(Leads!$E$2:$E$755,MATCH($A50,Leads!$A$2:$A$755,0))</f>
        <v>ORA19930062</v>
      </c>
    </row>
    <row r="51" customFormat="false" ht="15" hidden="false" customHeight="false" outlineLevel="0" collapsed="false">
      <c r="A51" s="12" t="n">
        <v>12</v>
      </c>
      <c r="B51" s="5" t="str">
        <f aca="false">INDEX(Leads!$F$2:$F$755,MATCH($A51,Leads!$A$2:$A$755,0))</f>
        <v>BERRY RIDGE APTS</v>
      </c>
      <c r="C51" s="5" t="str">
        <f aca="false">INDEX(Leads!$H$2:$H$755,MATCH($A51,Leads!$A$2:$A$755,0))</f>
        <v>GRESHAM</v>
      </c>
      <c r="D51" s="5" t="n">
        <f aca="false">INDEX(Leads!$J$2:$J$755,MATCH($A51,Leads!$A$2:$A$755,0))</f>
        <v>248</v>
      </c>
      <c r="E51" s="5" t="str">
        <f aca="false">INDEX(Leads!$D$2:$D$755,MATCH($A51,Leads!$A$2:$A$755,0))</f>
        <v>30-yr mark: notice window (est.)</v>
      </c>
      <c r="F51" s="13" t="n">
        <f aca="false">INDEX(Leads!$N$2:$N$755,MATCH($A51,Leads!$A$2:$A$755,0))</f>
        <v>1998</v>
      </c>
      <c r="G51" s="5" t="n">
        <f aca="false">INDEX(Leads!$C$2:$C$755,MATCH($A51,Leads!$A$2:$A$755,0))</f>
        <v>70</v>
      </c>
      <c r="H51" s="5" t="str">
        <f aca="false">INDEX(Leads!$B$2:$B$755,MATCH($A51,Leads!$A$2:$A$755,0))</f>
        <v>This week</v>
      </c>
      <c r="I51" s="5" t="str">
        <f aca="false">INDEX(Leads!$E$2:$E$755,MATCH($A51,Leads!$A$2:$A$755,0))</f>
        <v>ORA19980020</v>
      </c>
    </row>
    <row r="52" customFormat="false" ht="15" hidden="false" customHeight="false" outlineLevel="0" collapsed="false">
      <c r="A52" s="12" t="n">
        <v>13</v>
      </c>
      <c r="B52" s="5" t="str">
        <f aca="false">INDEX(Leads!$F$2:$F$755,MATCH($A52,Leads!$A$2:$A$755,0))</f>
        <v>BRIARCREEK APTS</v>
      </c>
      <c r="C52" s="5" t="str">
        <f aca="false">INDEX(Leads!$H$2:$H$755,MATCH($A52,Leads!$A$2:$A$755,0))</f>
        <v>HILLSBORO</v>
      </c>
      <c r="D52" s="5" t="n">
        <f aca="false">INDEX(Leads!$J$2:$J$755,MATCH($A52,Leads!$A$2:$A$755,0))</f>
        <v>216</v>
      </c>
      <c r="E52" s="5" t="str">
        <f aca="false">INDEX(Leads!$D$2:$D$755,MATCH($A52,Leads!$A$2:$A$755,0))</f>
        <v>30-yr mark: notice window (est.)</v>
      </c>
      <c r="F52" s="13" t="n">
        <f aca="false">INDEX(Leads!$N$2:$N$755,MATCH($A52,Leads!$A$2:$A$755,0))</f>
        <v>1999</v>
      </c>
      <c r="G52" s="5" t="n">
        <f aca="false">INDEX(Leads!$C$2:$C$755,MATCH($A52,Leads!$A$2:$A$755,0))</f>
        <v>70</v>
      </c>
      <c r="H52" s="5" t="str">
        <f aca="false">INDEX(Leads!$B$2:$B$755,MATCH($A52,Leads!$A$2:$A$755,0))</f>
        <v>This week</v>
      </c>
      <c r="I52" s="5" t="str">
        <f aca="false">INDEX(Leads!$E$2:$E$755,MATCH($A52,Leads!$A$2:$A$755,0))</f>
        <v>ORA19999166</v>
      </c>
    </row>
    <row r="53" customFormat="false" ht="15" hidden="false" customHeight="false" outlineLevel="0" collapsed="false">
      <c r="A53" s="12" t="n">
        <v>14</v>
      </c>
      <c r="B53" s="5" t="str">
        <f aca="false">INDEX(Leads!$F$2:$F$755,MATCH($A53,Leads!$A$2:$A$755,0))</f>
        <v>BETHANY MEADOWS I</v>
      </c>
      <c r="C53" s="5" t="str">
        <f aca="false">INDEX(Leads!$H$2:$H$755,MATCH($A53,Leads!$A$2:$A$755,0))</f>
        <v>PORTLAND</v>
      </c>
      <c r="D53" s="5" t="n">
        <f aca="false">INDEX(Leads!$J$2:$J$755,MATCH($A53,Leads!$A$2:$A$755,0))</f>
        <v>208</v>
      </c>
      <c r="E53" s="5" t="str">
        <f aca="false">INDEX(Leads!$D$2:$D$755,MATCH($A53,Leads!$A$2:$A$755,0))</f>
        <v>30-yr mark: notice window (est.)</v>
      </c>
      <c r="F53" s="13" t="n">
        <f aca="false">INDEX(Leads!$N$2:$N$755,MATCH($A53,Leads!$A$2:$A$755,0))</f>
        <v>1997</v>
      </c>
      <c r="G53" s="5" t="n">
        <f aca="false">INDEX(Leads!$C$2:$C$755,MATCH($A53,Leads!$A$2:$A$755,0))</f>
        <v>70</v>
      </c>
      <c r="H53" s="5" t="str">
        <f aca="false">INDEX(Leads!$B$2:$B$755,MATCH($A53,Leads!$A$2:$A$755,0))</f>
        <v>This week</v>
      </c>
      <c r="I53" s="5" t="str">
        <f aca="false">INDEX(Leads!$E$2:$E$755,MATCH($A53,Leads!$A$2:$A$755,0))</f>
        <v>ORA19970020</v>
      </c>
    </row>
    <row r="54" customFormat="false" ht="15" hidden="false" customHeight="false" outlineLevel="0" collapsed="false">
      <c r="A54" s="12" t="n">
        <v>15</v>
      </c>
      <c r="B54" s="5" t="str">
        <f aca="false">INDEX(Leads!$F$2:$F$755,MATCH($A54,Leads!$A$2:$A$755,0))</f>
        <v>PEARL COURT APTS</v>
      </c>
      <c r="C54" s="5" t="str">
        <f aca="false">INDEX(Leads!$H$2:$H$755,MATCH($A54,Leads!$A$2:$A$755,0))</f>
        <v>PORTLAND</v>
      </c>
      <c r="D54" s="5" t="n">
        <f aca="false">INDEX(Leads!$J$2:$J$755,MATCH($A54,Leads!$A$2:$A$755,0))</f>
        <v>199</v>
      </c>
      <c r="E54" s="5" t="str">
        <f aca="false">INDEX(Leads!$D$2:$D$755,MATCH($A54,Leads!$A$2:$A$755,0))</f>
        <v>30-yr mark: notice window (est.)</v>
      </c>
      <c r="F54" s="13" t="n">
        <f aca="false">INDEX(Leads!$N$2:$N$755,MATCH($A54,Leads!$A$2:$A$755,0))</f>
        <v>1997</v>
      </c>
      <c r="G54" s="5" t="n">
        <f aca="false">INDEX(Leads!$C$2:$C$755,MATCH($A54,Leads!$A$2:$A$755,0))</f>
        <v>70</v>
      </c>
      <c r="H54" s="5" t="str">
        <f aca="false">INDEX(Leads!$B$2:$B$755,MATCH($A54,Leads!$A$2:$A$755,0))</f>
        <v>This week</v>
      </c>
      <c r="I54" s="5" t="str">
        <f aca="false">INDEX(Leads!$E$2:$E$755,MATCH($A54,Leads!$A$2:$A$755,0))</f>
        <v>ORA19970075</v>
      </c>
    </row>
    <row r="55" customFormat="false" ht="15" hidden="false" customHeight="false" outlineLevel="0" collapsed="false">
      <c r="A55" s="12" t="n">
        <v>16</v>
      </c>
      <c r="B55" s="5" t="str">
        <f aca="false">INDEX(Leads!$F$2:$F$755,MATCH($A55,Leads!$A$2:$A$755,0))</f>
        <v>PIER PARK APTS</v>
      </c>
      <c r="C55" s="5" t="str">
        <f aca="false">INDEX(Leads!$H$2:$H$755,MATCH($A55,Leads!$A$2:$A$755,0))</f>
        <v>PORTLAND</v>
      </c>
      <c r="D55" s="5" t="n">
        <f aca="false">INDEX(Leads!$J$2:$J$755,MATCH($A55,Leads!$A$2:$A$755,0))</f>
        <v>164</v>
      </c>
      <c r="E55" s="5" t="str">
        <f aca="false">INDEX(Leads!$D$2:$D$755,MATCH($A55,Leads!$A$2:$A$755,0))</f>
        <v>30-yr mark: notice window (est.)</v>
      </c>
      <c r="F55" s="13" t="n">
        <f aca="false">INDEX(Leads!$N$2:$N$755,MATCH($A55,Leads!$A$2:$A$755,0))</f>
        <v>1997</v>
      </c>
      <c r="G55" s="5" t="n">
        <f aca="false">INDEX(Leads!$C$2:$C$755,MATCH($A55,Leads!$A$2:$A$755,0))</f>
        <v>70</v>
      </c>
      <c r="H55" s="5" t="str">
        <f aca="false">INDEX(Leads!$B$2:$B$755,MATCH($A55,Leads!$A$2:$A$755,0))</f>
        <v>This week</v>
      </c>
      <c r="I55" s="5" t="str">
        <f aca="false">INDEX(Leads!$E$2:$E$755,MATCH($A55,Leads!$A$2:$A$755,0))</f>
        <v>ORA19970080</v>
      </c>
    </row>
    <row r="56" customFormat="false" ht="15" hidden="false" customHeight="false" outlineLevel="0" collapsed="false">
      <c r="A56" s="12" t="n">
        <v>17</v>
      </c>
      <c r="B56" s="5" t="str">
        <f aca="false">INDEX(Leads!$F$2:$F$755,MATCH($A56,Leads!$A$2:$A$755,0))</f>
        <v>YARDS AT UNION STATION A</v>
      </c>
      <c r="C56" s="5" t="str">
        <f aca="false">INDEX(Leads!$H$2:$H$755,MATCH($A56,Leads!$A$2:$A$755,0))</f>
        <v>PORTLAND</v>
      </c>
      <c r="D56" s="5" t="n">
        <f aca="false">INDEX(Leads!$J$2:$J$755,MATCH($A56,Leads!$A$2:$A$755,0))</f>
        <v>158</v>
      </c>
      <c r="E56" s="5" t="str">
        <f aca="false">INDEX(Leads!$D$2:$D$755,MATCH($A56,Leads!$A$2:$A$755,0))</f>
        <v>30-yr mark: notice window (est.)</v>
      </c>
      <c r="F56" s="13" t="n">
        <f aca="false">INDEX(Leads!$N$2:$N$755,MATCH($A56,Leads!$A$2:$A$755,0))</f>
        <v>1998</v>
      </c>
      <c r="G56" s="5" t="n">
        <f aca="false">INDEX(Leads!$C$2:$C$755,MATCH($A56,Leads!$A$2:$A$755,0))</f>
        <v>70</v>
      </c>
      <c r="H56" s="5" t="str">
        <f aca="false">INDEX(Leads!$B$2:$B$755,MATCH($A56,Leads!$A$2:$A$755,0))</f>
        <v>This week</v>
      </c>
      <c r="I56" s="5" t="str">
        <f aca="false">INDEX(Leads!$E$2:$E$755,MATCH($A56,Leads!$A$2:$A$755,0))</f>
        <v>ORA19989127</v>
      </c>
    </row>
    <row r="57" customFormat="false" ht="15" hidden="false" customHeight="false" outlineLevel="0" collapsed="false">
      <c r="A57" s="12" t="n">
        <v>18</v>
      </c>
      <c r="B57" s="5" t="str">
        <f aca="false">INDEX(Leads!$F$2:$F$755,MATCH($A57,Leads!$A$2:$A$755,0))</f>
        <v>HAMILTON WEST APTS</v>
      </c>
      <c r="C57" s="5" t="str">
        <f aca="false">INDEX(Leads!$H$2:$H$755,MATCH($A57,Leads!$A$2:$A$755,0))</f>
        <v>PORTLAND</v>
      </c>
      <c r="D57" s="5" t="n">
        <f aca="false">INDEX(Leads!$J$2:$J$755,MATCH($A57,Leads!$A$2:$A$755,0))</f>
        <v>152</v>
      </c>
      <c r="E57" s="5" t="str">
        <f aca="false">INDEX(Leads!$D$2:$D$755,MATCH($A57,Leads!$A$2:$A$755,0))</f>
        <v>30-yr mark: notice window (est.)</v>
      </c>
      <c r="F57" s="13" t="n">
        <f aca="false">INDEX(Leads!$N$2:$N$755,MATCH($A57,Leads!$A$2:$A$755,0))</f>
        <v>1999</v>
      </c>
      <c r="G57" s="5" t="n">
        <f aca="false">INDEX(Leads!$C$2:$C$755,MATCH($A57,Leads!$A$2:$A$755,0))</f>
        <v>70</v>
      </c>
      <c r="H57" s="5" t="str">
        <f aca="false">INDEX(Leads!$B$2:$B$755,MATCH($A57,Leads!$A$2:$A$755,0))</f>
        <v>This week</v>
      </c>
      <c r="I57" s="5" t="str">
        <f aca="false">INDEX(Leads!$E$2:$E$755,MATCH($A57,Leads!$A$2:$A$755,0))</f>
        <v>ORA19990065</v>
      </c>
    </row>
    <row r="58" customFormat="false" ht="15" hidden="false" customHeight="false" outlineLevel="0" collapsed="false">
      <c r="A58" s="12" t="n">
        <v>19</v>
      </c>
      <c r="B58" s="5" t="str">
        <f aca="false">INDEX(Leads!$F$2:$F$755,MATCH($A58,Leads!$A$2:$A$755,0))</f>
        <v>BUCKMAN HEIGHTS</v>
      </c>
      <c r="C58" s="5" t="str">
        <f aca="false">INDEX(Leads!$H$2:$H$755,MATCH($A58,Leads!$A$2:$A$755,0))</f>
        <v>PORTLAND</v>
      </c>
      <c r="D58" s="5" t="n">
        <f aca="false">INDEX(Leads!$J$2:$J$755,MATCH($A58,Leads!$A$2:$A$755,0))</f>
        <v>144</v>
      </c>
      <c r="E58" s="5" t="str">
        <f aca="false">INDEX(Leads!$D$2:$D$755,MATCH($A58,Leads!$A$2:$A$755,0))</f>
        <v>30-yr mark: notice window (est.)</v>
      </c>
      <c r="F58" s="13" t="n">
        <f aca="false">INDEX(Leads!$N$2:$N$755,MATCH($A58,Leads!$A$2:$A$755,0))</f>
        <v>1998</v>
      </c>
      <c r="G58" s="5" t="n">
        <f aca="false">INDEX(Leads!$C$2:$C$755,MATCH($A58,Leads!$A$2:$A$755,0))</f>
        <v>70</v>
      </c>
      <c r="H58" s="5" t="str">
        <f aca="false">INDEX(Leads!$B$2:$B$755,MATCH($A58,Leads!$A$2:$A$755,0))</f>
        <v>This week</v>
      </c>
      <c r="I58" s="5" t="str">
        <f aca="false">INDEX(Leads!$E$2:$E$755,MATCH($A58,Leads!$A$2:$A$755,0))</f>
        <v>ORA19980040</v>
      </c>
    </row>
    <row r="59" customFormat="false" ht="15" hidden="false" customHeight="false" outlineLevel="0" collapsed="false">
      <c r="A59" s="12" t="n">
        <v>20</v>
      </c>
      <c r="B59" s="5" t="str">
        <f aca="false">INDEX(Leads!$F$2:$F$755,MATCH($A59,Leads!$A$2:$A$755,0))</f>
        <v>YARDS AT UNION STATION B</v>
      </c>
      <c r="C59" s="5" t="str">
        <f aca="false">INDEX(Leads!$H$2:$H$755,MATCH($A59,Leads!$A$2:$A$755,0))</f>
        <v>PORTLAND</v>
      </c>
      <c r="D59" s="5" t="n">
        <f aca="false">INDEX(Leads!$J$2:$J$755,MATCH($A59,Leads!$A$2:$A$755,0))</f>
        <v>139</v>
      </c>
      <c r="E59" s="5" t="str">
        <f aca="false">INDEX(Leads!$D$2:$D$755,MATCH($A59,Leads!$A$2:$A$755,0))</f>
        <v>30-yr mark: notice window (est.)</v>
      </c>
      <c r="F59" s="13" t="n">
        <f aca="false">INDEX(Leads!$N$2:$N$755,MATCH($A59,Leads!$A$2:$A$755,0))</f>
        <v>1999</v>
      </c>
      <c r="G59" s="5" t="n">
        <f aca="false">INDEX(Leads!$C$2:$C$755,MATCH($A59,Leads!$A$2:$A$755,0))</f>
        <v>70</v>
      </c>
      <c r="H59" s="5" t="str">
        <f aca="false">INDEX(Leads!$B$2:$B$755,MATCH($A59,Leads!$A$2:$A$755,0))</f>
        <v>This week</v>
      </c>
      <c r="I59" s="5" t="str">
        <f aca="false">INDEX(Leads!$E$2:$E$755,MATCH($A59,Leads!$A$2:$A$755,0))</f>
        <v>ORA19999167</v>
      </c>
    </row>
    <row r="60" customFormat="false" ht="15" hidden="false" customHeight="false" outlineLevel="0" collapsed="false">
      <c r="A60" s="12" t="n">
        <v>21</v>
      </c>
      <c r="B60" s="5" t="str">
        <f aca="false">INDEX(Leads!$F$2:$F$755,MATCH($A60,Leads!$A$2:$A$755,0))</f>
        <v>BETHANY MEADOWS II</v>
      </c>
      <c r="C60" s="5" t="str">
        <f aca="false">INDEX(Leads!$H$2:$H$755,MATCH($A60,Leads!$A$2:$A$755,0))</f>
        <v>PORTLAND</v>
      </c>
      <c r="D60" s="5" t="n">
        <f aca="false">INDEX(Leads!$J$2:$J$755,MATCH($A60,Leads!$A$2:$A$755,0))</f>
        <v>132</v>
      </c>
      <c r="E60" s="5" t="str">
        <f aca="false">INDEX(Leads!$D$2:$D$755,MATCH($A60,Leads!$A$2:$A$755,0))</f>
        <v>30-yr mark: notice window (est.)</v>
      </c>
      <c r="F60" s="13" t="n">
        <f aca="false">INDEX(Leads!$N$2:$N$755,MATCH($A60,Leads!$A$2:$A$755,0))</f>
        <v>1998</v>
      </c>
      <c r="G60" s="5" t="n">
        <f aca="false">INDEX(Leads!$C$2:$C$755,MATCH($A60,Leads!$A$2:$A$755,0))</f>
        <v>70</v>
      </c>
      <c r="H60" s="5" t="str">
        <f aca="false">INDEX(Leads!$B$2:$B$755,MATCH($A60,Leads!$A$2:$A$755,0))</f>
        <v>This week</v>
      </c>
      <c r="I60" s="5" t="str">
        <f aca="false">INDEX(Leads!$E$2:$E$755,MATCH($A60,Leads!$A$2:$A$755,0))</f>
        <v>ORA19980025</v>
      </c>
    </row>
    <row r="61" customFormat="false" ht="15" hidden="false" customHeight="false" outlineLevel="0" collapsed="false">
      <c r="A61" s="12" t="n">
        <v>22</v>
      </c>
      <c r="B61" s="5" t="str">
        <f aca="false">INDEX(Leads!$F$2:$F$755,MATCH($A61,Leads!$A$2:$A$755,0))</f>
        <v>CEDARWEST APTS</v>
      </c>
      <c r="C61" s="5" t="str">
        <f aca="false">INDEX(Leads!$H$2:$H$755,MATCH($A61,Leads!$A$2:$A$755,0))</f>
        <v>BEND</v>
      </c>
      <c r="D61" s="5" t="n">
        <f aca="false">INDEX(Leads!$J$2:$J$755,MATCH($A61,Leads!$A$2:$A$755,0))</f>
        <v>121</v>
      </c>
      <c r="E61" s="5" t="str">
        <f aca="false">INDEX(Leads!$D$2:$D$755,MATCH($A61,Leads!$A$2:$A$755,0))</f>
        <v>30-yr mark: notice window (est.)</v>
      </c>
      <c r="F61" s="13" t="n">
        <f aca="false">INDEX(Leads!$N$2:$N$755,MATCH($A61,Leads!$A$2:$A$755,0))</f>
        <v>1998</v>
      </c>
      <c r="G61" s="5" t="n">
        <f aca="false">INDEX(Leads!$C$2:$C$755,MATCH($A61,Leads!$A$2:$A$755,0))</f>
        <v>70</v>
      </c>
      <c r="H61" s="5" t="str">
        <f aca="false">INDEX(Leads!$B$2:$B$755,MATCH($A61,Leads!$A$2:$A$755,0))</f>
        <v>This week</v>
      </c>
      <c r="I61" s="5" t="str">
        <f aca="false">INDEX(Leads!$E$2:$E$755,MATCH($A61,Leads!$A$2:$A$755,0))</f>
        <v>ORA19980050</v>
      </c>
    </row>
    <row r="62" customFormat="false" ht="15" hidden="false" customHeight="false" outlineLevel="0" collapsed="false">
      <c r="A62" s="12" t="n">
        <v>23</v>
      </c>
      <c r="B62" s="5" t="str">
        <f aca="false">INDEX(Leads!$F$2:$F$755,MATCH($A62,Leads!$A$2:$A$755,0))</f>
        <v>WILLOW CREEK COMMONS</v>
      </c>
      <c r="C62" s="5" t="str">
        <f aca="false">INDEX(Leads!$H$2:$H$755,MATCH($A62,Leads!$A$2:$A$755,0))</f>
        <v>ALOHA</v>
      </c>
      <c r="D62" s="5" t="n">
        <f aca="false">INDEX(Leads!$J$2:$J$755,MATCH($A62,Leads!$A$2:$A$755,0))</f>
        <v>120</v>
      </c>
      <c r="E62" s="5" t="str">
        <f aca="false">INDEX(Leads!$D$2:$D$755,MATCH($A62,Leads!$A$2:$A$755,0))</f>
        <v>30-yr mark: notice window (est.)</v>
      </c>
      <c r="F62" s="13" t="n">
        <f aca="false">INDEX(Leads!$N$2:$N$755,MATCH($A62,Leads!$A$2:$A$755,0))</f>
        <v>1997</v>
      </c>
      <c r="G62" s="5" t="n">
        <f aca="false">INDEX(Leads!$C$2:$C$755,MATCH($A62,Leads!$A$2:$A$755,0))</f>
        <v>70</v>
      </c>
      <c r="H62" s="5" t="str">
        <f aca="false">INDEX(Leads!$B$2:$B$755,MATCH($A62,Leads!$A$2:$A$755,0))</f>
        <v>This week</v>
      </c>
      <c r="I62" s="5" t="str">
        <f aca="false">INDEX(Leads!$E$2:$E$755,MATCH($A62,Leads!$A$2:$A$755,0))</f>
        <v>ORA19970135</v>
      </c>
    </row>
    <row r="63" customFormat="false" ht="15" hidden="false" customHeight="false" outlineLevel="0" collapsed="false">
      <c r="A63" s="12" t="n">
        <v>24</v>
      </c>
      <c r="B63" s="5" t="str">
        <f aca="false">INDEX(Leads!$F$2:$F$755,MATCH($A63,Leads!$A$2:$A$755,0))</f>
        <v>STADIUM STATION</v>
      </c>
      <c r="C63" s="5" t="str">
        <f aca="false">INDEX(Leads!$H$2:$H$755,MATCH($A63,Leads!$A$2:$A$755,0))</f>
        <v>PORTLAND</v>
      </c>
      <c r="D63" s="5" t="n">
        <f aca="false">INDEX(Leads!$J$2:$J$755,MATCH($A63,Leads!$A$2:$A$755,0))</f>
        <v>114</v>
      </c>
      <c r="E63" s="5" t="str">
        <f aca="false">INDEX(Leads!$D$2:$D$755,MATCH($A63,Leads!$A$2:$A$755,0))</f>
        <v>30-yr mark: notice window (est.)</v>
      </c>
      <c r="F63" s="13" t="n">
        <f aca="false">INDEX(Leads!$N$2:$N$755,MATCH($A63,Leads!$A$2:$A$755,0))</f>
        <v>1998</v>
      </c>
      <c r="G63" s="5" t="n">
        <f aca="false">INDEX(Leads!$C$2:$C$755,MATCH($A63,Leads!$A$2:$A$755,0))</f>
        <v>70</v>
      </c>
      <c r="H63" s="5" t="str">
        <f aca="false">INDEX(Leads!$B$2:$B$755,MATCH($A63,Leads!$A$2:$A$755,0))</f>
        <v>This week</v>
      </c>
      <c r="I63" s="5" t="str">
        <f aca="false">INDEX(Leads!$E$2:$E$755,MATCH($A63,Leads!$A$2:$A$755,0))</f>
        <v>ORA19980105</v>
      </c>
    </row>
    <row r="64" customFormat="false" ht="15" hidden="false" customHeight="false" outlineLevel="0" collapsed="false">
      <c r="A64" s="12" t="n">
        <v>25</v>
      </c>
      <c r="B64" s="5" t="str">
        <f aca="false">INDEX(Leads!$F$2:$F$755,MATCH($A64,Leads!$A$2:$A$755,0))</f>
        <v>THE WESTSHORE</v>
      </c>
      <c r="C64" s="5" t="str">
        <f aca="false">INDEX(Leads!$H$2:$H$755,MATCH($A64,Leads!$A$2:$A$755,0))</f>
        <v>PORTLAND</v>
      </c>
      <c r="D64" s="5" t="n">
        <f aca="false">INDEX(Leads!$J$2:$J$755,MATCH($A64,Leads!$A$2:$A$755,0))</f>
        <v>113</v>
      </c>
      <c r="E64" s="5" t="str">
        <f aca="false">INDEX(Leads!$D$2:$D$755,MATCH($A64,Leads!$A$2:$A$755,0))</f>
        <v>30-yr mark: notice window (est.)</v>
      </c>
      <c r="F64" s="13" t="n">
        <f aca="false">INDEX(Leads!$N$2:$N$755,MATCH($A64,Leads!$A$2:$A$755,0))</f>
        <v>1997</v>
      </c>
      <c r="G64" s="5" t="n">
        <f aca="false">INDEX(Leads!$C$2:$C$755,MATCH($A64,Leads!$A$2:$A$755,0))</f>
        <v>70</v>
      </c>
      <c r="H64" s="5" t="str">
        <f aca="false">INDEX(Leads!$B$2:$B$755,MATCH($A64,Leads!$A$2:$A$755,0))</f>
        <v>This week</v>
      </c>
      <c r="I64" s="5" t="str">
        <f aca="false">INDEX(Leads!$E$2:$E$755,MATCH($A64,Leads!$A$2:$A$755,0))</f>
        <v>ORA19970085</v>
      </c>
    </row>
    <row r="65" customFormat="false" ht="15" hidden="false" customHeight="false" outlineLevel="0" collapsed="false">
      <c r="A65" s="12" t="n">
        <v>26</v>
      </c>
      <c r="B65" s="5" t="str">
        <f aca="false">INDEX(Leads!$F$2:$F$755,MATCH($A65,Leads!$A$2:$A$755,0))</f>
        <v>TERRACE VIEW APTS</v>
      </c>
      <c r="C65" s="5" t="str">
        <f aca="false">INDEX(Leads!$H$2:$H$755,MATCH($A65,Leads!$A$2:$A$755,0))</f>
        <v>TUALATIN</v>
      </c>
      <c r="D65" s="5" t="n">
        <f aca="false">INDEX(Leads!$J$2:$J$755,MATCH($A65,Leads!$A$2:$A$755,0))</f>
        <v>100</v>
      </c>
      <c r="E65" s="5" t="str">
        <f aca="false">INDEX(Leads!$D$2:$D$755,MATCH($A65,Leads!$A$2:$A$755,0))</f>
        <v>30-yr mark: notice window (est.)</v>
      </c>
      <c r="F65" s="13" t="n">
        <f aca="false">INDEX(Leads!$N$2:$N$755,MATCH($A65,Leads!$A$2:$A$755,0))</f>
        <v>1997</v>
      </c>
      <c r="G65" s="5" t="n">
        <f aca="false">INDEX(Leads!$C$2:$C$755,MATCH($A65,Leads!$A$2:$A$755,0))</f>
        <v>70</v>
      </c>
      <c r="H65" s="5" t="str">
        <f aca="false">INDEX(Leads!$B$2:$B$755,MATCH($A65,Leads!$A$2:$A$755,0))</f>
        <v>This week</v>
      </c>
      <c r="I65" s="5" t="str">
        <f aca="false">INDEX(Leads!$E$2:$E$755,MATCH($A65,Leads!$A$2:$A$755,0))</f>
        <v>ORA19970120</v>
      </c>
    </row>
    <row r="66" customFormat="false" ht="15" hidden="false" customHeight="false" outlineLevel="0" collapsed="false">
      <c r="A66" s="12" t="n">
        <v>27</v>
      </c>
      <c r="B66" s="5" t="str">
        <f aca="false">INDEX(Leads!$F$2:$F$755,MATCH($A66,Leads!$A$2:$A$755,0))</f>
        <v>PARK AT EMERALD VILLAGE</v>
      </c>
      <c r="C66" s="5" t="str">
        <f aca="false">INDEX(Leads!$H$2:$H$755,MATCH($A66,Leads!$A$2:$A$755,0))</f>
        <v>SPRINGFIELD</v>
      </c>
      <c r="D66" s="5" t="n">
        <f aca="false">INDEX(Leads!$J$2:$J$755,MATCH($A66,Leads!$A$2:$A$755,0))</f>
        <v>96</v>
      </c>
      <c r="E66" s="5" t="str">
        <f aca="false">INDEX(Leads!$D$2:$D$755,MATCH($A66,Leads!$A$2:$A$755,0))</f>
        <v>30-yr mark: notice window (est.)</v>
      </c>
      <c r="F66" s="13" t="n">
        <f aca="false">INDEX(Leads!$N$2:$N$755,MATCH($A66,Leads!$A$2:$A$755,0))</f>
        <v>1998</v>
      </c>
      <c r="G66" s="5" t="n">
        <f aca="false">INDEX(Leads!$C$2:$C$755,MATCH($A66,Leads!$A$2:$A$755,0))</f>
        <v>70</v>
      </c>
      <c r="H66" s="5" t="str">
        <f aca="false">INDEX(Leads!$B$2:$B$755,MATCH($A66,Leads!$A$2:$A$755,0))</f>
        <v>This week</v>
      </c>
      <c r="I66" s="5" t="str">
        <f aca="false">INDEX(Leads!$E$2:$E$755,MATCH($A66,Leads!$A$2:$A$755,0))</f>
        <v>ORA19980090</v>
      </c>
    </row>
    <row r="67" customFormat="false" ht="15" hidden="false" customHeight="false" outlineLevel="0" collapsed="false">
      <c r="A67" s="12" t="n">
        <v>28</v>
      </c>
      <c r="B67" s="5" t="str">
        <f aca="false">INDEX(Leads!$F$2:$F$755,MATCH($A67,Leads!$A$2:$A$755,0))</f>
        <v>GREENBRIAR APTS</v>
      </c>
      <c r="C67" s="5" t="str">
        <f aca="false">INDEX(Leads!$H$2:$H$755,MATCH($A67,Leads!$A$2:$A$755,0))</f>
        <v>CANBY</v>
      </c>
      <c r="D67" s="5" t="n">
        <f aca="false">INDEX(Leads!$J$2:$J$755,MATCH($A67,Leads!$A$2:$A$755,0))</f>
        <v>86</v>
      </c>
      <c r="E67" s="5" t="str">
        <f aca="false">INDEX(Leads!$D$2:$D$755,MATCH($A67,Leads!$A$2:$A$755,0))</f>
        <v>30-yr mark: notice window (est.)</v>
      </c>
      <c r="F67" s="13" t="n">
        <f aca="false">INDEX(Leads!$N$2:$N$755,MATCH($A67,Leads!$A$2:$A$755,0))</f>
        <v>1998</v>
      </c>
      <c r="G67" s="5" t="n">
        <f aca="false">INDEX(Leads!$C$2:$C$755,MATCH($A67,Leads!$A$2:$A$755,0))</f>
        <v>70</v>
      </c>
      <c r="H67" s="5" t="str">
        <f aca="false">INDEX(Leads!$B$2:$B$755,MATCH($A67,Leads!$A$2:$A$755,0))</f>
        <v>This week</v>
      </c>
      <c r="I67" s="5" t="str">
        <f aca="false">INDEX(Leads!$E$2:$E$755,MATCH($A67,Leads!$A$2:$A$755,0))</f>
        <v>ORA19980070</v>
      </c>
    </row>
    <row r="68" customFormat="false" ht="15" hidden="false" customHeight="false" outlineLevel="0" collapsed="false">
      <c r="A68" s="12" t="n">
        <v>29</v>
      </c>
      <c r="B68" s="5" t="str">
        <f aca="false">INDEX(Leads!$F$2:$F$755,MATCH($A68,Leads!$A$2:$A$755,0))</f>
        <v>BELMONT DAIRY</v>
      </c>
      <c r="C68" s="5" t="str">
        <f aca="false">INDEX(Leads!$H$2:$H$755,MATCH($A68,Leads!$A$2:$A$755,0))</f>
        <v>PORTLAND</v>
      </c>
      <c r="D68" s="5" t="n">
        <f aca="false">INDEX(Leads!$J$2:$J$755,MATCH($A68,Leads!$A$2:$A$755,0))</f>
        <v>81</v>
      </c>
      <c r="E68" s="5" t="str">
        <f aca="false">INDEX(Leads!$D$2:$D$755,MATCH($A68,Leads!$A$2:$A$755,0))</f>
        <v>30-yr mark: notice window (est.)</v>
      </c>
      <c r="F68" s="13" t="n">
        <f aca="false">INDEX(Leads!$N$2:$N$755,MATCH($A68,Leads!$A$2:$A$755,0))</f>
        <v>1997</v>
      </c>
      <c r="G68" s="5" t="n">
        <f aca="false">INDEX(Leads!$C$2:$C$755,MATCH($A68,Leads!$A$2:$A$755,0))</f>
        <v>70</v>
      </c>
      <c r="H68" s="5" t="str">
        <f aca="false">INDEX(Leads!$B$2:$B$755,MATCH($A68,Leads!$A$2:$A$755,0))</f>
        <v>This week</v>
      </c>
      <c r="I68" s="5" t="str">
        <f aca="false">INDEX(Leads!$E$2:$E$755,MATCH($A68,Leads!$A$2:$A$755,0))</f>
        <v>ORA19970015</v>
      </c>
    </row>
    <row r="69" customFormat="false" ht="15" hidden="false" customHeight="false" outlineLevel="0" collapsed="false">
      <c r="A69" s="12" t="n">
        <v>30</v>
      </c>
      <c r="B69" s="5" t="str">
        <f aca="false">INDEX(Leads!$F$2:$F$755,MATCH($A69,Leads!$A$2:$A$755,0))</f>
        <v>FOREST PARK APTS</v>
      </c>
      <c r="C69" s="5" t="str">
        <f aca="false">INDEX(Leads!$H$2:$H$755,MATCH($A69,Leads!$A$2:$A$755,0))</f>
        <v>ST HELENS</v>
      </c>
      <c r="D69" s="5" t="n">
        <f aca="false">INDEX(Leads!$J$2:$J$755,MATCH($A69,Leads!$A$2:$A$755,0))</f>
        <v>80</v>
      </c>
      <c r="E69" s="5" t="str">
        <f aca="false">INDEX(Leads!$D$2:$D$755,MATCH($A69,Leads!$A$2:$A$755,0))</f>
        <v>30-yr mark: notice window (est.)</v>
      </c>
      <c r="F69" s="13" t="n">
        <f aca="false">INDEX(Leads!$N$2:$N$755,MATCH($A69,Leads!$A$2:$A$755,0))</f>
        <v>1999</v>
      </c>
      <c r="G69" s="5" t="n">
        <f aca="false">INDEX(Leads!$C$2:$C$755,MATCH($A69,Leads!$A$2:$A$755,0))</f>
        <v>70</v>
      </c>
      <c r="H69" s="5" t="str">
        <f aca="false">INDEX(Leads!$B$2:$B$755,MATCH($A69,Leads!$A$2:$A$755,0))</f>
        <v>This week</v>
      </c>
      <c r="I69" s="5" t="str">
        <f aca="false">INDEX(Leads!$E$2:$E$755,MATCH($A69,Leads!$A$2:$A$755,0))</f>
        <v>ORA19990060</v>
      </c>
    </row>
    <row r="70" customFormat="false" ht="15" hidden="false" customHeight="false" outlineLevel="0" collapsed="false">
      <c r="A70" s="12" t="n">
        <v>31</v>
      </c>
      <c r="B70" s="5" t="str">
        <f aca="false">INDEX(Leads!$F$2:$F$755,MATCH($A70,Leads!$A$2:$A$755,0))</f>
        <v>BRENTWOOD OAKS APTS</v>
      </c>
      <c r="C70" s="5" t="str">
        <f aca="false">INDEX(Leads!$H$2:$H$755,MATCH($A70,Leads!$A$2:$A$755,0))</f>
        <v>ALOHA</v>
      </c>
      <c r="D70" s="5" t="n">
        <f aca="false">INDEX(Leads!$J$2:$J$755,MATCH($A70,Leads!$A$2:$A$755,0))</f>
        <v>78</v>
      </c>
      <c r="E70" s="5" t="str">
        <f aca="false">INDEX(Leads!$D$2:$D$755,MATCH($A70,Leads!$A$2:$A$755,0))</f>
        <v>30-yr mark: notice window (est.)</v>
      </c>
      <c r="F70" s="13" t="n">
        <f aca="false">INDEX(Leads!$N$2:$N$755,MATCH($A70,Leads!$A$2:$A$755,0))</f>
        <v>1999</v>
      </c>
      <c r="G70" s="5" t="n">
        <f aca="false">INDEX(Leads!$C$2:$C$755,MATCH($A70,Leads!$A$2:$A$755,0))</f>
        <v>70</v>
      </c>
      <c r="H70" s="5" t="str">
        <f aca="false">INDEX(Leads!$B$2:$B$755,MATCH($A70,Leads!$A$2:$A$755,0))</f>
        <v>This week</v>
      </c>
      <c r="I70" s="5" t="str">
        <f aca="false">INDEX(Leads!$E$2:$E$755,MATCH($A70,Leads!$A$2:$A$755,0))</f>
        <v>ORA19990015</v>
      </c>
    </row>
    <row r="71" customFormat="false" ht="15" hidden="false" customHeight="false" outlineLevel="0" collapsed="false">
      <c r="A71" s="12" t="n">
        <v>32</v>
      </c>
      <c r="B71" s="5" t="str">
        <f aca="false">INDEX(Leads!$F$2:$F$755,MATCH($A71,Leads!$A$2:$A$755,0))</f>
        <v>CASCADE CROSSING</v>
      </c>
      <c r="C71" s="5" t="str">
        <f aca="false">INDEX(Leads!$H$2:$H$755,MATCH($A71,Leads!$A$2:$A$755,0))</f>
        <v>PORTLAND</v>
      </c>
      <c r="D71" s="5" t="n">
        <f aca="false">INDEX(Leads!$J$2:$J$755,MATCH($A71,Leads!$A$2:$A$755,0))</f>
        <v>74</v>
      </c>
      <c r="E71" s="5" t="str">
        <f aca="false">INDEX(Leads!$D$2:$D$755,MATCH($A71,Leads!$A$2:$A$755,0))</f>
        <v>30-yr mark: notice window (est.)</v>
      </c>
      <c r="F71" s="13" t="n">
        <f aca="false">INDEX(Leads!$N$2:$N$755,MATCH($A71,Leads!$A$2:$A$755,0))</f>
        <v>1999</v>
      </c>
      <c r="G71" s="5" t="n">
        <f aca="false">INDEX(Leads!$C$2:$C$755,MATCH($A71,Leads!$A$2:$A$755,0))</f>
        <v>70</v>
      </c>
      <c r="H71" s="5" t="str">
        <f aca="false">INDEX(Leads!$B$2:$B$755,MATCH($A71,Leads!$A$2:$A$755,0))</f>
        <v>This week</v>
      </c>
      <c r="I71" s="5" t="str">
        <f aca="false">INDEX(Leads!$E$2:$E$755,MATCH($A71,Leads!$A$2:$A$755,0))</f>
        <v>ORA19990025</v>
      </c>
    </row>
    <row r="72" customFormat="false" ht="15" hidden="false" customHeight="false" outlineLevel="0" collapsed="false">
      <c r="A72" s="12" t="n">
        <v>33</v>
      </c>
      <c r="B72" s="5" t="str">
        <f aca="false">INDEX(Leads!$F$2:$F$755,MATCH($A72,Leads!$A$2:$A$755,0))</f>
        <v>OAKWOOD MANOR</v>
      </c>
      <c r="C72" s="5" t="str">
        <f aca="false">INDEX(Leads!$H$2:$H$755,MATCH($A72,Leads!$A$2:$A$755,0))</f>
        <v>EUGENE</v>
      </c>
      <c r="D72" s="5" t="n">
        <f aca="false">INDEX(Leads!$J$2:$J$755,MATCH($A72,Leads!$A$2:$A$755,0))</f>
        <v>72</v>
      </c>
      <c r="E72" s="5" t="str">
        <f aca="false">INDEX(Leads!$D$2:$D$755,MATCH($A72,Leads!$A$2:$A$755,0))</f>
        <v>30-yr mark: notice window (est.)</v>
      </c>
      <c r="F72" s="13" t="n">
        <f aca="false">INDEX(Leads!$N$2:$N$755,MATCH($A72,Leads!$A$2:$A$755,0))</f>
        <v>1999</v>
      </c>
      <c r="G72" s="5" t="n">
        <f aca="false">INDEX(Leads!$C$2:$C$755,MATCH($A72,Leads!$A$2:$A$755,0))</f>
        <v>70</v>
      </c>
      <c r="H72" s="5" t="str">
        <f aca="false">INDEX(Leads!$B$2:$B$755,MATCH($A72,Leads!$A$2:$A$755,0))</f>
        <v>This week</v>
      </c>
      <c r="I72" s="5" t="str">
        <f aca="false">INDEX(Leads!$E$2:$E$755,MATCH($A72,Leads!$A$2:$A$755,0))</f>
        <v>ORA19990115</v>
      </c>
    </row>
    <row r="73" customFormat="false" ht="15" hidden="false" customHeight="false" outlineLevel="0" collapsed="false">
      <c r="A73" s="12" t="n">
        <v>34</v>
      </c>
      <c r="B73" s="5" t="str">
        <f aca="false">INDEX(Leads!$F$2:$F$755,MATCH($A73,Leads!$A$2:$A$755,0))</f>
        <v>EMPIRE PLACE APTS</v>
      </c>
      <c r="C73" s="5" t="str">
        <f aca="false">INDEX(Leads!$H$2:$H$755,MATCH($A73,Leads!$A$2:$A$755,0))</f>
        <v>PORTLAND</v>
      </c>
      <c r="D73" s="5" t="n">
        <f aca="false">INDEX(Leads!$J$2:$J$755,MATCH($A73,Leads!$A$2:$A$755,0))</f>
        <v>70</v>
      </c>
      <c r="E73" s="5" t="str">
        <f aca="false">INDEX(Leads!$D$2:$D$755,MATCH($A73,Leads!$A$2:$A$755,0))</f>
        <v>30-yr mark: notice window (est.)</v>
      </c>
      <c r="F73" s="13" t="n">
        <f aca="false">INDEX(Leads!$N$2:$N$755,MATCH($A73,Leads!$A$2:$A$755,0))</f>
        <v>1997</v>
      </c>
      <c r="G73" s="5" t="n">
        <f aca="false">INDEX(Leads!$C$2:$C$755,MATCH($A73,Leads!$A$2:$A$755,0))</f>
        <v>70</v>
      </c>
      <c r="H73" s="5" t="str">
        <f aca="false">INDEX(Leads!$B$2:$B$755,MATCH($A73,Leads!$A$2:$A$755,0))</f>
        <v>This week</v>
      </c>
      <c r="I73" s="5" t="str">
        <f aca="false">INDEX(Leads!$E$2:$E$755,MATCH($A73,Leads!$A$2:$A$755,0))</f>
        <v>ORA19970030</v>
      </c>
    </row>
    <row r="74" customFormat="false" ht="15" hidden="false" customHeight="false" outlineLevel="0" collapsed="false">
      <c r="A74" s="12" t="n">
        <v>35</v>
      </c>
      <c r="B74" s="5" t="str">
        <f aca="false">INDEX(Leads!$F$2:$F$755,MATCH($A74,Leads!$A$2:$A$755,0))</f>
        <v>VINE STREET COURTS PHASES I &amp; II</v>
      </c>
      <c r="C74" s="5" t="str">
        <f aca="false">INDEX(Leads!$H$2:$H$755,MATCH($A74,Leads!$A$2:$A$755,0))</f>
        <v>ROSEBURG</v>
      </c>
      <c r="D74" s="5" t="n">
        <f aca="false">INDEX(Leads!$J$2:$J$755,MATCH($A74,Leads!$A$2:$A$755,0))</f>
        <v>70</v>
      </c>
      <c r="E74" s="5" t="str">
        <f aca="false">INDEX(Leads!$D$2:$D$755,MATCH($A74,Leads!$A$2:$A$755,0))</f>
        <v>30-yr mark: notice window (est.)</v>
      </c>
      <c r="F74" s="13" t="n">
        <f aca="false">INDEX(Leads!$N$2:$N$755,MATCH($A74,Leads!$A$2:$A$755,0))</f>
        <v>1997</v>
      </c>
      <c r="G74" s="5" t="n">
        <f aca="false">INDEX(Leads!$C$2:$C$755,MATCH($A74,Leads!$A$2:$A$755,0))</f>
        <v>70</v>
      </c>
      <c r="H74" s="5" t="str">
        <f aca="false">INDEX(Leads!$B$2:$B$755,MATCH($A74,Leads!$A$2:$A$755,0))</f>
        <v>This week</v>
      </c>
      <c r="I74" s="5" t="str">
        <f aca="false">INDEX(Leads!$E$2:$E$755,MATCH($A74,Leads!$A$2:$A$755,0))</f>
        <v>ORA19970125</v>
      </c>
    </row>
    <row r="75" customFormat="false" ht="15" hidden="false" customHeight="false" outlineLevel="0" collapsed="false">
      <c r="A75" s="12" t="n">
        <v>36</v>
      </c>
      <c r="B75" s="5" t="str">
        <f aca="false">INDEX(Leads!$F$2:$F$755,MATCH($A75,Leads!$A$2:$A$755,0))</f>
        <v>ALLEN FREEMONT PLAZA</v>
      </c>
      <c r="C75" s="5" t="str">
        <f aca="false">INDEX(Leads!$H$2:$H$755,MATCH($A75,Leads!$A$2:$A$755,0))</f>
        <v>PORTLAND</v>
      </c>
      <c r="D75" s="5" t="n">
        <f aca="false">INDEX(Leads!$J$2:$J$755,MATCH($A75,Leads!$A$2:$A$755,0))</f>
        <v>64</v>
      </c>
      <c r="E75" s="5" t="str">
        <f aca="false">INDEX(Leads!$D$2:$D$755,MATCH($A75,Leads!$A$2:$A$755,0))</f>
        <v>30-yr mark: notice window (est.)</v>
      </c>
      <c r="F75" s="13" t="n">
        <f aca="false">INDEX(Leads!$N$2:$N$755,MATCH($A75,Leads!$A$2:$A$755,0))</f>
        <v>1997</v>
      </c>
      <c r="G75" s="5" t="n">
        <f aca="false">INDEX(Leads!$C$2:$C$755,MATCH($A75,Leads!$A$2:$A$755,0))</f>
        <v>70</v>
      </c>
      <c r="H75" s="5" t="str">
        <f aca="false">INDEX(Leads!$B$2:$B$755,MATCH($A75,Leads!$A$2:$A$755,0))</f>
        <v>This week</v>
      </c>
      <c r="I75" s="5" t="str">
        <f aca="false">INDEX(Leads!$E$2:$E$755,MATCH($A75,Leads!$A$2:$A$755,0))</f>
        <v>ORA19970005</v>
      </c>
    </row>
    <row r="76" customFormat="false" ht="15" hidden="false" customHeight="false" outlineLevel="0" collapsed="false">
      <c r="A76" s="12" t="n">
        <v>37</v>
      </c>
      <c r="B76" s="5" t="str">
        <f aca="false">INDEX(Leads!$F$2:$F$755,MATCH($A76,Leads!$A$2:$A$755,0))</f>
        <v>CHAMPION PARK APTS</v>
      </c>
      <c r="C76" s="5" t="str">
        <f aca="false">INDEX(Leads!$H$2:$H$755,MATCH($A76,Leads!$A$2:$A$755,0))</f>
        <v>TILLAMOOK</v>
      </c>
      <c r="D76" s="5" t="n">
        <f aca="false">INDEX(Leads!$J$2:$J$755,MATCH($A76,Leads!$A$2:$A$755,0))</f>
        <v>64</v>
      </c>
      <c r="E76" s="5" t="str">
        <f aca="false">INDEX(Leads!$D$2:$D$755,MATCH($A76,Leads!$A$2:$A$755,0))</f>
        <v>30-yr mark: notice window (est.)</v>
      </c>
      <c r="F76" s="13" t="n">
        <f aca="false">INDEX(Leads!$N$2:$N$755,MATCH($A76,Leads!$A$2:$A$755,0))</f>
        <v>1998</v>
      </c>
      <c r="G76" s="5" t="n">
        <f aca="false">INDEX(Leads!$C$2:$C$755,MATCH($A76,Leads!$A$2:$A$755,0))</f>
        <v>70</v>
      </c>
      <c r="H76" s="5" t="str">
        <f aca="false">INDEX(Leads!$B$2:$B$755,MATCH($A76,Leads!$A$2:$A$755,0))</f>
        <v>This week</v>
      </c>
      <c r="I76" s="5" t="str">
        <f aca="false">INDEX(Leads!$E$2:$E$755,MATCH($A76,Leads!$A$2:$A$755,0))</f>
        <v>ORA19980055</v>
      </c>
    </row>
    <row r="77" customFormat="false" ht="15" hidden="false" customHeight="false" outlineLevel="0" collapsed="false">
      <c r="A77" s="12" t="n">
        <v>38</v>
      </c>
      <c r="B77" s="5" t="str">
        <f aca="false">INDEX(Leads!$F$2:$F$755,MATCH($A77,Leads!$A$2:$A$755,0))</f>
        <v>VIEWCREST APTS</v>
      </c>
      <c r="C77" s="5" t="str">
        <f aca="false">INDEX(Leads!$H$2:$H$755,MATCH($A77,Leads!$A$2:$A$755,0))</f>
        <v>HERMISTON</v>
      </c>
      <c r="D77" s="5" t="n">
        <f aca="false">INDEX(Leads!$J$2:$J$755,MATCH($A77,Leads!$A$2:$A$755,0))</f>
        <v>64</v>
      </c>
      <c r="E77" s="5" t="str">
        <f aca="false">INDEX(Leads!$D$2:$D$755,MATCH($A77,Leads!$A$2:$A$755,0))</f>
        <v>30-yr mark: notice window (est.)</v>
      </c>
      <c r="F77" s="13" t="n">
        <f aca="false">INDEX(Leads!$N$2:$N$755,MATCH($A77,Leads!$A$2:$A$755,0))</f>
        <v>1999</v>
      </c>
      <c r="G77" s="5" t="n">
        <f aca="false">INDEX(Leads!$C$2:$C$755,MATCH($A77,Leads!$A$2:$A$755,0))</f>
        <v>70</v>
      </c>
      <c r="H77" s="5" t="str">
        <f aca="false">INDEX(Leads!$B$2:$B$755,MATCH($A77,Leads!$A$2:$A$755,0))</f>
        <v>This week</v>
      </c>
      <c r="I77" s="5" t="str">
        <f aca="false">INDEX(Leads!$E$2:$E$755,MATCH($A77,Leads!$A$2:$A$755,0))</f>
        <v>ORA19990145</v>
      </c>
    </row>
    <row r="78" customFormat="false" ht="15" hidden="false" customHeight="false" outlineLevel="0" collapsed="false">
      <c r="A78" s="12" t="n">
        <v>39</v>
      </c>
      <c r="B78" s="5" t="str">
        <f aca="false">INDEX(Leads!$F$2:$F$755,MATCH($A78,Leads!$A$2:$A$755,0))</f>
        <v>LENTS VILLAGE APTS</v>
      </c>
      <c r="C78" s="5" t="str">
        <f aca="false">INDEX(Leads!$H$2:$H$755,MATCH($A78,Leads!$A$2:$A$755,0))</f>
        <v>PORTLAND</v>
      </c>
      <c r="D78" s="5" t="n">
        <f aca="false">INDEX(Leads!$J$2:$J$755,MATCH($A78,Leads!$A$2:$A$755,0))</f>
        <v>63</v>
      </c>
      <c r="E78" s="5" t="str">
        <f aca="false">INDEX(Leads!$D$2:$D$755,MATCH($A78,Leads!$A$2:$A$755,0))</f>
        <v>30-yr mark: notice window (est.)</v>
      </c>
      <c r="F78" s="13" t="n">
        <f aca="false">INDEX(Leads!$N$2:$N$755,MATCH($A78,Leads!$A$2:$A$755,0))</f>
        <v>1997</v>
      </c>
      <c r="G78" s="5" t="n">
        <f aca="false">INDEX(Leads!$C$2:$C$755,MATCH($A78,Leads!$A$2:$A$755,0))</f>
        <v>70</v>
      </c>
      <c r="H78" s="5" t="str">
        <f aca="false">INDEX(Leads!$B$2:$B$755,MATCH($A78,Leads!$A$2:$A$755,0))</f>
        <v>This week</v>
      </c>
      <c r="I78" s="5" t="str">
        <f aca="false">INDEX(Leads!$E$2:$E$755,MATCH($A78,Leads!$A$2:$A$755,0))</f>
        <v>ORA19970055</v>
      </c>
    </row>
    <row r="79" customFormat="false" ht="15" hidden="false" customHeight="false" outlineLevel="0" collapsed="false">
      <c r="A79" s="12" t="n">
        <v>40</v>
      </c>
      <c r="B79" s="5" t="str">
        <f aca="false">INDEX(Leads!$F$2:$F$755,MATCH($A79,Leads!$A$2:$A$755,0))</f>
        <v>JACOBS LANE</v>
      </c>
      <c r="C79" s="5" t="str">
        <f aca="false">INDEX(Leads!$H$2:$H$755,MATCH($A79,Leads!$A$2:$A$755,0))</f>
        <v>EUGENE</v>
      </c>
      <c r="D79" s="5" t="n">
        <f aca="false">INDEX(Leads!$J$2:$J$755,MATCH($A79,Leads!$A$2:$A$755,0))</f>
        <v>63</v>
      </c>
      <c r="E79" s="5" t="str">
        <f aca="false">INDEX(Leads!$D$2:$D$755,MATCH($A79,Leads!$A$2:$A$755,0))</f>
        <v>30-yr mark: notice window (est.)</v>
      </c>
      <c r="F79" s="13" t="n">
        <f aca="false">INDEX(Leads!$N$2:$N$755,MATCH($A79,Leads!$A$2:$A$755,0))</f>
        <v>1999</v>
      </c>
      <c r="G79" s="5" t="n">
        <f aca="false">INDEX(Leads!$C$2:$C$755,MATCH($A79,Leads!$A$2:$A$755,0))</f>
        <v>70</v>
      </c>
      <c r="H79" s="5" t="str">
        <f aca="false">INDEX(Leads!$B$2:$B$755,MATCH($A79,Leads!$A$2:$A$755,0))</f>
        <v>This week</v>
      </c>
      <c r="I79" s="5" t="str">
        <f aca="false">INDEX(Leads!$E$2:$E$755,MATCH($A79,Leads!$A$2:$A$755,0))</f>
        <v>ORA19990075</v>
      </c>
    </row>
  </sheetData>
  <conditionalFormatting sqref="H40:H79">
    <cfRule type="cellIs" priority="2" operator="equal" aboveAverage="0" equalAverage="0" bottom="0" percent="0" rank="0" text="" dxfId="0">
      <formula>"Immediate"</formula>
    </cfRule>
    <cfRule type="cellIs" priority="3" operator="equal" aboveAverage="0" equalAverage="0" bottom="0" percent="0" rank="0" text="" dxfId="1">
      <formula>"This week"</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7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7"/>
    <col collapsed="false" customWidth="true" hidden="false" outlineLevel="0" max="4" min="4" style="0" width="30"/>
    <col collapsed="false" customWidth="true" hidden="false" outlineLevel="0" max="5" min="5" style="0" width="13"/>
    <col collapsed="false" customWidth="true" hidden="false" outlineLevel="0" max="6" min="6" style="0" width="38"/>
    <col collapsed="false" customWidth="true" hidden="false" outlineLevel="0" max="7" min="7" style="0" width="28"/>
    <col collapsed="false" customWidth="true" hidden="false" outlineLevel="0" max="8" min="8" style="0" width="15"/>
    <col collapsed="false" customWidth="true" hidden="false" outlineLevel="0" max="10" min="9" style="0" width="7"/>
    <col collapsed="false" customWidth="true" hidden="false" outlineLevel="0" max="12" min="11" style="0" width="8"/>
    <col collapsed="false" customWidth="true" hidden="false" outlineLevel="0" max="13" min="13" style="0" width="18"/>
    <col collapsed="false" customWidth="true" hidden="false" outlineLevel="0" max="14" min="14" style="0" width="9"/>
    <col collapsed="false" customWidth="true" hidden="false" outlineLevel="0" max="15" min="15" style="0" width="6"/>
    <col collapsed="false" customWidth="true" hidden="false" outlineLevel="0" max="16" min="16" style="0" width="9"/>
    <col collapsed="false" customWidth="true" hidden="false" outlineLevel="0" max="18" min="17" style="0" width="13"/>
    <col collapsed="false" customWidth="true" hidden="false" outlineLevel="0" max="19" min="19" style="0" width="48"/>
    <col collapsed="false" customWidth="true" hidden="false" outlineLevel="0" max="20" min="20" style="0" width="11"/>
    <col collapsed="false" customWidth="true" hidden="false" outlineLevel="0" max="21" min="21" style="0" width="13"/>
    <col collapsed="false" customWidth="true" hidden="false" outlineLevel="0" max="22" min="22" style="0" width="9"/>
    <col collapsed="false" customWidth="true" hidden="false" outlineLevel="0" max="23" min="23" style="0" width="22"/>
    <col collapsed="false" customWidth="true" hidden="false" outlineLevel="0" max="24" min="24" style="0" width="8"/>
    <col collapsed="false" customWidth="true" hidden="false" outlineLevel="0" max="25" min="25" style="0" width="9"/>
    <col collapsed="false" customWidth="true" hidden="false" outlineLevel="0" max="27" min="26" style="0" width="10"/>
    <col collapsed="false" customWidth="true" hidden="false" outlineLevel="0" max="29" min="28" style="0" width="8"/>
    <col collapsed="false" customWidth="true" hidden="false" outlineLevel="0" max="32" min="30" style="0" width="7"/>
    <col collapsed="false" customWidth="true" hidden="false" outlineLevel="0" max="33" min="33" style="0" width="9"/>
    <col collapsed="false" customWidth="true" hidden="false" outlineLevel="0" max="34" min="34" style="0" width="7"/>
    <col collapsed="false" customWidth="true" hidden="true" outlineLevel="0" max="35" min="35" style="0" width="10"/>
    <col collapsed="false" customWidth="true" hidden="false" outlineLevel="0" max="36" min="36" style="0" width="26"/>
    <col collapsed="false" customWidth="true" hidden="false" outlineLevel="0" max="37" min="37" style="0" width="22"/>
    <col collapsed="false" customWidth="true" hidden="false" outlineLevel="0" max="38" min="38" style="0" width="15"/>
    <col collapsed="false" customWidth="true" hidden="false" outlineLevel="0" max="39" min="39" style="0" width="40"/>
  </cols>
  <sheetData>
    <row r="1" customFormat="false" ht="45" hidden="false" customHeight="true" outlineLevel="0" collapsed="false">
      <c r="A1" s="4" t="s">
        <v>56</v>
      </c>
      <c r="B1" s="4" t="s">
        <v>12</v>
      </c>
      <c r="C1" s="4" t="s">
        <v>60</v>
      </c>
      <c r="D1" s="4" t="s">
        <v>26</v>
      </c>
      <c r="E1" s="4" t="s">
        <v>61</v>
      </c>
      <c r="F1" s="4" t="s">
        <v>57</v>
      </c>
      <c r="G1" s="4" t="s">
        <v>62</v>
      </c>
      <c r="H1" s="4" t="s">
        <v>58</v>
      </c>
      <c r="I1" s="4" t="s">
        <v>63</v>
      </c>
      <c r="J1" s="4" t="s">
        <v>64</v>
      </c>
      <c r="K1" s="4" t="s">
        <v>65</v>
      </c>
      <c r="L1" s="4" t="s">
        <v>66</v>
      </c>
      <c r="M1" s="4" t="s">
        <v>67</v>
      </c>
      <c r="N1" s="4" t="s">
        <v>68</v>
      </c>
      <c r="O1" s="4" t="s">
        <v>69</v>
      </c>
      <c r="P1" s="4" t="s">
        <v>70</v>
      </c>
      <c r="Q1" s="4" t="s">
        <v>71</v>
      </c>
      <c r="R1" s="4" t="s">
        <v>72</v>
      </c>
      <c r="S1" s="4" t="s">
        <v>73</v>
      </c>
      <c r="T1" s="14" t="s">
        <v>74</v>
      </c>
      <c r="U1" s="14" t="s">
        <v>75</v>
      </c>
      <c r="V1" s="14" t="s">
        <v>76</v>
      </c>
      <c r="W1" s="14" t="s">
        <v>77</v>
      </c>
      <c r="X1" s="14" t="s">
        <v>78</v>
      </c>
      <c r="Y1" s="14" t="s">
        <v>79</v>
      </c>
      <c r="Z1" s="14" t="s">
        <v>80</v>
      </c>
      <c r="AA1" s="4" t="s">
        <v>81</v>
      </c>
      <c r="AB1" s="4" t="s">
        <v>82</v>
      </c>
      <c r="AC1" s="4" t="s">
        <v>83</v>
      </c>
      <c r="AD1" s="4" t="s">
        <v>84</v>
      </c>
      <c r="AE1" s="4" t="s">
        <v>85</v>
      </c>
      <c r="AF1" s="4" t="s">
        <v>86</v>
      </c>
      <c r="AG1" s="4" t="s">
        <v>87</v>
      </c>
      <c r="AH1" s="4" t="s">
        <v>88</v>
      </c>
      <c r="AI1" s="4" t="s">
        <v>89</v>
      </c>
      <c r="AJ1" s="14" t="s">
        <v>90</v>
      </c>
      <c r="AK1" s="14" t="s">
        <v>91</v>
      </c>
      <c r="AL1" s="14" t="s">
        <v>92</v>
      </c>
      <c r="AM1" s="14" t="s">
        <v>93</v>
      </c>
    </row>
    <row r="2" customFormat="false" ht="15" hidden="false" customHeight="false" outlineLevel="0" collapsed="false">
      <c r="A2" s="15" t="n">
        <f aca="false">RANK(AI2,$AI$2:$AI$755)</f>
        <v>1</v>
      </c>
      <c r="B2" s="16" t="str">
        <f aca="false">IF(T2="Y","Superseded",IF(C2&gt;=Scoring!$B$16,"Immediate",IF(C2&gt;=Scoring!$B$17,"This week",IF(C2&gt;=Scoring!$B$18,"Nurture","Low"))))</f>
        <v>Immediate</v>
      </c>
      <c r="C2" s="3" t="n">
        <f aca="false">SUM(AC2:AH2)</f>
        <v>77</v>
      </c>
      <c r="D2" s="15" t="str">
        <f aca="false">IF(T2="Y","Superseded record",IF(AND(U2&lt;&gt;"",AA2&lt;0),"Expired (verified)",IF(AND(U2&lt;&gt;"",AA2&lt;=Scoring!$B$5),"Expiring: notice window (verified)",IF(AND(U2&lt;&gt;"",AA2&lt;=Scoring!$B$6),"Expiring: 10-yr horizon (verified)",IF(M2="No Longer Monitored","Out of program",IF(N2="","Unknown vintage",IF(N2&lt;Scoring!$B$12,"Pre-1990, still listed",IF(AND(U2="",AA2&lt;0),"Past 30-yr mark (verify)",IF(AND(U2="",AA2&lt;=Scoring!$B$5),"30-yr mark: notice window (est.)",IF(AND(O2&gt;=Scoring!$B$7,O2&lt;=Scoring!$B$8),"Year-15 window",IF(O2&gt;=Scoring!$B$9,"Recap window",IF(O2&gt;=11,"Late compliance","Credit period"))))))))))))</f>
        <v>30-yr mark: notice window (est.)</v>
      </c>
      <c r="E2" s="15" t="s">
        <v>94</v>
      </c>
      <c r="F2" s="15" t="s">
        <v>95</v>
      </c>
      <c r="G2" s="15" t="s">
        <v>96</v>
      </c>
      <c r="H2" s="15" t="s">
        <v>97</v>
      </c>
      <c r="I2" s="15" t="s">
        <v>98</v>
      </c>
      <c r="J2" s="15" t="n">
        <v>198</v>
      </c>
      <c r="K2" s="15" t="n">
        <v>40</v>
      </c>
      <c r="L2" s="15" t="n">
        <f aca="false">IF(OR(J2="",K2=""),"",MAX(J2-K2,0))</f>
        <v>158</v>
      </c>
      <c r="M2" s="15" t="s">
        <v>99</v>
      </c>
      <c r="N2" s="17" t="n">
        <v>1999</v>
      </c>
      <c r="O2" s="15" t="n">
        <f aca="false">IF(N2="","",Scoring!$B$4-N2)</f>
        <v>27</v>
      </c>
      <c r="P2" s="15" t="n">
        <f aca="false">IF(N2="","",N2+14)</f>
        <v>2013</v>
      </c>
      <c r="Q2" s="15" t="n">
        <f aca="false">IF(N2="","",IF(N2&lt;Scoring!$B$12,"n/a (pre-1990)",N2+Scoring!$B$13))</f>
        <v>2028</v>
      </c>
      <c r="R2" s="15" t="str">
        <f aca="false">IF(J2="","Unknown",IF(J2&gt;=5,"Yes","No (under 5 units)"))</f>
        <v>Yes</v>
      </c>
      <c r="S2" s="15"/>
      <c r="T2" s="18"/>
      <c r="U2" s="19"/>
      <c r="V2" s="18"/>
      <c r="W2" s="18"/>
      <c r="X2" s="20"/>
      <c r="Y2" s="18"/>
      <c r="Z2" s="18"/>
      <c r="AA2" s="21" t="n">
        <f aca="false">IF(U2&lt;&gt;"",(U2-Scoring!$B$3)/365.25,IF(N2="","",IF(N2&lt;Scoring!$B$12,"",(DATE(N2+Scoring!$B$13,12,31)-Scoring!$B$3)/365.25)))</f>
        <v>2.24777549623546</v>
      </c>
      <c r="AB2" s="22" t="n">
        <f aca="false">IF(T2="Y",0,IF(OR(D2="Expired (verified)",D2="Expiring: notice window (verified)",D2="Expiring: 10-yr horizon (verified)",D2="Past 30-yr mark (verify)",D2="30-yr mark: notice window (est.)",D2="Year-15 window"),1,0)+IF(ISNUMBER(O2),IF(O2&gt;=Scoring!$B$10,1,0),0)+IF(AND(ISNUMBER(L2),ISNUMBER(J2)),IF(J2&gt;0,IF(L2/J2&gt;=Scoring!$B$11,1,0),0),0)+IF(ISNUMBER(Z2),MIN(Z2,3),0))</f>
        <v>3</v>
      </c>
      <c r="AC2" s="22" t="n">
        <f aca="false">IF(AB2&gt;=3,Scoring!$C$24,IF(AB2=2,Scoring!$C$23,IF(AB2=1,Scoring!$C$22,0)))</f>
        <v>25</v>
      </c>
      <c r="AD2" s="22" t="n">
        <f aca="false">IF(T2="Y",0,IF(ISNUMBER(X2),IF(X2&gt;0.7,Scoring!$C$25,IF(X2&gt;=0.5,Scoring!$C$26,IF(X2&gt;=0.3,Scoring!$C$27,Scoring!$C$28))),Scoring!$C$29))</f>
        <v>10</v>
      </c>
      <c r="AE2" s="22" t="n">
        <f aca="false">IF(D2="Expiring: notice window (verified)",Scoring!$C$30,IF(OR(D2="Expired (verified)",D2="30-yr mark: notice window (est.)",D2="Year-15 window"),Scoring!$C$31,IF(D2="Expiring: 10-yr horizon (verified)",Scoring!$C$32,IF(D2="Past 30-yr mark (verify)",Scoring!$C$33,IF(OR(D2="Credit period",D2="Superseded record"),Scoring!$C$35,Scoring!$C$34)))))</f>
        <v>14</v>
      </c>
      <c r="AF2" s="22" t="n">
        <f aca="false">IF(T2="Y",0,IF(ISNUMBER(V2),IF(Scoring!$B$4-V2&gt;15,Scoring!$C$36,IF(Scoring!$B$4-V2&gt;=10,Scoring!$C$37,IF(Scoring!$B$4-V2&gt;=5,Scoring!$C$38,Scoring!$C$39))),IF(OR(N2="",D2="Out of program"),Scoring!$C$40,IF(O2&gt;15,Scoring!$C$36,IF(O2&gt;=10,Scoring!$C$37,IF(O2&gt;=5,Scoring!$C$38,Scoring!$C$39))))))</f>
        <v>15</v>
      </c>
      <c r="AG2" s="22" t="n">
        <f aca="false">IF(T2="Y",0,IF(Y2="Y",Scoring!$C$41,IF(ISNUMBER(O2),IF(O2&gt;=25,Scoring!$C$42,IF(O2&gt;=15,Scoring!$C$43,Scoring!$C$44)),Scoring!$C$44)))</f>
        <v>8</v>
      </c>
      <c r="AH2" s="22" t="n">
        <f aca="false">IF(T2="Y",0,IF(W2="",Scoring!$C$49,IFERROR(VLOOKUP(W2,Scoring!$B$45:$C$48,2,FALSE()),Scoring!$C$49)))</f>
        <v>5</v>
      </c>
      <c r="AI2" s="23" t="n">
        <f aca="false">C2+IF(ISNUMBER(J2),J2,0)/100000+(10000-ROW())/1000000000</f>
        <v>77.001989998</v>
      </c>
      <c r="AJ2" s="18"/>
      <c r="AK2" s="18"/>
      <c r="AL2" s="18"/>
      <c r="AM2" s="18"/>
    </row>
    <row r="3" customFormat="false" ht="15" hidden="false" customHeight="false" outlineLevel="0" collapsed="false">
      <c r="A3" s="15" t="n">
        <f aca="false">RANK(AI3,$AI$2:$AI$755)</f>
        <v>2</v>
      </c>
      <c r="B3" s="16" t="str">
        <f aca="false">IF(T3="Y","Superseded",IF(C3&gt;=Scoring!$B$16,"Immediate",IF(C3&gt;=Scoring!$B$17,"This week",IF(C3&gt;=Scoring!$B$18,"Nurture","Low"))))</f>
        <v>Immediate</v>
      </c>
      <c r="C3" s="3" t="n">
        <f aca="false">SUM(AC3:AH3)</f>
        <v>77</v>
      </c>
      <c r="D3" s="15" t="str">
        <f aca="false">IF(T3="Y","Superseded record",IF(AND(U3&lt;&gt;"",AA3&lt;0),"Expired (verified)",IF(AND(U3&lt;&gt;"",AA3&lt;=Scoring!$B$5),"Expiring: notice window (verified)",IF(AND(U3&lt;&gt;"",AA3&lt;=Scoring!$B$6),"Expiring: 10-yr horizon (verified)",IF(M3="No Longer Monitored","Out of program",IF(N3="","Unknown vintage",IF(N3&lt;Scoring!$B$12,"Pre-1990, still listed",IF(AND(U3="",AA3&lt;0),"Past 30-yr mark (verify)",IF(AND(U3="",AA3&lt;=Scoring!$B$5),"30-yr mark: notice window (est.)",IF(AND(O3&gt;=Scoring!$B$7,O3&lt;=Scoring!$B$8),"Year-15 window",IF(O3&gt;=Scoring!$B$9,"Recap window",IF(O3&gt;=11,"Late compliance","Credit period"))))))))))))</f>
        <v>30-yr mark: notice window (est.)</v>
      </c>
      <c r="E3" s="15" t="s">
        <v>100</v>
      </c>
      <c r="F3" s="15" t="s">
        <v>101</v>
      </c>
      <c r="G3" s="15" t="s">
        <v>102</v>
      </c>
      <c r="H3" s="15" t="s">
        <v>97</v>
      </c>
      <c r="I3" s="15" t="s">
        <v>103</v>
      </c>
      <c r="J3" s="15" t="n">
        <v>128</v>
      </c>
      <c r="K3" s="15" t="n">
        <v>106</v>
      </c>
      <c r="L3" s="15" t="n">
        <f aca="false">IF(OR(J3="",K3=""),"",MAX(J3-K3,0))</f>
        <v>22</v>
      </c>
      <c r="M3" s="15" t="s">
        <v>99</v>
      </c>
      <c r="N3" s="17" t="n">
        <v>1999</v>
      </c>
      <c r="O3" s="15" t="n">
        <f aca="false">IF(N3="","",Scoring!$B$4-N3)</f>
        <v>27</v>
      </c>
      <c r="P3" s="15" t="n">
        <f aca="false">IF(N3="","",N3+14)</f>
        <v>2013</v>
      </c>
      <c r="Q3" s="15" t="n">
        <f aca="false">IF(N3="","",IF(N3&lt;Scoring!$B$12,"n/a (pre-1990)",N3+Scoring!$B$13))</f>
        <v>2028</v>
      </c>
      <c r="R3" s="15" t="str">
        <f aca="false">IF(J3="","Unknown",IF(J3&gt;=5,"Yes","No (under 5 units)"))</f>
        <v>Yes</v>
      </c>
      <c r="S3" s="15"/>
      <c r="T3" s="18"/>
      <c r="U3" s="19"/>
      <c r="V3" s="18"/>
      <c r="W3" s="18"/>
      <c r="X3" s="20"/>
      <c r="Y3" s="18"/>
      <c r="Z3" s="18"/>
      <c r="AA3" s="21" t="n">
        <f aca="false">IF(U3&lt;&gt;"",(U3-Scoring!$B$3)/365.25,IF(N3="","",IF(N3&lt;Scoring!$B$12,"",(DATE(N3+Scoring!$B$13,12,31)-Scoring!$B$3)/365.25)))</f>
        <v>2.24777549623546</v>
      </c>
      <c r="AB3" s="22" t="n">
        <f aca="false">IF(T3="Y",0,IF(OR(D3="Expired (verified)",D3="Expiring: notice window (verified)",D3="Expiring: 10-yr horizon (verified)",D3="Past 30-yr mark (verify)",D3="30-yr mark: notice window (est.)",D3="Year-15 window"),1,0)+IF(ISNUMBER(O3),IF(O3&gt;=Scoring!$B$10,1,0),0)+IF(AND(ISNUMBER(L3),ISNUMBER(J3)),IF(J3&gt;0,IF(L3/J3&gt;=Scoring!$B$11,1,0),0),0)+IF(ISNUMBER(Z3),MIN(Z3,3),0))</f>
        <v>3</v>
      </c>
      <c r="AC3" s="22" t="n">
        <f aca="false">IF(AB3&gt;=3,Scoring!$C$24,IF(AB3=2,Scoring!$C$23,IF(AB3=1,Scoring!$C$22,0)))</f>
        <v>25</v>
      </c>
      <c r="AD3" s="22" t="n">
        <f aca="false">IF(T3="Y",0,IF(ISNUMBER(X3),IF(X3&gt;0.7,Scoring!$C$25,IF(X3&gt;=0.5,Scoring!$C$26,IF(X3&gt;=0.3,Scoring!$C$27,Scoring!$C$28))),Scoring!$C$29))</f>
        <v>10</v>
      </c>
      <c r="AE3" s="22" t="n">
        <f aca="false">IF(D3="Expiring: notice window (verified)",Scoring!$C$30,IF(OR(D3="Expired (verified)",D3="30-yr mark: notice window (est.)",D3="Year-15 window"),Scoring!$C$31,IF(D3="Expiring: 10-yr horizon (verified)",Scoring!$C$32,IF(D3="Past 30-yr mark (verify)",Scoring!$C$33,IF(OR(D3="Credit period",D3="Superseded record"),Scoring!$C$35,Scoring!$C$34)))))</f>
        <v>14</v>
      </c>
      <c r="AF3" s="22" t="n">
        <f aca="false">IF(T3="Y",0,IF(ISNUMBER(V3),IF(Scoring!$B$4-V3&gt;15,Scoring!$C$36,IF(Scoring!$B$4-V3&gt;=10,Scoring!$C$37,IF(Scoring!$B$4-V3&gt;=5,Scoring!$C$38,Scoring!$C$39))),IF(OR(N3="",D3="Out of program"),Scoring!$C$40,IF(O3&gt;15,Scoring!$C$36,IF(O3&gt;=10,Scoring!$C$37,IF(O3&gt;=5,Scoring!$C$38,Scoring!$C$39))))))</f>
        <v>15</v>
      </c>
      <c r="AG3" s="22" t="n">
        <f aca="false">IF(T3="Y",0,IF(Y3="Y",Scoring!$C$41,IF(ISNUMBER(O3),IF(O3&gt;=25,Scoring!$C$42,IF(O3&gt;=15,Scoring!$C$43,Scoring!$C$44)),Scoring!$C$44)))</f>
        <v>8</v>
      </c>
      <c r="AH3" s="22" t="n">
        <f aca="false">IF(T3="Y",0,IF(W3="",Scoring!$C$49,IFERROR(VLOOKUP(W3,Scoring!$B$45:$C$48,2,FALSE()),Scoring!$C$49)))</f>
        <v>5</v>
      </c>
      <c r="AI3" s="23" t="n">
        <f aca="false">C3+IF(ISNUMBER(J3),J3,0)/100000+(10000-ROW())/1000000000</f>
        <v>77.001289997</v>
      </c>
      <c r="AJ3" s="18"/>
      <c r="AK3" s="18"/>
      <c r="AL3" s="18"/>
      <c r="AM3" s="18"/>
    </row>
    <row r="4" customFormat="false" ht="15" hidden="false" customHeight="false" outlineLevel="0" collapsed="false">
      <c r="A4" s="15" t="n">
        <f aca="false">RANK(AI4,$AI$2:$AI$755)</f>
        <v>3</v>
      </c>
      <c r="B4" s="16" t="str">
        <f aca="false">IF(T4="Y","Superseded",IF(C4&gt;=Scoring!$B$16,"Immediate",IF(C4&gt;=Scoring!$B$17,"This week",IF(C4&gt;=Scoring!$B$18,"Nurture","Low"))))</f>
        <v>Immediate</v>
      </c>
      <c r="C4" s="3" t="n">
        <f aca="false">SUM(AC4:AH4)</f>
        <v>77</v>
      </c>
      <c r="D4" s="15" t="str">
        <f aca="false">IF(T4="Y","Superseded record",IF(AND(U4&lt;&gt;"",AA4&lt;0),"Expired (verified)",IF(AND(U4&lt;&gt;"",AA4&lt;=Scoring!$B$5),"Expiring: notice window (verified)",IF(AND(U4&lt;&gt;"",AA4&lt;=Scoring!$B$6),"Expiring: 10-yr horizon (verified)",IF(M4="No Longer Monitored","Out of program",IF(N4="","Unknown vintage",IF(N4&lt;Scoring!$B$12,"Pre-1990, still listed",IF(AND(U4="",AA4&lt;0),"Past 30-yr mark (verify)",IF(AND(U4="",AA4&lt;=Scoring!$B$5),"30-yr mark: notice window (est.)",IF(AND(O4&gt;=Scoring!$B$7,O4&lt;=Scoring!$B$8),"Year-15 window",IF(O4&gt;=Scoring!$B$9,"Recap window",IF(O4&gt;=11,"Late compliance","Credit period"))))))))))))</f>
        <v>30-yr mark: notice window (est.)</v>
      </c>
      <c r="E4" s="15" t="s">
        <v>104</v>
      </c>
      <c r="F4" s="15" t="s">
        <v>105</v>
      </c>
      <c r="G4" s="15" t="s">
        <v>106</v>
      </c>
      <c r="H4" s="15" t="s">
        <v>107</v>
      </c>
      <c r="I4" s="15" t="s">
        <v>108</v>
      </c>
      <c r="J4" s="15" t="n">
        <v>124</v>
      </c>
      <c r="K4" s="15" t="n">
        <v>100</v>
      </c>
      <c r="L4" s="15" t="n">
        <f aca="false">IF(OR(J4="",K4=""),"",MAX(J4-K4,0))</f>
        <v>24</v>
      </c>
      <c r="M4" s="15" t="s">
        <v>99</v>
      </c>
      <c r="N4" s="17" t="n">
        <v>1997</v>
      </c>
      <c r="O4" s="15" t="n">
        <f aca="false">IF(N4="","",Scoring!$B$4-N4)</f>
        <v>29</v>
      </c>
      <c r="P4" s="15" t="n">
        <f aca="false">IF(N4="","",N4+14)</f>
        <v>2011</v>
      </c>
      <c r="Q4" s="15" t="n">
        <f aca="false">IF(N4="","",IF(N4&lt;Scoring!$B$12,"n/a (pre-1990)",N4+Scoring!$B$13))</f>
        <v>2026</v>
      </c>
      <c r="R4" s="15" t="str">
        <f aca="false">IF(J4="","Unknown",IF(J4&gt;=5,"Yes","No (under 5 units)"))</f>
        <v>Yes</v>
      </c>
      <c r="S4" s="15"/>
      <c r="T4" s="18"/>
      <c r="U4" s="19"/>
      <c r="V4" s="18"/>
      <c r="W4" s="18"/>
      <c r="X4" s="20"/>
      <c r="Y4" s="18"/>
      <c r="Z4" s="18"/>
      <c r="AA4" s="21" t="n">
        <f aca="false">IF(U4&lt;&gt;"",(U4-Scoring!$B$3)/365.25,IF(N4="","",IF(N4&lt;Scoring!$B$12,"",(DATE(N4+Scoring!$B$13,12,31)-Scoring!$B$3)/365.25)))</f>
        <v>0.246406570841889</v>
      </c>
      <c r="AB4" s="22" t="n">
        <f aca="false">IF(T4="Y",0,IF(OR(D4="Expired (verified)",D4="Expiring: notice window (verified)",D4="Expiring: 10-yr horizon (verified)",D4="Past 30-yr mark (verify)",D4="30-yr mark: notice window (est.)",D4="Year-15 window"),1,0)+IF(ISNUMBER(O4),IF(O4&gt;=Scoring!$B$10,1,0),0)+IF(AND(ISNUMBER(L4),ISNUMBER(J4)),IF(J4&gt;0,IF(L4/J4&gt;=Scoring!$B$11,1,0),0),0)+IF(ISNUMBER(Z4),MIN(Z4,3),0))</f>
        <v>3</v>
      </c>
      <c r="AC4" s="22" t="n">
        <f aca="false">IF(AB4&gt;=3,Scoring!$C$24,IF(AB4=2,Scoring!$C$23,IF(AB4=1,Scoring!$C$22,0)))</f>
        <v>25</v>
      </c>
      <c r="AD4" s="22" t="n">
        <f aca="false">IF(T4="Y",0,IF(ISNUMBER(X4),IF(X4&gt;0.7,Scoring!$C$25,IF(X4&gt;=0.5,Scoring!$C$26,IF(X4&gt;=0.3,Scoring!$C$27,Scoring!$C$28))),Scoring!$C$29))</f>
        <v>10</v>
      </c>
      <c r="AE4" s="22" t="n">
        <f aca="false">IF(D4="Expiring: notice window (verified)",Scoring!$C$30,IF(OR(D4="Expired (verified)",D4="30-yr mark: notice window (est.)",D4="Year-15 window"),Scoring!$C$31,IF(D4="Expiring: 10-yr horizon (verified)",Scoring!$C$32,IF(D4="Past 30-yr mark (verify)",Scoring!$C$33,IF(OR(D4="Credit period",D4="Superseded record"),Scoring!$C$35,Scoring!$C$34)))))</f>
        <v>14</v>
      </c>
      <c r="AF4" s="22" t="n">
        <f aca="false">IF(T4="Y",0,IF(ISNUMBER(V4),IF(Scoring!$B$4-V4&gt;15,Scoring!$C$36,IF(Scoring!$B$4-V4&gt;=10,Scoring!$C$37,IF(Scoring!$B$4-V4&gt;=5,Scoring!$C$38,Scoring!$C$39))),IF(OR(N4="",D4="Out of program"),Scoring!$C$40,IF(O4&gt;15,Scoring!$C$36,IF(O4&gt;=10,Scoring!$C$37,IF(O4&gt;=5,Scoring!$C$38,Scoring!$C$39))))))</f>
        <v>15</v>
      </c>
      <c r="AG4" s="22" t="n">
        <f aca="false">IF(T4="Y",0,IF(Y4="Y",Scoring!$C$41,IF(ISNUMBER(O4),IF(O4&gt;=25,Scoring!$C$42,IF(O4&gt;=15,Scoring!$C$43,Scoring!$C$44)),Scoring!$C$44)))</f>
        <v>8</v>
      </c>
      <c r="AH4" s="22" t="n">
        <f aca="false">IF(T4="Y",0,IF(W4="",Scoring!$C$49,IFERROR(VLOOKUP(W4,Scoring!$B$45:$C$48,2,FALSE()),Scoring!$C$49)))</f>
        <v>5</v>
      </c>
      <c r="AI4" s="23" t="n">
        <f aca="false">C4+IF(ISNUMBER(J4),J4,0)/100000+(10000-ROW())/1000000000</f>
        <v>77.001249996</v>
      </c>
      <c r="AJ4" s="18"/>
      <c r="AK4" s="18"/>
      <c r="AL4" s="18"/>
      <c r="AM4" s="18"/>
    </row>
    <row r="5" customFormat="false" ht="15" hidden="false" customHeight="false" outlineLevel="0" collapsed="false">
      <c r="A5" s="15" t="n">
        <f aca="false">RANK(AI5,$AI$2:$AI$755)</f>
        <v>4</v>
      </c>
      <c r="B5" s="16" t="str">
        <f aca="false">IF(T5="Y","Superseded",IF(C5&gt;=Scoring!$B$16,"Immediate",IF(C5&gt;=Scoring!$B$17,"This week",IF(C5&gt;=Scoring!$B$18,"Nurture","Low"))))</f>
        <v>Immediate</v>
      </c>
      <c r="C5" s="3" t="n">
        <f aca="false">SUM(AC5:AH5)</f>
        <v>77</v>
      </c>
      <c r="D5" s="15" t="str">
        <f aca="false">IF(T5="Y","Superseded record",IF(AND(U5&lt;&gt;"",AA5&lt;0),"Expired (verified)",IF(AND(U5&lt;&gt;"",AA5&lt;=Scoring!$B$5),"Expiring: notice window (verified)",IF(AND(U5&lt;&gt;"",AA5&lt;=Scoring!$B$6),"Expiring: 10-yr horizon (verified)",IF(M5="No Longer Monitored","Out of program",IF(N5="","Unknown vintage",IF(N5&lt;Scoring!$B$12,"Pre-1990, still listed",IF(AND(U5="",AA5&lt;0),"Past 30-yr mark (verify)",IF(AND(U5="",AA5&lt;=Scoring!$B$5),"30-yr mark: notice window (est.)",IF(AND(O5&gt;=Scoring!$B$7,O5&lt;=Scoring!$B$8),"Year-15 window",IF(O5&gt;=Scoring!$B$9,"Recap window",IF(O5&gt;=11,"Late compliance","Credit period"))))))))))))</f>
        <v>30-yr mark: notice window (est.)</v>
      </c>
      <c r="E5" s="15" t="s">
        <v>109</v>
      </c>
      <c r="F5" s="15" t="s">
        <v>110</v>
      </c>
      <c r="G5" s="15" t="s">
        <v>111</v>
      </c>
      <c r="H5" s="15" t="s">
        <v>97</v>
      </c>
      <c r="I5" s="15" t="s">
        <v>112</v>
      </c>
      <c r="J5" s="15" t="n">
        <v>96</v>
      </c>
      <c r="K5" s="15" t="n">
        <v>48</v>
      </c>
      <c r="L5" s="15" t="n">
        <f aca="false">IF(OR(J5="",K5=""),"",MAX(J5-K5,0))</f>
        <v>48</v>
      </c>
      <c r="M5" s="15" t="s">
        <v>99</v>
      </c>
      <c r="N5" s="17" t="n">
        <v>1999</v>
      </c>
      <c r="O5" s="15" t="n">
        <f aca="false">IF(N5="","",Scoring!$B$4-N5)</f>
        <v>27</v>
      </c>
      <c r="P5" s="15" t="n">
        <f aca="false">IF(N5="","",N5+14)</f>
        <v>2013</v>
      </c>
      <c r="Q5" s="15" t="n">
        <f aca="false">IF(N5="","",IF(N5&lt;Scoring!$B$12,"n/a (pre-1990)",N5+Scoring!$B$13))</f>
        <v>2028</v>
      </c>
      <c r="R5" s="15" t="str">
        <f aca="false">IF(J5="","Unknown",IF(J5&gt;=5,"Yes","No (under 5 units)"))</f>
        <v>Yes</v>
      </c>
      <c r="S5" s="15"/>
      <c r="T5" s="18"/>
      <c r="U5" s="19"/>
      <c r="V5" s="18"/>
      <c r="W5" s="18"/>
      <c r="X5" s="20"/>
      <c r="Y5" s="18"/>
      <c r="Z5" s="18"/>
      <c r="AA5" s="21" t="n">
        <f aca="false">IF(U5&lt;&gt;"",(U5-Scoring!$B$3)/365.25,IF(N5="","",IF(N5&lt;Scoring!$B$12,"",(DATE(N5+Scoring!$B$13,12,31)-Scoring!$B$3)/365.25)))</f>
        <v>2.24777549623546</v>
      </c>
      <c r="AB5" s="22" t="n">
        <f aca="false">IF(T5="Y",0,IF(OR(D5="Expired (verified)",D5="Expiring: notice window (verified)",D5="Expiring: 10-yr horizon (verified)",D5="Past 30-yr mark (verify)",D5="30-yr mark: notice window (est.)",D5="Year-15 window"),1,0)+IF(ISNUMBER(O5),IF(O5&gt;=Scoring!$B$10,1,0),0)+IF(AND(ISNUMBER(L5),ISNUMBER(J5)),IF(J5&gt;0,IF(L5/J5&gt;=Scoring!$B$11,1,0),0),0)+IF(ISNUMBER(Z5),MIN(Z5,3),0))</f>
        <v>3</v>
      </c>
      <c r="AC5" s="22" t="n">
        <f aca="false">IF(AB5&gt;=3,Scoring!$C$24,IF(AB5=2,Scoring!$C$23,IF(AB5=1,Scoring!$C$22,0)))</f>
        <v>25</v>
      </c>
      <c r="AD5" s="22" t="n">
        <f aca="false">IF(T5="Y",0,IF(ISNUMBER(X5),IF(X5&gt;0.7,Scoring!$C$25,IF(X5&gt;=0.5,Scoring!$C$26,IF(X5&gt;=0.3,Scoring!$C$27,Scoring!$C$28))),Scoring!$C$29))</f>
        <v>10</v>
      </c>
      <c r="AE5" s="22" t="n">
        <f aca="false">IF(D5="Expiring: notice window (verified)",Scoring!$C$30,IF(OR(D5="Expired (verified)",D5="30-yr mark: notice window (est.)",D5="Year-15 window"),Scoring!$C$31,IF(D5="Expiring: 10-yr horizon (verified)",Scoring!$C$32,IF(D5="Past 30-yr mark (verify)",Scoring!$C$33,IF(OR(D5="Credit period",D5="Superseded record"),Scoring!$C$35,Scoring!$C$34)))))</f>
        <v>14</v>
      </c>
      <c r="AF5" s="22" t="n">
        <f aca="false">IF(T5="Y",0,IF(ISNUMBER(V5),IF(Scoring!$B$4-V5&gt;15,Scoring!$C$36,IF(Scoring!$B$4-V5&gt;=10,Scoring!$C$37,IF(Scoring!$B$4-V5&gt;=5,Scoring!$C$38,Scoring!$C$39))),IF(OR(N5="",D5="Out of program"),Scoring!$C$40,IF(O5&gt;15,Scoring!$C$36,IF(O5&gt;=10,Scoring!$C$37,IF(O5&gt;=5,Scoring!$C$38,Scoring!$C$39))))))</f>
        <v>15</v>
      </c>
      <c r="AG5" s="22" t="n">
        <f aca="false">IF(T5="Y",0,IF(Y5="Y",Scoring!$C$41,IF(ISNUMBER(O5),IF(O5&gt;=25,Scoring!$C$42,IF(O5&gt;=15,Scoring!$C$43,Scoring!$C$44)),Scoring!$C$44)))</f>
        <v>8</v>
      </c>
      <c r="AH5" s="22" t="n">
        <f aca="false">IF(T5="Y",0,IF(W5="",Scoring!$C$49,IFERROR(VLOOKUP(W5,Scoring!$B$45:$C$48,2,FALSE()),Scoring!$C$49)))</f>
        <v>5</v>
      </c>
      <c r="AI5" s="23" t="n">
        <f aca="false">C5+IF(ISNUMBER(J5),J5,0)/100000+(10000-ROW())/1000000000</f>
        <v>77.000969995</v>
      </c>
      <c r="AJ5" s="18"/>
      <c r="AK5" s="18"/>
      <c r="AL5" s="18"/>
      <c r="AM5" s="18"/>
    </row>
    <row r="6" customFormat="false" ht="15" hidden="false" customHeight="false" outlineLevel="0" collapsed="false">
      <c r="A6" s="15" t="n">
        <f aca="false">RANK(AI6,$AI$2:$AI$755)</f>
        <v>5</v>
      </c>
      <c r="B6" s="16" t="str">
        <f aca="false">IF(T6="Y","Superseded",IF(C6&gt;=Scoring!$B$16,"Immediate",IF(C6&gt;=Scoring!$B$17,"This week",IF(C6&gt;=Scoring!$B$18,"Nurture","Low"))))</f>
        <v>Immediate</v>
      </c>
      <c r="C6" s="3" t="n">
        <f aca="false">SUM(AC6:AH6)</f>
        <v>77</v>
      </c>
      <c r="D6" s="15" t="str">
        <f aca="false">IF(T6="Y","Superseded record",IF(AND(U6&lt;&gt;"",AA6&lt;0),"Expired (verified)",IF(AND(U6&lt;&gt;"",AA6&lt;=Scoring!$B$5),"Expiring: notice window (verified)",IF(AND(U6&lt;&gt;"",AA6&lt;=Scoring!$B$6),"Expiring: 10-yr horizon (verified)",IF(M6="No Longer Monitored","Out of program",IF(N6="","Unknown vintage",IF(N6&lt;Scoring!$B$12,"Pre-1990, still listed",IF(AND(U6="",AA6&lt;0),"Past 30-yr mark (verify)",IF(AND(U6="",AA6&lt;=Scoring!$B$5),"30-yr mark: notice window (est.)",IF(AND(O6&gt;=Scoring!$B$7,O6&lt;=Scoring!$B$8),"Year-15 window",IF(O6&gt;=Scoring!$B$9,"Recap window",IF(O6&gt;=11,"Late compliance","Credit period"))))))))))))</f>
        <v>30-yr mark: notice window (est.)</v>
      </c>
      <c r="E6" s="15" t="s">
        <v>113</v>
      </c>
      <c r="F6" s="15" t="s">
        <v>114</v>
      </c>
      <c r="G6" s="15" t="s">
        <v>115</v>
      </c>
      <c r="H6" s="15" t="s">
        <v>97</v>
      </c>
      <c r="I6" s="15" t="s">
        <v>116</v>
      </c>
      <c r="J6" s="15" t="n">
        <v>51</v>
      </c>
      <c r="K6" s="15" t="n">
        <v>23</v>
      </c>
      <c r="L6" s="15" t="n">
        <f aca="false">IF(OR(J6="",K6=""),"",MAX(J6-K6,0))</f>
        <v>28</v>
      </c>
      <c r="M6" s="15" t="s">
        <v>99</v>
      </c>
      <c r="N6" s="17" t="n">
        <v>1997</v>
      </c>
      <c r="O6" s="15" t="n">
        <f aca="false">IF(N6="","",Scoring!$B$4-N6)</f>
        <v>29</v>
      </c>
      <c r="P6" s="15" t="n">
        <f aca="false">IF(N6="","",N6+14)</f>
        <v>2011</v>
      </c>
      <c r="Q6" s="15" t="n">
        <f aca="false">IF(N6="","",IF(N6&lt;Scoring!$B$12,"n/a (pre-1990)",N6+Scoring!$B$13))</f>
        <v>2026</v>
      </c>
      <c r="R6" s="15" t="str">
        <f aca="false">IF(J6="","Unknown",IF(J6&gt;=5,"Yes","No (under 5 units)"))</f>
        <v>Yes</v>
      </c>
      <c r="S6" s="15"/>
      <c r="T6" s="18"/>
      <c r="U6" s="19"/>
      <c r="V6" s="18"/>
      <c r="W6" s="18"/>
      <c r="X6" s="20"/>
      <c r="Y6" s="18"/>
      <c r="Z6" s="18"/>
      <c r="AA6" s="21" t="n">
        <f aca="false">IF(U6&lt;&gt;"",(U6-Scoring!$B$3)/365.25,IF(N6="","",IF(N6&lt;Scoring!$B$12,"",(DATE(N6+Scoring!$B$13,12,31)-Scoring!$B$3)/365.25)))</f>
        <v>0.246406570841889</v>
      </c>
      <c r="AB6" s="22" t="n">
        <f aca="false">IF(T6="Y",0,IF(OR(D6="Expired (verified)",D6="Expiring: notice window (verified)",D6="Expiring: 10-yr horizon (verified)",D6="Past 30-yr mark (verify)",D6="30-yr mark: notice window (est.)",D6="Year-15 window"),1,0)+IF(ISNUMBER(O6),IF(O6&gt;=Scoring!$B$10,1,0),0)+IF(AND(ISNUMBER(L6),ISNUMBER(J6)),IF(J6&gt;0,IF(L6/J6&gt;=Scoring!$B$11,1,0),0),0)+IF(ISNUMBER(Z6),MIN(Z6,3),0))</f>
        <v>3</v>
      </c>
      <c r="AC6" s="22" t="n">
        <f aca="false">IF(AB6&gt;=3,Scoring!$C$24,IF(AB6=2,Scoring!$C$23,IF(AB6=1,Scoring!$C$22,0)))</f>
        <v>25</v>
      </c>
      <c r="AD6" s="22" t="n">
        <f aca="false">IF(T6="Y",0,IF(ISNUMBER(X6),IF(X6&gt;0.7,Scoring!$C$25,IF(X6&gt;=0.5,Scoring!$C$26,IF(X6&gt;=0.3,Scoring!$C$27,Scoring!$C$28))),Scoring!$C$29))</f>
        <v>10</v>
      </c>
      <c r="AE6" s="22" t="n">
        <f aca="false">IF(D6="Expiring: notice window (verified)",Scoring!$C$30,IF(OR(D6="Expired (verified)",D6="30-yr mark: notice window (est.)",D6="Year-15 window"),Scoring!$C$31,IF(D6="Expiring: 10-yr horizon (verified)",Scoring!$C$32,IF(D6="Past 30-yr mark (verify)",Scoring!$C$33,IF(OR(D6="Credit period",D6="Superseded record"),Scoring!$C$35,Scoring!$C$34)))))</f>
        <v>14</v>
      </c>
      <c r="AF6" s="22" t="n">
        <f aca="false">IF(T6="Y",0,IF(ISNUMBER(V6),IF(Scoring!$B$4-V6&gt;15,Scoring!$C$36,IF(Scoring!$B$4-V6&gt;=10,Scoring!$C$37,IF(Scoring!$B$4-V6&gt;=5,Scoring!$C$38,Scoring!$C$39))),IF(OR(N6="",D6="Out of program"),Scoring!$C$40,IF(O6&gt;15,Scoring!$C$36,IF(O6&gt;=10,Scoring!$C$37,IF(O6&gt;=5,Scoring!$C$38,Scoring!$C$39))))))</f>
        <v>15</v>
      </c>
      <c r="AG6" s="22" t="n">
        <f aca="false">IF(T6="Y",0,IF(Y6="Y",Scoring!$C$41,IF(ISNUMBER(O6),IF(O6&gt;=25,Scoring!$C$42,IF(O6&gt;=15,Scoring!$C$43,Scoring!$C$44)),Scoring!$C$44)))</f>
        <v>8</v>
      </c>
      <c r="AH6" s="22" t="n">
        <f aca="false">IF(T6="Y",0,IF(W6="",Scoring!$C$49,IFERROR(VLOOKUP(W6,Scoring!$B$45:$C$48,2,FALSE()),Scoring!$C$49)))</f>
        <v>5</v>
      </c>
      <c r="AI6" s="23" t="n">
        <f aca="false">C6+IF(ISNUMBER(J6),J6,0)/100000+(10000-ROW())/1000000000</f>
        <v>77.000519994</v>
      </c>
      <c r="AJ6" s="18"/>
      <c r="AK6" s="18"/>
      <c r="AL6" s="18"/>
      <c r="AM6" s="18"/>
    </row>
    <row r="7" customFormat="false" ht="15" hidden="false" customHeight="false" outlineLevel="0" collapsed="false">
      <c r="A7" s="15" t="n">
        <f aca="false">RANK(AI7,$AI$2:$AI$755)</f>
        <v>6</v>
      </c>
      <c r="B7" s="16" t="str">
        <f aca="false">IF(T7="Y","Superseded",IF(C7&gt;=Scoring!$B$16,"Immediate",IF(C7&gt;=Scoring!$B$17,"This week",IF(C7&gt;=Scoring!$B$18,"Nurture","Low"))))</f>
        <v>Immediate</v>
      </c>
      <c r="C7" s="3" t="n">
        <f aca="false">SUM(AC7:AH7)</f>
        <v>77</v>
      </c>
      <c r="D7" s="15" t="str">
        <f aca="false">IF(T7="Y","Superseded record",IF(AND(U7&lt;&gt;"",AA7&lt;0),"Expired (verified)",IF(AND(U7&lt;&gt;"",AA7&lt;=Scoring!$B$5),"Expiring: notice window (verified)",IF(AND(U7&lt;&gt;"",AA7&lt;=Scoring!$B$6),"Expiring: 10-yr horizon (verified)",IF(M7="No Longer Monitored","Out of program",IF(N7="","Unknown vintage",IF(N7&lt;Scoring!$B$12,"Pre-1990, still listed",IF(AND(U7="",AA7&lt;0),"Past 30-yr mark (verify)",IF(AND(U7="",AA7&lt;=Scoring!$B$5),"30-yr mark: notice window (est.)",IF(AND(O7&gt;=Scoring!$B$7,O7&lt;=Scoring!$B$8),"Year-15 window",IF(O7&gt;=Scoring!$B$9,"Recap window",IF(O7&gt;=11,"Late compliance","Credit period"))))))))))))</f>
        <v>30-yr mark: notice window (est.)</v>
      </c>
      <c r="E7" s="15" t="s">
        <v>117</v>
      </c>
      <c r="F7" s="15" t="s">
        <v>118</v>
      </c>
      <c r="G7" s="15" t="s">
        <v>119</v>
      </c>
      <c r="H7" s="15" t="s">
        <v>120</v>
      </c>
      <c r="I7" s="15" t="s">
        <v>121</v>
      </c>
      <c r="J7" s="15" t="n">
        <v>48</v>
      </c>
      <c r="K7" s="15" t="n">
        <v>40</v>
      </c>
      <c r="L7" s="15" t="n">
        <f aca="false">IF(OR(J7="",K7=""),"",MAX(J7-K7,0))</f>
        <v>8</v>
      </c>
      <c r="M7" s="15" t="s">
        <v>99</v>
      </c>
      <c r="N7" s="17" t="n">
        <v>1999</v>
      </c>
      <c r="O7" s="15" t="n">
        <f aca="false">IF(N7="","",Scoring!$B$4-N7)</f>
        <v>27</v>
      </c>
      <c r="P7" s="15" t="n">
        <f aca="false">IF(N7="","",N7+14)</f>
        <v>2013</v>
      </c>
      <c r="Q7" s="15" t="n">
        <f aca="false">IF(N7="","",IF(N7&lt;Scoring!$B$12,"n/a (pre-1990)",N7+Scoring!$B$13))</f>
        <v>2028</v>
      </c>
      <c r="R7" s="15" t="str">
        <f aca="false">IF(J7="","Unknown",IF(J7&gt;=5,"Yes","No (under 5 units)"))</f>
        <v>Yes</v>
      </c>
      <c r="S7" s="15"/>
      <c r="T7" s="18"/>
      <c r="U7" s="19"/>
      <c r="V7" s="18"/>
      <c r="W7" s="18"/>
      <c r="X7" s="20"/>
      <c r="Y7" s="18"/>
      <c r="Z7" s="18"/>
      <c r="AA7" s="21" t="n">
        <f aca="false">IF(U7&lt;&gt;"",(U7-Scoring!$B$3)/365.25,IF(N7="","",IF(N7&lt;Scoring!$B$12,"",(DATE(N7+Scoring!$B$13,12,31)-Scoring!$B$3)/365.25)))</f>
        <v>2.24777549623546</v>
      </c>
      <c r="AB7" s="22" t="n">
        <f aca="false">IF(T7="Y",0,IF(OR(D7="Expired (verified)",D7="Expiring: notice window (verified)",D7="Expiring: 10-yr horizon (verified)",D7="Past 30-yr mark (verify)",D7="30-yr mark: notice window (est.)",D7="Year-15 window"),1,0)+IF(ISNUMBER(O7),IF(O7&gt;=Scoring!$B$10,1,0),0)+IF(AND(ISNUMBER(L7),ISNUMBER(J7)),IF(J7&gt;0,IF(L7/J7&gt;=Scoring!$B$11,1,0),0),0)+IF(ISNUMBER(Z7),MIN(Z7,3),0))</f>
        <v>3</v>
      </c>
      <c r="AC7" s="22" t="n">
        <f aca="false">IF(AB7&gt;=3,Scoring!$C$24,IF(AB7=2,Scoring!$C$23,IF(AB7=1,Scoring!$C$22,0)))</f>
        <v>25</v>
      </c>
      <c r="AD7" s="22" t="n">
        <f aca="false">IF(T7="Y",0,IF(ISNUMBER(X7),IF(X7&gt;0.7,Scoring!$C$25,IF(X7&gt;=0.5,Scoring!$C$26,IF(X7&gt;=0.3,Scoring!$C$27,Scoring!$C$28))),Scoring!$C$29))</f>
        <v>10</v>
      </c>
      <c r="AE7" s="22" t="n">
        <f aca="false">IF(D7="Expiring: notice window (verified)",Scoring!$C$30,IF(OR(D7="Expired (verified)",D7="30-yr mark: notice window (est.)",D7="Year-15 window"),Scoring!$C$31,IF(D7="Expiring: 10-yr horizon (verified)",Scoring!$C$32,IF(D7="Past 30-yr mark (verify)",Scoring!$C$33,IF(OR(D7="Credit period",D7="Superseded record"),Scoring!$C$35,Scoring!$C$34)))))</f>
        <v>14</v>
      </c>
      <c r="AF7" s="22" t="n">
        <f aca="false">IF(T7="Y",0,IF(ISNUMBER(V7),IF(Scoring!$B$4-V7&gt;15,Scoring!$C$36,IF(Scoring!$B$4-V7&gt;=10,Scoring!$C$37,IF(Scoring!$B$4-V7&gt;=5,Scoring!$C$38,Scoring!$C$39))),IF(OR(N7="",D7="Out of program"),Scoring!$C$40,IF(O7&gt;15,Scoring!$C$36,IF(O7&gt;=10,Scoring!$C$37,IF(O7&gt;=5,Scoring!$C$38,Scoring!$C$39))))))</f>
        <v>15</v>
      </c>
      <c r="AG7" s="22" t="n">
        <f aca="false">IF(T7="Y",0,IF(Y7="Y",Scoring!$C$41,IF(ISNUMBER(O7),IF(O7&gt;=25,Scoring!$C$42,IF(O7&gt;=15,Scoring!$C$43,Scoring!$C$44)),Scoring!$C$44)))</f>
        <v>8</v>
      </c>
      <c r="AH7" s="22" t="n">
        <f aca="false">IF(T7="Y",0,IF(W7="",Scoring!$C$49,IFERROR(VLOOKUP(W7,Scoring!$B$45:$C$48,2,FALSE()),Scoring!$C$49)))</f>
        <v>5</v>
      </c>
      <c r="AI7" s="23" t="n">
        <f aca="false">C7+IF(ISNUMBER(J7),J7,0)/100000+(10000-ROW())/1000000000</f>
        <v>77.000489993</v>
      </c>
      <c r="AJ7" s="18"/>
      <c r="AK7" s="18"/>
      <c r="AL7" s="18"/>
      <c r="AM7" s="18"/>
    </row>
    <row r="8" customFormat="false" ht="15" hidden="false" customHeight="false" outlineLevel="0" collapsed="false">
      <c r="A8" s="15" t="n">
        <f aca="false">RANK(AI8,$AI$2:$AI$755)</f>
        <v>7</v>
      </c>
      <c r="B8" s="16" t="str">
        <f aca="false">IF(T8="Y","Superseded",IF(C8&gt;=Scoring!$B$16,"Immediate",IF(C8&gt;=Scoring!$B$17,"This week",IF(C8&gt;=Scoring!$B$18,"Nurture","Low"))))</f>
        <v>Immediate</v>
      </c>
      <c r="C8" s="3" t="n">
        <f aca="false">SUM(AC8:AH8)</f>
        <v>77</v>
      </c>
      <c r="D8" s="15" t="str">
        <f aca="false">IF(T8="Y","Superseded record",IF(AND(U8&lt;&gt;"",AA8&lt;0),"Expired (verified)",IF(AND(U8&lt;&gt;"",AA8&lt;=Scoring!$B$5),"Expiring: notice window (verified)",IF(AND(U8&lt;&gt;"",AA8&lt;=Scoring!$B$6),"Expiring: 10-yr horizon (verified)",IF(M8="No Longer Monitored","Out of program",IF(N8="","Unknown vintage",IF(N8&lt;Scoring!$B$12,"Pre-1990, still listed",IF(AND(U8="",AA8&lt;0),"Past 30-yr mark (verify)",IF(AND(U8="",AA8&lt;=Scoring!$B$5),"30-yr mark: notice window (est.)",IF(AND(O8&gt;=Scoring!$B$7,O8&lt;=Scoring!$B$8),"Year-15 window",IF(O8&gt;=Scoring!$B$9,"Recap window",IF(O8&gt;=11,"Late compliance","Credit period"))))))))))))</f>
        <v>30-yr mark: notice window (est.)</v>
      </c>
      <c r="E8" s="15" t="s">
        <v>122</v>
      </c>
      <c r="F8" s="15" t="s">
        <v>123</v>
      </c>
      <c r="G8" s="15" t="s">
        <v>124</v>
      </c>
      <c r="H8" s="15" t="s">
        <v>125</v>
      </c>
      <c r="I8" s="15" t="s">
        <v>126</v>
      </c>
      <c r="J8" s="15" t="n">
        <v>31</v>
      </c>
      <c r="K8" s="15" t="n">
        <v>16</v>
      </c>
      <c r="L8" s="15" t="n">
        <f aca="false">IF(OR(J8="",K8=""),"",MAX(J8-K8,0))</f>
        <v>15</v>
      </c>
      <c r="M8" s="15" t="s">
        <v>99</v>
      </c>
      <c r="N8" s="17" t="n">
        <v>1999</v>
      </c>
      <c r="O8" s="15" t="n">
        <f aca="false">IF(N8="","",Scoring!$B$4-N8)</f>
        <v>27</v>
      </c>
      <c r="P8" s="15" t="n">
        <f aca="false">IF(N8="","",N8+14)</f>
        <v>2013</v>
      </c>
      <c r="Q8" s="15" t="n">
        <f aca="false">IF(N8="","",IF(N8&lt;Scoring!$B$12,"n/a (pre-1990)",N8+Scoring!$B$13))</f>
        <v>2028</v>
      </c>
      <c r="R8" s="15" t="str">
        <f aca="false">IF(J8="","Unknown",IF(J8&gt;=5,"Yes","No (under 5 units)"))</f>
        <v>Yes</v>
      </c>
      <c r="S8" s="15"/>
      <c r="T8" s="18"/>
      <c r="U8" s="19"/>
      <c r="V8" s="18"/>
      <c r="W8" s="18"/>
      <c r="X8" s="20"/>
      <c r="Y8" s="18"/>
      <c r="Z8" s="18"/>
      <c r="AA8" s="21" t="n">
        <f aca="false">IF(U8&lt;&gt;"",(U8-Scoring!$B$3)/365.25,IF(N8="","",IF(N8&lt;Scoring!$B$12,"",(DATE(N8+Scoring!$B$13,12,31)-Scoring!$B$3)/365.25)))</f>
        <v>2.24777549623546</v>
      </c>
      <c r="AB8" s="22" t="n">
        <f aca="false">IF(T8="Y",0,IF(OR(D8="Expired (verified)",D8="Expiring: notice window (verified)",D8="Expiring: 10-yr horizon (verified)",D8="Past 30-yr mark (verify)",D8="30-yr mark: notice window (est.)",D8="Year-15 window"),1,0)+IF(ISNUMBER(O8),IF(O8&gt;=Scoring!$B$10,1,0),0)+IF(AND(ISNUMBER(L8),ISNUMBER(J8)),IF(J8&gt;0,IF(L8/J8&gt;=Scoring!$B$11,1,0),0),0)+IF(ISNUMBER(Z8),MIN(Z8,3),0))</f>
        <v>3</v>
      </c>
      <c r="AC8" s="22" t="n">
        <f aca="false">IF(AB8&gt;=3,Scoring!$C$24,IF(AB8=2,Scoring!$C$23,IF(AB8=1,Scoring!$C$22,0)))</f>
        <v>25</v>
      </c>
      <c r="AD8" s="22" t="n">
        <f aca="false">IF(T8="Y",0,IF(ISNUMBER(X8),IF(X8&gt;0.7,Scoring!$C$25,IF(X8&gt;=0.5,Scoring!$C$26,IF(X8&gt;=0.3,Scoring!$C$27,Scoring!$C$28))),Scoring!$C$29))</f>
        <v>10</v>
      </c>
      <c r="AE8" s="22" t="n">
        <f aca="false">IF(D8="Expiring: notice window (verified)",Scoring!$C$30,IF(OR(D8="Expired (verified)",D8="30-yr mark: notice window (est.)",D8="Year-15 window"),Scoring!$C$31,IF(D8="Expiring: 10-yr horizon (verified)",Scoring!$C$32,IF(D8="Past 30-yr mark (verify)",Scoring!$C$33,IF(OR(D8="Credit period",D8="Superseded record"),Scoring!$C$35,Scoring!$C$34)))))</f>
        <v>14</v>
      </c>
      <c r="AF8" s="22" t="n">
        <f aca="false">IF(T8="Y",0,IF(ISNUMBER(V8),IF(Scoring!$B$4-V8&gt;15,Scoring!$C$36,IF(Scoring!$B$4-V8&gt;=10,Scoring!$C$37,IF(Scoring!$B$4-V8&gt;=5,Scoring!$C$38,Scoring!$C$39))),IF(OR(N8="",D8="Out of program"),Scoring!$C$40,IF(O8&gt;15,Scoring!$C$36,IF(O8&gt;=10,Scoring!$C$37,IF(O8&gt;=5,Scoring!$C$38,Scoring!$C$39))))))</f>
        <v>15</v>
      </c>
      <c r="AG8" s="22" t="n">
        <f aca="false">IF(T8="Y",0,IF(Y8="Y",Scoring!$C$41,IF(ISNUMBER(O8),IF(O8&gt;=25,Scoring!$C$42,IF(O8&gt;=15,Scoring!$C$43,Scoring!$C$44)),Scoring!$C$44)))</f>
        <v>8</v>
      </c>
      <c r="AH8" s="22" t="n">
        <f aca="false">IF(T8="Y",0,IF(W8="",Scoring!$C$49,IFERROR(VLOOKUP(W8,Scoring!$B$45:$C$48,2,FALSE()),Scoring!$C$49)))</f>
        <v>5</v>
      </c>
      <c r="AI8" s="23" t="n">
        <f aca="false">C8+IF(ISNUMBER(J8),J8,0)/100000+(10000-ROW())/1000000000</f>
        <v>77.000319992</v>
      </c>
      <c r="AJ8" s="18"/>
      <c r="AK8" s="18"/>
      <c r="AL8" s="18"/>
      <c r="AM8" s="18"/>
    </row>
    <row r="9" customFormat="false" ht="15" hidden="false" customHeight="false" outlineLevel="0" collapsed="false">
      <c r="A9" s="15" t="n">
        <f aca="false">RANK(AI9,$AI$2:$AI$755)</f>
        <v>8</v>
      </c>
      <c r="B9" s="16" t="str">
        <f aca="false">IF(T9="Y","Superseded",IF(C9&gt;=Scoring!$B$16,"Immediate",IF(C9&gt;=Scoring!$B$17,"This week",IF(C9&gt;=Scoring!$B$18,"Nurture","Low"))))</f>
        <v>Immediate</v>
      </c>
      <c r="C9" s="3" t="n">
        <f aca="false">SUM(AC9:AH9)</f>
        <v>77</v>
      </c>
      <c r="D9" s="15" t="str">
        <f aca="false">IF(T9="Y","Superseded record",IF(AND(U9&lt;&gt;"",AA9&lt;0),"Expired (verified)",IF(AND(U9&lt;&gt;"",AA9&lt;=Scoring!$B$5),"Expiring: notice window (verified)",IF(AND(U9&lt;&gt;"",AA9&lt;=Scoring!$B$6),"Expiring: 10-yr horizon (verified)",IF(M9="No Longer Monitored","Out of program",IF(N9="","Unknown vintage",IF(N9&lt;Scoring!$B$12,"Pre-1990, still listed",IF(AND(U9="",AA9&lt;0),"Past 30-yr mark (verify)",IF(AND(U9="",AA9&lt;=Scoring!$B$5),"30-yr mark: notice window (est.)",IF(AND(O9&gt;=Scoring!$B$7,O9&lt;=Scoring!$B$8),"Year-15 window",IF(O9&gt;=Scoring!$B$9,"Recap window",IF(O9&gt;=11,"Late compliance","Credit period"))))))))))))</f>
        <v>30-yr mark: notice window (est.)</v>
      </c>
      <c r="E9" s="15" t="s">
        <v>127</v>
      </c>
      <c r="F9" s="15" t="s">
        <v>128</v>
      </c>
      <c r="G9" s="15" t="s">
        <v>129</v>
      </c>
      <c r="H9" s="15" t="s">
        <v>130</v>
      </c>
      <c r="I9" s="15" t="s">
        <v>131</v>
      </c>
      <c r="J9" s="15" t="n">
        <v>30</v>
      </c>
      <c r="K9" s="15" t="n">
        <v>27</v>
      </c>
      <c r="L9" s="15" t="n">
        <f aca="false">IF(OR(J9="",K9=""),"",MAX(J9-K9,0))</f>
        <v>3</v>
      </c>
      <c r="M9" s="15" t="s">
        <v>99</v>
      </c>
      <c r="N9" s="17" t="n">
        <v>1999</v>
      </c>
      <c r="O9" s="15" t="n">
        <f aca="false">IF(N9="","",Scoring!$B$4-N9)</f>
        <v>27</v>
      </c>
      <c r="P9" s="15" t="n">
        <f aca="false">IF(N9="","",N9+14)</f>
        <v>2013</v>
      </c>
      <c r="Q9" s="15" t="n">
        <f aca="false">IF(N9="","",IF(N9&lt;Scoring!$B$12,"n/a (pre-1990)",N9+Scoring!$B$13))</f>
        <v>2028</v>
      </c>
      <c r="R9" s="15" t="str">
        <f aca="false">IF(J9="","Unknown",IF(J9&gt;=5,"Yes","No (under 5 units)"))</f>
        <v>Yes</v>
      </c>
      <c r="S9" s="15"/>
      <c r="T9" s="18"/>
      <c r="U9" s="19"/>
      <c r="V9" s="18"/>
      <c r="W9" s="18"/>
      <c r="X9" s="20"/>
      <c r="Y9" s="18"/>
      <c r="Z9" s="18"/>
      <c r="AA9" s="21" t="n">
        <f aca="false">IF(U9&lt;&gt;"",(U9-Scoring!$B$3)/365.25,IF(N9="","",IF(N9&lt;Scoring!$B$12,"",(DATE(N9+Scoring!$B$13,12,31)-Scoring!$B$3)/365.25)))</f>
        <v>2.24777549623546</v>
      </c>
      <c r="AB9" s="22" t="n">
        <f aca="false">IF(T9="Y",0,IF(OR(D9="Expired (verified)",D9="Expiring: notice window (verified)",D9="Expiring: 10-yr horizon (verified)",D9="Past 30-yr mark (verify)",D9="30-yr mark: notice window (est.)",D9="Year-15 window"),1,0)+IF(ISNUMBER(O9),IF(O9&gt;=Scoring!$B$10,1,0),0)+IF(AND(ISNUMBER(L9),ISNUMBER(J9)),IF(J9&gt;0,IF(L9/J9&gt;=Scoring!$B$11,1,0),0),0)+IF(ISNUMBER(Z9),MIN(Z9,3),0))</f>
        <v>3</v>
      </c>
      <c r="AC9" s="22" t="n">
        <f aca="false">IF(AB9&gt;=3,Scoring!$C$24,IF(AB9=2,Scoring!$C$23,IF(AB9=1,Scoring!$C$22,0)))</f>
        <v>25</v>
      </c>
      <c r="AD9" s="22" t="n">
        <f aca="false">IF(T9="Y",0,IF(ISNUMBER(X9),IF(X9&gt;0.7,Scoring!$C$25,IF(X9&gt;=0.5,Scoring!$C$26,IF(X9&gt;=0.3,Scoring!$C$27,Scoring!$C$28))),Scoring!$C$29))</f>
        <v>10</v>
      </c>
      <c r="AE9" s="22" t="n">
        <f aca="false">IF(D9="Expiring: notice window (verified)",Scoring!$C$30,IF(OR(D9="Expired (verified)",D9="30-yr mark: notice window (est.)",D9="Year-15 window"),Scoring!$C$31,IF(D9="Expiring: 10-yr horizon (verified)",Scoring!$C$32,IF(D9="Past 30-yr mark (verify)",Scoring!$C$33,IF(OR(D9="Credit period",D9="Superseded record"),Scoring!$C$35,Scoring!$C$34)))))</f>
        <v>14</v>
      </c>
      <c r="AF9" s="22" t="n">
        <f aca="false">IF(T9="Y",0,IF(ISNUMBER(V9),IF(Scoring!$B$4-V9&gt;15,Scoring!$C$36,IF(Scoring!$B$4-V9&gt;=10,Scoring!$C$37,IF(Scoring!$B$4-V9&gt;=5,Scoring!$C$38,Scoring!$C$39))),IF(OR(N9="",D9="Out of program"),Scoring!$C$40,IF(O9&gt;15,Scoring!$C$36,IF(O9&gt;=10,Scoring!$C$37,IF(O9&gt;=5,Scoring!$C$38,Scoring!$C$39))))))</f>
        <v>15</v>
      </c>
      <c r="AG9" s="22" t="n">
        <f aca="false">IF(T9="Y",0,IF(Y9="Y",Scoring!$C$41,IF(ISNUMBER(O9),IF(O9&gt;=25,Scoring!$C$42,IF(O9&gt;=15,Scoring!$C$43,Scoring!$C$44)),Scoring!$C$44)))</f>
        <v>8</v>
      </c>
      <c r="AH9" s="22" t="n">
        <f aca="false">IF(T9="Y",0,IF(W9="",Scoring!$C$49,IFERROR(VLOOKUP(W9,Scoring!$B$45:$C$48,2,FALSE()),Scoring!$C$49)))</f>
        <v>5</v>
      </c>
      <c r="AI9" s="23" t="n">
        <f aca="false">C9+IF(ISNUMBER(J9),J9,0)/100000+(10000-ROW())/1000000000</f>
        <v>77.000309991</v>
      </c>
      <c r="AJ9" s="18"/>
      <c r="AK9" s="18"/>
      <c r="AL9" s="18"/>
      <c r="AM9" s="18"/>
    </row>
    <row r="10" customFormat="false" ht="15" hidden="false" customHeight="false" outlineLevel="0" collapsed="false">
      <c r="A10" s="15" t="n">
        <f aca="false">RANK(AI10,$AI$2:$AI$755)</f>
        <v>9</v>
      </c>
      <c r="B10" s="16" t="str">
        <f aca="false">IF(T10="Y","Superseded",IF(C10&gt;=Scoring!$B$16,"Immediate",IF(C10&gt;=Scoring!$B$17,"This week",IF(C10&gt;=Scoring!$B$18,"Nurture","Low"))))</f>
        <v>This week</v>
      </c>
      <c r="C10" s="3" t="n">
        <f aca="false">SUM(AC10:AH10)</f>
        <v>71</v>
      </c>
      <c r="D10" s="15" t="str">
        <f aca="false">IF(T10="Y","Superseded record",IF(AND(U10&lt;&gt;"",AA10&lt;0),"Expired (verified)",IF(AND(U10&lt;&gt;"",AA10&lt;=Scoring!$B$5),"Expiring: notice window (verified)",IF(AND(U10&lt;&gt;"",AA10&lt;=Scoring!$B$6),"Expiring: 10-yr horizon (verified)",IF(M10="No Longer Monitored","Out of program",IF(N10="","Unknown vintage",IF(N10&lt;Scoring!$B$12,"Pre-1990, still listed",IF(AND(U10="",AA10&lt;0),"Past 30-yr mark (verify)",IF(AND(U10="",AA10&lt;=Scoring!$B$5),"30-yr mark: notice window (est.)",IF(AND(O10&gt;=Scoring!$B$7,O10&lt;=Scoring!$B$8),"Year-15 window",IF(O10&gt;=Scoring!$B$9,"Recap window",IF(O10&gt;=11,"Late compliance","Credit period"))))))))))))</f>
        <v>Past 30-yr mark (verify)</v>
      </c>
      <c r="E10" s="15" t="s">
        <v>132</v>
      </c>
      <c r="F10" s="15" t="s">
        <v>133</v>
      </c>
      <c r="G10" s="15" t="s">
        <v>134</v>
      </c>
      <c r="H10" s="15" t="s">
        <v>97</v>
      </c>
      <c r="I10" s="15" t="s">
        <v>98</v>
      </c>
      <c r="J10" s="15" t="n">
        <v>119</v>
      </c>
      <c r="K10" s="15" t="n">
        <v>100</v>
      </c>
      <c r="L10" s="15" t="n">
        <f aca="false">IF(OR(J10="",K10=""),"",MAX(J10-K10,0))</f>
        <v>19</v>
      </c>
      <c r="M10" s="15" t="s">
        <v>99</v>
      </c>
      <c r="N10" s="17" t="n">
        <v>1994</v>
      </c>
      <c r="O10" s="15" t="n">
        <f aca="false">IF(N10="","",Scoring!$B$4-N10)</f>
        <v>32</v>
      </c>
      <c r="P10" s="15" t="n">
        <f aca="false">IF(N10="","",N10+14)</f>
        <v>2008</v>
      </c>
      <c r="Q10" s="15" t="n">
        <f aca="false">IF(N10="","",IF(N10&lt;Scoring!$B$12,"n/a (pre-1990)",N10+Scoring!$B$13))</f>
        <v>2023</v>
      </c>
      <c r="R10" s="15" t="str">
        <f aca="false">IF(J10="","Unknown",IF(J10&gt;=5,"Yes","No (under 5 units)"))</f>
        <v>Yes</v>
      </c>
      <c r="S10" s="15"/>
      <c r="T10" s="18"/>
      <c r="U10" s="19"/>
      <c r="V10" s="18"/>
      <c r="W10" s="18"/>
      <c r="X10" s="20"/>
      <c r="Y10" s="18"/>
      <c r="Z10" s="18"/>
      <c r="AA10" s="21" t="n">
        <f aca="false">IF(U10&lt;&gt;"",(U10-Scoring!$B$3)/365.25,IF(N10="","",IF(N10&lt;Scoring!$B$12,"",(DATE(N10+Scoring!$B$13,12,31)-Scoring!$B$3)/365.25)))</f>
        <v>-2.75427789185489</v>
      </c>
      <c r="AB10" s="22" t="n">
        <f aca="false">IF(T10="Y",0,IF(OR(D10="Expired (verified)",D10="Expiring: notice window (verified)",D10="Expiring: 10-yr horizon (verified)",D10="Past 30-yr mark (verify)",D10="30-yr mark: notice window (est.)",D10="Year-15 window"),1,0)+IF(ISNUMBER(O10),IF(O10&gt;=Scoring!$B$10,1,0),0)+IF(AND(ISNUMBER(L10),ISNUMBER(J10)),IF(J10&gt;0,IF(L10/J10&gt;=Scoring!$B$11,1,0),0),0)+IF(ISNUMBER(Z10),MIN(Z10,3),0))</f>
        <v>3</v>
      </c>
      <c r="AC10" s="22" t="n">
        <f aca="false">IF(AB10&gt;=3,Scoring!$C$24,IF(AB10=2,Scoring!$C$23,IF(AB10=1,Scoring!$C$22,0)))</f>
        <v>25</v>
      </c>
      <c r="AD10" s="22" t="n">
        <f aca="false">IF(T10="Y",0,IF(ISNUMBER(X10),IF(X10&gt;0.7,Scoring!$C$25,IF(X10&gt;=0.5,Scoring!$C$26,IF(X10&gt;=0.3,Scoring!$C$27,Scoring!$C$28))),Scoring!$C$29))</f>
        <v>10</v>
      </c>
      <c r="AE10" s="22" t="n">
        <f aca="false">IF(D10="Expiring: notice window (verified)",Scoring!$C$30,IF(OR(D10="Expired (verified)",D10="30-yr mark: notice window (est.)",D10="Year-15 window"),Scoring!$C$31,IF(D10="Expiring: 10-yr horizon (verified)",Scoring!$C$32,IF(D10="Past 30-yr mark (verify)",Scoring!$C$33,IF(OR(D10="Credit period",D10="Superseded record"),Scoring!$C$35,Scoring!$C$34)))))</f>
        <v>8</v>
      </c>
      <c r="AF10" s="22" t="n">
        <f aca="false">IF(T10="Y",0,IF(ISNUMBER(V10),IF(Scoring!$B$4-V10&gt;15,Scoring!$C$36,IF(Scoring!$B$4-V10&gt;=10,Scoring!$C$37,IF(Scoring!$B$4-V10&gt;=5,Scoring!$C$38,Scoring!$C$39))),IF(OR(N10="",D10="Out of program"),Scoring!$C$40,IF(O10&gt;15,Scoring!$C$36,IF(O10&gt;=10,Scoring!$C$37,IF(O10&gt;=5,Scoring!$C$38,Scoring!$C$39))))))</f>
        <v>15</v>
      </c>
      <c r="AG10" s="22" t="n">
        <f aca="false">IF(T10="Y",0,IF(Y10="Y",Scoring!$C$41,IF(ISNUMBER(O10),IF(O10&gt;=25,Scoring!$C$42,IF(O10&gt;=15,Scoring!$C$43,Scoring!$C$44)),Scoring!$C$44)))</f>
        <v>8</v>
      </c>
      <c r="AH10" s="22" t="n">
        <f aca="false">IF(T10="Y",0,IF(W10="",Scoring!$C$49,IFERROR(VLOOKUP(W10,Scoring!$B$45:$C$48,2,FALSE()),Scoring!$C$49)))</f>
        <v>5</v>
      </c>
      <c r="AI10" s="23" t="n">
        <f aca="false">C10+IF(ISNUMBER(J10),J10,0)/100000+(10000-ROW())/1000000000</f>
        <v>71.00119999</v>
      </c>
      <c r="AJ10" s="18"/>
      <c r="AK10" s="18"/>
      <c r="AL10" s="18"/>
      <c r="AM10" s="18"/>
    </row>
    <row r="11" customFormat="false" ht="15" hidden="false" customHeight="false" outlineLevel="0" collapsed="false">
      <c r="A11" s="15" t="n">
        <f aca="false">RANK(AI11,$AI$2:$AI$755)</f>
        <v>10</v>
      </c>
      <c r="B11" s="16" t="str">
        <f aca="false">IF(T11="Y","Superseded",IF(C11&gt;=Scoring!$B$16,"Immediate",IF(C11&gt;=Scoring!$B$17,"This week",IF(C11&gt;=Scoring!$B$18,"Nurture","Low"))))</f>
        <v>This week</v>
      </c>
      <c r="C11" s="3" t="n">
        <f aca="false">SUM(AC11:AH11)</f>
        <v>71</v>
      </c>
      <c r="D11" s="15" t="str">
        <f aca="false">IF(T11="Y","Superseded record",IF(AND(U11&lt;&gt;"",AA11&lt;0),"Expired (verified)",IF(AND(U11&lt;&gt;"",AA11&lt;=Scoring!$B$5),"Expiring: notice window (verified)",IF(AND(U11&lt;&gt;"",AA11&lt;=Scoring!$B$6),"Expiring: 10-yr horizon (verified)",IF(M11="No Longer Monitored","Out of program",IF(N11="","Unknown vintage",IF(N11&lt;Scoring!$B$12,"Pre-1990, still listed",IF(AND(U11="",AA11&lt;0),"Past 30-yr mark (verify)",IF(AND(U11="",AA11&lt;=Scoring!$B$5),"30-yr mark: notice window (est.)",IF(AND(O11&gt;=Scoring!$B$7,O11&lt;=Scoring!$B$8),"Year-15 window",IF(O11&gt;=Scoring!$B$9,"Recap window",IF(O11&gt;=11,"Late compliance","Credit period"))))))))))))</f>
        <v>Past 30-yr mark (verify)</v>
      </c>
      <c r="E11" s="15" t="s">
        <v>135</v>
      </c>
      <c r="F11" s="15" t="s">
        <v>136</v>
      </c>
      <c r="G11" s="15" t="s">
        <v>137</v>
      </c>
      <c r="H11" s="15" t="s">
        <v>97</v>
      </c>
      <c r="I11" s="15"/>
      <c r="J11" s="15" t="n">
        <v>109</v>
      </c>
      <c r="K11" s="15" t="n">
        <v>98</v>
      </c>
      <c r="L11" s="15" t="n">
        <f aca="false">IF(OR(J11="",K11=""),"",MAX(J11-K11,0))</f>
        <v>11</v>
      </c>
      <c r="M11" s="15" t="s">
        <v>99</v>
      </c>
      <c r="N11" s="17" t="n">
        <v>1994</v>
      </c>
      <c r="O11" s="15" t="n">
        <f aca="false">IF(N11="","",Scoring!$B$4-N11)</f>
        <v>32</v>
      </c>
      <c r="P11" s="15" t="n">
        <f aca="false">IF(N11="","",N11+14)</f>
        <v>2008</v>
      </c>
      <c r="Q11" s="15" t="n">
        <f aca="false">IF(N11="","",IF(N11&lt;Scoring!$B$12,"n/a (pre-1990)",N11+Scoring!$B$13))</f>
        <v>2023</v>
      </c>
      <c r="R11" s="15" t="str">
        <f aca="false">IF(J11="","Unknown",IF(J11&gt;=5,"Yes","No (under 5 units)"))</f>
        <v>Yes</v>
      </c>
      <c r="S11" s="15"/>
      <c r="T11" s="18"/>
      <c r="U11" s="19"/>
      <c r="V11" s="18"/>
      <c r="W11" s="18"/>
      <c r="X11" s="20"/>
      <c r="Y11" s="18"/>
      <c r="Z11" s="18"/>
      <c r="AA11" s="21" t="n">
        <f aca="false">IF(U11&lt;&gt;"",(U11-Scoring!$B$3)/365.25,IF(N11="","",IF(N11&lt;Scoring!$B$12,"",(DATE(N11+Scoring!$B$13,12,31)-Scoring!$B$3)/365.25)))</f>
        <v>-2.75427789185489</v>
      </c>
      <c r="AB11" s="22" t="n">
        <f aca="false">IF(T11="Y",0,IF(OR(D11="Expired (verified)",D11="Expiring: notice window (verified)",D11="Expiring: 10-yr horizon (verified)",D11="Past 30-yr mark (verify)",D11="30-yr mark: notice window (est.)",D11="Year-15 window"),1,0)+IF(ISNUMBER(O11),IF(O11&gt;=Scoring!$B$10,1,0),0)+IF(AND(ISNUMBER(L11),ISNUMBER(J11)),IF(J11&gt;0,IF(L11/J11&gt;=Scoring!$B$11,1,0),0),0)+IF(ISNUMBER(Z11),MIN(Z11,3),0))</f>
        <v>3</v>
      </c>
      <c r="AC11" s="22" t="n">
        <f aca="false">IF(AB11&gt;=3,Scoring!$C$24,IF(AB11=2,Scoring!$C$23,IF(AB11=1,Scoring!$C$22,0)))</f>
        <v>25</v>
      </c>
      <c r="AD11" s="22" t="n">
        <f aca="false">IF(T11="Y",0,IF(ISNUMBER(X11),IF(X11&gt;0.7,Scoring!$C$25,IF(X11&gt;=0.5,Scoring!$C$26,IF(X11&gt;=0.3,Scoring!$C$27,Scoring!$C$28))),Scoring!$C$29))</f>
        <v>10</v>
      </c>
      <c r="AE11" s="22" t="n">
        <f aca="false">IF(D11="Expiring: notice window (verified)",Scoring!$C$30,IF(OR(D11="Expired (verified)",D11="30-yr mark: notice window (est.)",D11="Year-15 window"),Scoring!$C$31,IF(D11="Expiring: 10-yr horizon (verified)",Scoring!$C$32,IF(D11="Past 30-yr mark (verify)",Scoring!$C$33,IF(OR(D11="Credit period",D11="Superseded record"),Scoring!$C$35,Scoring!$C$34)))))</f>
        <v>8</v>
      </c>
      <c r="AF11" s="22" t="n">
        <f aca="false">IF(T11="Y",0,IF(ISNUMBER(V11),IF(Scoring!$B$4-V11&gt;15,Scoring!$C$36,IF(Scoring!$B$4-V11&gt;=10,Scoring!$C$37,IF(Scoring!$B$4-V11&gt;=5,Scoring!$C$38,Scoring!$C$39))),IF(OR(N11="",D11="Out of program"),Scoring!$C$40,IF(O11&gt;15,Scoring!$C$36,IF(O11&gt;=10,Scoring!$C$37,IF(O11&gt;=5,Scoring!$C$38,Scoring!$C$39))))))</f>
        <v>15</v>
      </c>
      <c r="AG11" s="22" t="n">
        <f aca="false">IF(T11="Y",0,IF(Y11="Y",Scoring!$C$41,IF(ISNUMBER(O11),IF(O11&gt;=25,Scoring!$C$42,IF(O11&gt;=15,Scoring!$C$43,Scoring!$C$44)),Scoring!$C$44)))</f>
        <v>8</v>
      </c>
      <c r="AH11" s="22" t="n">
        <f aca="false">IF(T11="Y",0,IF(W11="",Scoring!$C$49,IFERROR(VLOOKUP(W11,Scoring!$B$45:$C$48,2,FALSE()),Scoring!$C$49)))</f>
        <v>5</v>
      </c>
      <c r="AI11" s="23" t="n">
        <f aca="false">C11+IF(ISNUMBER(J11),J11,0)/100000+(10000-ROW())/1000000000</f>
        <v>71.001099989</v>
      </c>
      <c r="AJ11" s="18"/>
      <c r="AK11" s="18"/>
      <c r="AL11" s="18"/>
      <c r="AM11" s="18"/>
    </row>
    <row r="12" customFormat="false" ht="15" hidden="false" customHeight="false" outlineLevel="0" collapsed="false">
      <c r="A12" s="15" t="n">
        <f aca="false">RANK(AI12,$AI$2:$AI$755)</f>
        <v>11</v>
      </c>
      <c r="B12" s="16" t="str">
        <f aca="false">IF(T12="Y","Superseded",IF(C12&gt;=Scoring!$B$16,"Immediate",IF(C12&gt;=Scoring!$B$17,"This week",IF(C12&gt;=Scoring!$B$18,"Nurture","Low"))))</f>
        <v>This week</v>
      </c>
      <c r="C12" s="3" t="n">
        <f aca="false">SUM(AC12:AH12)</f>
        <v>71</v>
      </c>
      <c r="D12" s="15" t="str">
        <f aca="false">IF(T12="Y","Superseded record",IF(AND(U12&lt;&gt;"",AA12&lt;0),"Expired (verified)",IF(AND(U12&lt;&gt;"",AA12&lt;=Scoring!$B$5),"Expiring: notice window (verified)",IF(AND(U12&lt;&gt;"",AA12&lt;=Scoring!$B$6),"Expiring: 10-yr horizon (verified)",IF(M12="No Longer Monitored","Out of program",IF(N12="","Unknown vintage",IF(N12&lt;Scoring!$B$12,"Pre-1990, still listed",IF(AND(U12="",AA12&lt;0),"Past 30-yr mark (verify)",IF(AND(U12="",AA12&lt;=Scoring!$B$5),"30-yr mark: notice window (est.)",IF(AND(O12&gt;=Scoring!$B$7,O12&lt;=Scoring!$B$8),"Year-15 window",IF(O12&gt;=Scoring!$B$9,"Recap window",IF(O12&gt;=11,"Late compliance","Credit period"))))))))))))</f>
        <v>Past 30-yr mark (verify)</v>
      </c>
      <c r="E12" s="15" t="s">
        <v>138</v>
      </c>
      <c r="F12" s="15" t="s">
        <v>139</v>
      </c>
      <c r="G12" s="15" t="s">
        <v>140</v>
      </c>
      <c r="H12" s="15" t="s">
        <v>141</v>
      </c>
      <c r="I12" s="15" t="s">
        <v>142</v>
      </c>
      <c r="J12" s="15" t="n">
        <v>50</v>
      </c>
      <c r="K12" s="15" t="n">
        <v>40</v>
      </c>
      <c r="L12" s="15" t="n">
        <f aca="false">IF(OR(J12="",K12=""),"",MAX(J12-K12,0))</f>
        <v>10</v>
      </c>
      <c r="M12" s="15" t="s">
        <v>99</v>
      </c>
      <c r="N12" s="17" t="n">
        <v>1993</v>
      </c>
      <c r="O12" s="15" t="n">
        <f aca="false">IF(N12="","",Scoring!$B$4-N12)</f>
        <v>33</v>
      </c>
      <c r="P12" s="15" t="n">
        <f aca="false">IF(N12="","",N12+14)</f>
        <v>2007</v>
      </c>
      <c r="Q12" s="15" t="n">
        <f aca="false">IF(N12="","",IF(N12&lt;Scoring!$B$12,"n/a (pre-1990)",N12+Scoring!$B$13))</f>
        <v>2022</v>
      </c>
      <c r="R12" s="15" t="str">
        <f aca="false">IF(J12="","Unknown",IF(J12&gt;=5,"Yes","No (under 5 units)"))</f>
        <v>Yes</v>
      </c>
      <c r="S12" s="15"/>
      <c r="T12" s="18"/>
      <c r="U12" s="19"/>
      <c r="V12" s="18"/>
      <c r="W12" s="18"/>
      <c r="X12" s="20"/>
      <c r="Y12" s="18"/>
      <c r="Z12" s="18"/>
      <c r="AA12" s="21" t="n">
        <f aca="false">IF(U12&lt;&gt;"",(U12-Scoring!$B$3)/365.25,IF(N12="","",IF(N12&lt;Scoring!$B$12,"",(DATE(N12+Scoring!$B$13,12,31)-Scoring!$B$3)/365.25)))</f>
        <v>-3.75359342915811</v>
      </c>
      <c r="AB12" s="22" t="n">
        <f aca="false">IF(T12="Y",0,IF(OR(D12="Expired (verified)",D12="Expiring: notice window (verified)",D12="Expiring: 10-yr horizon (verified)",D12="Past 30-yr mark (verify)",D12="30-yr mark: notice window (est.)",D12="Year-15 window"),1,0)+IF(ISNUMBER(O12),IF(O12&gt;=Scoring!$B$10,1,0),0)+IF(AND(ISNUMBER(L12),ISNUMBER(J12)),IF(J12&gt;0,IF(L12/J12&gt;=Scoring!$B$11,1,0),0),0)+IF(ISNUMBER(Z12),MIN(Z12,3),0))</f>
        <v>3</v>
      </c>
      <c r="AC12" s="22" t="n">
        <f aca="false">IF(AB12&gt;=3,Scoring!$C$24,IF(AB12=2,Scoring!$C$23,IF(AB12=1,Scoring!$C$22,0)))</f>
        <v>25</v>
      </c>
      <c r="AD12" s="22" t="n">
        <f aca="false">IF(T12="Y",0,IF(ISNUMBER(X12),IF(X12&gt;0.7,Scoring!$C$25,IF(X12&gt;=0.5,Scoring!$C$26,IF(X12&gt;=0.3,Scoring!$C$27,Scoring!$C$28))),Scoring!$C$29))</f>
        <v>10</v>
      </c>
      <c r="AE12" s="22" t="n">
        <f aca="false">IF(D12="Expiring: notice window (verified)",Scoring!$C$30,IF(OR(D12="Expired (verified)",D12="30-yr mark: notice window (est.)",D12="Year-15 window"),Scoring!$C$31,IF(D12="Expiring: 10-yr horizon (verified)",Scoring!$C$32,IF(D12="Past 30-yr mark (verify)",Scoring!$C$33,IF(OR(D12="Credit period",D12="Superseded record"),Scoring!$C$35,Scoring!$C$34)))))</f>
        <v>8</v>
      </c>
      <c r="AF12" s="22" t="n">
        <f aca="false">IF(T12="Y",0,IF(ISNUMBER(V12),IF(Scoring!$B$4-V12&gt;15,Scoring!$C$36,IF(Scoring!$B$4-V12&gt;=10,Scoring!$C$37,IF(Scoring!$B$4-V12&gt;=5,Scoring!$C$38,Scoring!$C$39))),IF(OR(N12="",D12="Out of program"),Scoring!$C$40,IF(O12&gt;15,Scoring!$C$36,IF(O12&gt;=10,Scoring!$C$37,IF(O12&gt;=5,Scoring!$C$38,Scoring!$C$39))))))</f>
        <v>15</v>
      </c>
      <c r="AG12" s="22" t="n">
        <f aca="false">IF(T12="Y",0,IF(Y12="Y",Scoring!$C$41,IF(ISNUMBER(O12),IF(O12&gt;=25,Scoring!$C$42,IF(O12&gt;=15,Scoring!$C$43,Scoring!$C$44)),Scoring!$C$44)))</f>
        <v>8</v>
      </c>
      <c r="AH12" s="22" t="n">
        <f aca="false">IF(T12="Y",0,IF(W12="",Scoring!$C$49,IFERROR(VLOOKUP(W12,Scoring!$B$45:$C$48,2,FALSE()),Scoring!$C$49)))</f>
        <v>5</v>
      </c>
      <c r="AI12" s="23" t="n">
        <f aca="false">C12+IF(ISNUMBER(J12),J12,0)/100000+(10000-ROW())/1000000000</f>
        <v>71.000509988</v>
      </c>
      <c r="AJ12" s="18"/>
      <c r="AK12" s="18"/>
      <c r="AL12" s="18"/>
      <c r="AM12" s="18"/>
    </row>
    <row r="13" customFormat="false" ht="15" hidden="false" customHeight="false" outlineLevel="0" collapsed="false">
      <c r="A13" s="15" t="n">
        <f aca="false">RANK(AI13,$AI$2:$AI$755)</f>
        <v>12</v>
      </c>
      <c r="B13" s="16" t="str">
        <f aca="false">IF(T13="Y","Superseded",IF(C13&gt;=Scoring!$B$16,"Immediate",IF(C13&gt;=Scoring!$B$17,"This week",IF(C13&gt;=Scoring!$B$18,"Nurture","Low"))))</f>
        <v>This week</v>
      </c>
      <c r="C13" s="3" t="n">
        <f aca="false">SUM(AC13:AH13)</f>
        <v>70</v>
      </c>
      <c r="D13" s="15" t="str">
        <f aca="false">IF(T13="Y","Superseded record",IF(AND(U13&lt;&gt;"",AA13&lt;0),"Expired (verified)",IF(AND(U13&lt;&gt;"",AA13&lt;=Scoring!$B$5),"Expiring: notice window (verified)",IF(AND(U13&lt;&gt;"",AA13&lt;=Scoring!$B$6),"Expiring: 10-yr horizon (verified)",IF(M13="No Longer Monitored","Out of program",IF(N13="","Unknown vintage",IF(N13&lt;Scoring!$B$12,"Pre-1990, still listed",IF(AND(U13="",AA13&lt;0),"Past 30-yr mark (verify)",IF(AND(U13="",AA13&lt;=Scoring!$B$5),"30-yr mark: notice window (est.)",IF(AND(O13&gt;=Scoring!$B$7,O13&lt;=Scoring!$B$8),"Year-15 window",IF(O13&gt;=Scoring!$B$9,"Recap window",IF(O13&gt;=11,"Late compliance","Credit period"))))))))))))</f>
        <v>30-yr mark: notice window (est.)</v>
      </c>
      <c r="E13" s="15" t="s">
        <v>143</v>
      </c>
      <c r="F13" s="15" t="s">
        <v>144</v>
      </c>
      <c r="G13" s="15" t="s">
        <v>145</v>
      </c>
      <c r="H13" s="15" t="s">
        <v>146</v>
      </c>
      <c r="I13" s="15" t="s">
        <v>147</v>
      </c>
      <c r="J13" s="15" t="n">
        <v>248</v>
      </c>
      <c r="K13" s="15" t="n">
        <v>248</v>
      </c>
      <c r="L13" s="15" t="n">
        <f aca="false">IF(OR(J13="",K13=""),"",MAX(J13-K13,0))</f>
        <v>0</v>
      </c>
      <c r="M13" s="15" t="s">
        <v>99</v>
      </c>
      <c r="N13" s="17" t="n">
        <v>1998</v>
      </c>
      <c r="O13" s="15" t="n">
        <f aca="false">IF(N13="","",Scoring!$B$4-N13)</f>
        <v>28</v>
      </c>
      <c r="P13" s="15" t="n">
        <f aca="false">IF(N13="","",N13+14)</f>
        <v>2012</v>
      </c>
      <c r="Q13" s="15" t="n">
        <f aca="false">IF(N13="","",IF(N13&lt;Scoring!$B$12,"n/a (pre-1990)",N13+Scoring!$B$13))</f>
        <v>2027</v>
      </c>
      <c r="R13" s="15" t="str">
        <f aca="false">IF(J13="","Unknown",IF(J13&gt;=5,"Yes","No (under 5 units)"))</f>
        <v>Yes</v>
      </c>
      <c r="S13" s="15"/>
      <c r="T13" s="18"/>
      <c r="U13" s="19"/>
      <c r="V13" s="18"/>
      <c r="W13" s="18"/>
      <c r="X13" s="20"/>
      <c r="Y13" s="18"/>
      <c r="Z13" s="18"/>
      <c r="AA13" s="21" t="n">
        <f aca="false">IF(U13&lt;&gt;"",(U13-Scoring!$B$3)/365.25,IF(N13="","",IF(N13&lt;Scoring!$B$12,"",(DATE(N13+Scoring!$B$13,12,31)-Scoring!$B$3)/365.25)))</f>
        <v>1.24572210814511</v>
      </c>
      <c r="AB13" s="22" t="n">
        <f aca="false">IF(T13="Y",0,IF(OR(D13="Expired (verified)",D13="Expiring: notice window (verified)",D13="Expiring: 10-yr horizon (verified)",D13="Past 30-yr mark (verify)",D13="30-yr mark: notice window (est.)",D13="Year-15 window"),1,0)+IF(ISNUMBER(O13),IF(O13&gt;=Scoring!$B$10,1,0),0)+IF(AND(ISNUMBER(L13),ISNUMBER(J13)),IF(J13&gt;0,IF(L13/J13&gt;=Scoring!$B$11,1,0),0),0)+IF(ISNUMBER(Z13),MIN(Z13,3),0))</f>
        <v>2</v>
      </c>
      <c r="AC13" s="22" t="n">
        <f aca="false">IF(AB13&gt;=3,Scoring!$C$24,IF(AB13=2,Scoring!$C$23,IF(AB13=1,Scoring!$C$22,0)))</f>
        <v>18</v>
      </c>
      <c r="AD13" s="22" t="n">
        <f aca="false">IF(T13="Y",0,IF(ISNUMBER(X13),IF(X13&gt;0.7,Scoring!$C$25,IF(X13&gt;=0.5,Scoring!$C$26,IF(X13&gt;=0.3,Scoring!$C$27,Scoring!$C$28))),Scoring!$C$29))</f>
        <v>10</v>
      </c>
      <c r="AE13" s="22" t="n">
        <f aca="false">IF(D13="Expiring: notice window (verified)",Scoring!$C$30,IF(OR(D13="Expired (verified)",D13="30-yr mark: notice window (est.)",D13="Year-15 window"),Scoring!$C$31,IF(D13="Expiring: 10-yr horizon (verified)",Scoring!$C$32,IF(D13="Past 30-yr mark (verify)",Scoring!$C$33,IF(OR(D13="Credit period",D13="Superseded record"),Scoring!$C$35,Scoring!$C$34)))))</f>
        <v>14</v>
      </c>
      <c r="AF13" s="22" t="n">
        <f aca="false">IF(T13="Y",0,IF(ISNUMBER(V13),IF(Scoring!$B$4-V13&gt;15,Scoring!$C$36,IF(Scoring!$B$4-V13&gt;=10,Scoring!$C$37,IF(Scoring!$B$4-V13&gt;=5,Scoring!$C$38,Scoring!$C$39))),IF(OR(N13="",D13="Out of program"),Scoring!$C$40,IF(O13&gt;15,Scoring!$C$36,IF(O13&gt;=10,Scoring!$C$37,IF(O13&gt;=5,Scoring!$C$38,Scoring!$C$39))))))</f>
        <v>15</v>
      </c>
      <c r="AG13" s="22" t="n">
        <f aca="false">IF(T13="Y",0,IF(Y13="Y",Scoring!$C$41,IF(ISNUMBER(O13),IF(O13&gt;=25,Scoring!$C$42,IF(O13&gt;=15,Scoring!$C$43,Scoring!$C$44)),Scoring!$C$44)))</f>
        <v>8</v>
      </c>
      <c r="AH13" s="22" t="n">
        <f aca="false">IF(T13="Y",0,IF(W13="",Scoring!$C$49,IFERROR(VLOOKUP(W13,Scoring!$B$45:$C$48,2,FALSE()),Scoring!$C$49)))</f>
        <v>5</v>
      </c>
      <c r="AI13" s="23" t="n">
        <f aca="false">C13+IF(ISNUMBER(J13),J13,0)/100000+(10000-ROW())/1000000000</f>
        <v>70.002489987</v>
      </c>
      <c r="AJ13" s="18"/>
      <c r="AK13" s="18"/>
      <c r="AL13" s="18"/>
      <c r="AM13" s="18"/>
    </row>
    <row r="14" customFormat="false" ht="15" hidden="false" customHeight="false" outlineLevel="0" collapsed="false">
      <c r="A14" s="15" t="n">
        <f aca="false">RANK(AI14,$AI$2:$AI$755)</f>
        <v>13</v>
      </c>
      <c r="B14" s="16" t="str">
        <f aca="false">IF(T14="Y","Superseded",IF(C14&gt;=Scoring!$B$16,"Immediate",IF(C14&gt;=Scoring!$B$17,"This week",IF(C14&gt;=Scoring!$B$18,"Nurture","Low"))))</f>
        <v>This week</v>
      </c>
      <c r="C14" s="3" t="n">
        <f aca="false">SUM(AC14:AH14)</f>
        <v>70</v>
      </c>
      <c r="D14" s="15" t="str">
        <f aca="false">IF(T14="Y","Superseded record",IF(AND(U14&lt;&gt;"",AA14&lt;0),"Expired (verified)",IF(AND(U14&lt;&gt;"",AA14&lt;=Scoring!$B$5),"Expiring: notice window (verified)",IF(AND(U14&lt;&gt;"",AA14&lt;=Scoring!$B$6),"Expiring: 10-yr horizon (verified)",IF(M14="No Longer Monitored","Out of program",IF(N14="","Unknown vintage",IF(N14&lt;Scoring!$B$12,"Pre-1990, still listed",IF(AND(U14="",AA14&lt;0),"Past 30-yr mark (verify)",IF(AND(U14="",AA14&lt;=Scoring!$B$5),"30-yr mark: notice window (est.)",IF(AND(O14&gt;=Scoring!$B$7,O14&lt;=Scoring!$B$8),"Year-15 window",IF(O14&gt;=Scoring!$B$9,"Recap window",IF(O14&gt;=11,"Late compliance","Credit period"))))))))))))</f>
        <v>30-yr mark: notice window (est.)</v>
      </c>
      <c r="E14" s="15" t="s">
        <v>148</v>
      </c>
      <c r="F14" s="15" t="s">
        <v>149</v>
      </c>
      <c r="G14" s="15" t="s">
        <v>150</v>
      </c>
      <c r="H14" s="15" t="s">
        <v>151</v>
      </c>
      <c r="I14" s="15" t="s">
        <v>152</v>
      </c>
      <c r="J14" s="15" t="n">
        <v>216</v>
      </c>
      <c r="K14" s="15" t="n">
        <v>216</v>
      </c>
      <c r="L14" s="15" t="n">
        <f aca="false">IF(OR(J14="",K14=""),"",MAX(J14-K14,0))</f>
        <v>0</v>
      </c>
      <c r="M14" s="15" t="s">
        <v>99</v>
      </c>
      <c r="N14" s="17" t="n">
        <v>1999</v>
      </c>
      <c r="O14" s="15" t="n">
        <f aca="false">IF(N14="","",Scoring!$B$4-N14)</f>
        <v>27</v>
      </c>
      <c r="P14" s="15" t="n">
        <f aca="false">IF(N14="","",N14+14)</f>
        <v>2013</v>
      </c>
      <c r="Q14" s="15" t="n">
        <f aca="false">IF(N14="","",IF(N14&lt;Scoring!$B$12,"n/a (pre-1990)",N14+Scoring!$B$13))</f>
        <v>2028</v>
      </c>
      <c r="R14" s="15" t="str">
        <f aca="false">IF(J14="","Unknown",IF(J14&gt;=5,"Yes","No (under 5 units)"))</f>
        <v>Yes</v>
      </c>
      <c r="S14" s="15"/>
      <c r="T14" s="18"/>
      <c r="U14" s="19"/>
      <c r="V14" s="18"/>
      <c r="W14" s="18"/>
      <c r="X14" s="20"/>
      <c r="Y14" s="18"/>
      <c r="Z14" s="18"/>
      <c r="AA14" s="21" t="n">
        <f aca="false">IF(U14&lt;&gt;"",(U14-Scoring!$B$3)/365.25,IF(N14="","",IF(N14&lt;Scoring!$B$12,"",(DATE(N14+Scoring!$B$13,12,31)-Scoring!$B$3)/365.25)))</f>
        <v>2.24777549623546</v>
      </c>
      <c r="AB14" s="22" t="n">
        <f aca="false">IF(T14="Y",0,IF(OR(D14="Expired (verified)",D14="Expiring: notice window (verified)",D14="Expiring: 10-yr horizon (verified)",D14="Past 30-yr mark (verify)",D14="30-yr mark: notice window (est.)",D14="Year-15 window"),1,0)+IF(ISNUMBER(O14),IF(O14&gt;=Scoring!$B$10,1,0),0)+IF(AND(ISNUMBER(L14),ISNUMBER(J14)),IF(J14&gt;0,IF(L14/J14&gt;=Scoring!$B$11,1,0),0),0)+IF(ISNUMBER(Z14),MIN(Z14,3),0))</f>
        <v>2</v>
      </c>
      <c r="AC14" s="22" t="n">
        <f aca="false">IF(AB14&gt;=3,Scoring!$C$24,IF(AB14=2,Scoring!$C$23,IF(AB14=1,Scoring!$C$22,0)))</f>
        <v>18</v>
      </c>
      <c r="AD14" s="22" t="n">
        <f aca="false">IF(T14="Y",0,IF(ISNUMBER(X14),IF(X14&gt;0.7,Scoring!$C$25,IF(X14&gt;=0.5,Scoring!$C$26,IF(X14&gt;=0.3,Scoring!$C$27,Scoring!$C$28))),Scoring!$C$29))</f>
        <v>10</v>
      </c>
      <c r="AE14" s="22" t="n">
        <f aca="false">IF(D14="Expiring: notice window (verified)",Scoring!$C$30,IF(OR(D14="Expired (verified)",D14="30-yr mark: notice window (est.)",D14="Year-15 window"),Scoring!$C$31,IF(D14="Expiring: 10-yr horizon (verified)",Scoring!$C$32,IF(D14="Past 30-yr mark (verify)",Scoring!$C$33,IF(OR(D14="Credit period",D14="Superseded record"),Scoring!$C$35,Scoring!$C$34)))))</f>
        <v>14</v>
      </c>
      <c r="AF14" s="22" t="n">
        <f aca="false">IF(T14="Y",0,IF(ISNUMBER(V14),IF(Scoring!$B$4-V14&gt;15,Scoring!$C$36,IF(Scoring!$B$4-V14&gt;=10,Scoring!$C$37,IF(Scoring!$B$4-V14&gt;=5,Scoring!$C$38,Scoring!$C$39))),IF(OR(N14="",D14="Out of program"),Scoring!$C$40,IF(O14&gt;15,Scoring!$C$36,IF(O14&gt;=10,Scoring!$C$37,IF(O14&gt;=5,Scoring!$C$38,Scoring!$C$39))))))</f>
        <v>15</v>
      </c>
      <c r="AG14" s="22" t="n">
        <f aca="false">IF(T14="Y",0,IF(Y14="Y",Scoring!$C$41,IF(ISNUMBER(O14),IF(O14&gt;=25,Scoring!$C$42,IF(O14&gt;=15,Scoring!$C$43,Scoring!$C$44)),Scoring!$C$44)))</f>
        <v>8</v>
      </c>
      <c r="AH14" s="22" t="n">
        <f aca="false">IF(T14="Y",0,IF(W14="",Scoring!$C$49,IFERROR(VLOOKUP(W14,Scoring!$B$45:$C$48,2,FALSE()),Scoring!$C$49)))</f>
        <v>5</v>
      </c>
      <c r="AI14" s="23" t="n">
        <f aca="false">C14+IF(ISNUMBER(J14),J14,0)/100000+(10000-ROW())/1000000000</f>
        <v>70.002169986</v>
      </c>
      <c r="AJ14" s="18"/>
      <c r="AK14" s="18"/>
      <c r="AL14" s="18"/>
      <c r="AM14" s="18"/>
    </row>
    <row r="15" customFormat="false" ht="15" hidden="false" customHeight="false" outlineLevel="0" collapsed="false">
      <c r="A15" s="15" t="n">
        <f aca="false">RANK(AI15,$AI$2:$AI$755)</f>
        <v>14</v>
      </c>
      <c r="B15" s="16" t="str">
        <f aca="false">IF(T15="Y","Superseded",IF(C15&gt;=Scoring!$B$16,"Immediate",IF(C15&gt;=Scoring!$B$17,"This week",IF(C15&gt;=Scoring!$B$18,"Nurture","Low"))))</f>
        <v>This week</v>
      </c>
      <c r="C15" s="3" t="n">
        <f aca="false">SUM(AC15:AH15)</f>
        <v>70</v>
      </c>
      <c r="D15" s="15" t="str">
        <f aca="false">IF(T15="Y","Superseded record",IF(AND(U15&lt;&gt;"",AA15&lt;0),"Expired (verified)",IF(AND(U15&lt;&gt;"",AA15&lt;=Scoring!$B$5),"Expiring: notice window (verified)",IF(AND(U15&lt;&gt;"",AA15&lt;=Scoring!$B$6),"Expiring: 10-yr horizon (verified)",IF(M15="No Longer Monitored","Out of program",IF(N15="","Unknown vintage",IF(N15&lt;Scoring!$B$12,"Pre-1990, still listed",IF(AND(U15="",AA15&lt;0),"Past 30-yr mark (verify)",IF(AND(U15="",AA15&lt;=Scoring!$B$5),"30-yr mark: notice window (est.)",IF(AND(O15&gt;=Scoring!$B$7,O15&lt;=Scoring!$B$8),"Year-15 window",IF(O15&gt;=Scoring!$B$9,"Recap window",IF(O15&gt;=11,"Late compliance","Credit period"))))))))))))</f>
        <v>30-yr mark: notice window (est.)</v>
      </c>
      <c r="E15" s="15" t="s">
        <v>153</v>
      </c>
      <c r="F15" s="15" t="s">
        <v>154</v>
      </c>
      <c r="G15" s="15" t="s">
        <v>155</v>
      </c>
      <c r="H15" s="15" t="s">
        <v>97</v>
      </c>
      <c r="I15" s="15" t="s">
        <v>156</v>
      </c>
      <c r="J15" s="15" t="n">
        <v>208</v>
      </c>
      <c r="K15" s="15" t="n">
        <v>208</v>
      </c>
      <c r="L15" s="15" t="n">
        <f aca="false">IF(OR(J15="",K15=""),"",MAX(J15-K15,0))</f>
        <v>0</v>
      </c>
      <c r="M15" s="15" t="s">
        <v>99</v>
      </c>
      <c r="N15" s="17" t="n">
        <v>1997</v>
      </c>
      <c r="O15" s="15" t="n">
        <f aca="false">IF(N15="","",Scoring!$B$4-N15)</f>
        <v>29</v>
      </c>
      <c r="P15" s="15" t="n">
        <f aca="false">IF(N15="","",N15+14)</f>
        <v>2011</v>
      </c>
      <c r="Q15" s="15" t="n">
        <f aca="false">IF(N15="","",IF(N15&lt;Scoring!$B$12,"n/a (pre-1990)",N15+Scoring!$B$13))</f>
        <v>2026</v>
      </c>
      <c r="R15" s="15" t="str">
        <f aca="false">IF(J15="","Unknown",IF(J15&gt;=5,"Yes","No (under 5 units)"))</f>
        <v>Yes</v>
      </c>
      <c r="S15" s="15"/>
      <c r="T15" s="18"/>
      <c r="U15" s="19"/>
      <c r="V15" s="18"/>
      <c r="W15" s="18"/>
      <c r="X15" s="20"/>
      <c r="Y15" s="18"/>
      <c r="Z15" s="18"/>
      <c r="AA15" s="21" t="n">
        <f aca="false">IF(U15&lt;&gt;"",(U15-Scoring!$B$3)/365.25,IF(N15="","",IF(N15&lt;Scoring!$B$12,"",(DATE(N15+Scoring!$B$13,12,31)-Scoring!$B$3)/365.25)))</f>
        <v>0.246406570841889</v>
      </c>
      <c r="AB15" s="22" t="n">
        <f aca="false">IF(T15="Y",0,IF(OR(D15="Expired (verified)",D15="Expiring: notice window (verified)",D15="Expiring: 10-yr horizon (verified)",D15="Past 30-yr mark (verify)",D15="30-yr mark: notice window (est.)",D15="Year-15 window"),1,0)+IF(ISNUMBER(O15),IF(O15&gt;=Scoring!$B$10,1,0),0)+IF(AND(ISNUMBER(L15),ISNUMBER(J15)),IF(J15&gt;0,IF(L15/J15&gt;=Scoring!$B$11,1,0),0),0)+IF(ISNUMBER(Z15),MIN(Z15,3),0))</f>
        <v>2</v>
      </c>
      <c r="AC15" s="22" t="n">
        <f aca="false">IF(AB15&gt;=3,Scoring!$C$24,IF(AB15=2,Scoring!$C$23,IF(AB15=1,Scoring!$C$22,0)))</f>
        <v>18</v>
      </c>
      <c r="AD15" s="22" t="n">
        <f aca="false">IF(T15="Y",0,IF(ISNUMBER(X15),IF(X15&gt;0.7,Scoring!$C$25,IF(X15&gt;=0.5,Scoring!$C$26,IF(X15&gt;=0.3,Scoring!$C$27,Scoring!$C$28))),Scoring!$C$29))</f>
        <v>10</v>
      </c>
      <c r="AE15" s="22" t="n">
        <f aca="false">IF(D15="Expiring: notice window (verified)",Scoring!$C$30,IF(OR(D15="Expired (verified)",D15="30-yr mark: notice window (est.)",D15="Year-15 window"),Scoring!$C$31,IF(D15="Expiring: 10-yr horizon (verified)",Scoring!$C$32,IF(D15="Past 30-yr mark (verify)",Scoring!$C$33,IF(OR(D15="Credit period",D15="Superseded record"),Scoring!$C$35,Scoring!$C$34)))))</f>
        <v>14</v>
      </c>
      <c r="AF15" s="22" t="n">
        <f aca="false">IF(T15="Y",0,IF(ISNUMBER(V15),IF(Scoring!$B$4-V15&gt;15,Scoring!$C$36,IF(Scoring!$B$4-V15&gt;=10,Scoring!$C$37,IF(Scoring!$B$4-V15&gt;=5,Scoring!$C$38,Scoring!$C$39))),IF(OR(N15="",D15="Out of program"),Scoring!$C$40,IF(O15&gt;15,Scoring!$C$36,IF(O15&gt;=10,Scoring!$C$37,IF(O15&gt;=5,Scoring!$C$38,Scoring!$C$39))))))</f>
        <v>15</v>
      </c>
      <c r="AG15" s="22" t="n">
        <f aca="false">IF(T15="Y",0,IF(Y15="Y",Scoring!$C$41,IF(ISNUMBER(O15),IF(O15&gt;=25,Scoring!$C$42,IF(O15&gt;=15,Scoring!$C$43,Scoring!$C$44)),Scoring!$C$44)))</f>
        <v>8</v>
      </c>
      <c r="AH15" s="22" t="n">
        <f aca="false">IF(T15="Y",0,IF(W15="",Scoring!$C$49,IFERROR(VLOOKUP(W15,Scoring!$B$45:$C$48,2,FALSE()),Scoring!$C$49)))</f>
        <v>5</v>
      </c>
      <c r="AI15" s="23" t="n">
        <f aca="false">C15+IF(ISNUMBER(J15),J15,0)/100000+(10000-ROW())/1000000000</f>
        <v>70.002089985</v>
      </c>
      <c r="AJ15" s="18"/>
      <c r="AK15" s="18"/>
      <c r="AL15" s="18"/>
      <c r="AM15" s="18"/>
    </row>
    <row r="16" customFormat="false" ht="15" hidden="false" customHeight="false" outlineLevel="0" collapsed="false">
      <c r="A16" s="15" t="n">
        <f aca="false">RANK(AI16,$AI$2:$AI$755)</f>
        <v>15</v>
      </c>
      <c r="B16" s="16" t="str">
        <f aca="false">IF(T16="Y","Superseded",IF(C16&gt;=Scoring!$B$16,"Immediate",IF(C16&gt;=Scoring!$B$17,"This week",IF(C16&gt;=Scoring!$B$18,"Nurture","Low"))))</f>
        <v>This week</v>
      </c>
      <c r="C16" s="3" t="n">
        <f aca="false">SUM(AC16:AH16)</f>
        <v>70</v>
      </c>
      <c r="D16" s="15" t="str">
        <f aca="false">IF(T16="Y","Superseded record",IF(AND(U16&lt;&gt;"",AA16&lt;0),"Expired (verified)",IF(AND(U16&lt;&gt;"",AA16&lt;=Scoring!$B$5),"Expiring: notice window (verified)",IF(AND(U16&lt;&gt;"",AA16&lt;=Scoring!$B$6),"Expiring: 10-yr horizon (verified)",IF(M16="No Longer Monitored","Out of program",IF(N16="","Unknown vintage",IF(N16&lt;Scoring!$B$12,"Pre-1990, still listed",IF(AND(U16="",AA16&lt;0),"Past 30-yr mark (verify)",IF(AND(U16="",AA16&lt;=Scoring!$B$5),"30-yr mark: notice window (est.)",IF(AND(O16&gt;=Scoring!$B$7,O16&lt;=Scoring!$B$8),"Year-15 window",IF(O16&gt;=Scoring!$B$9,"Recap window",IF(O16&gt;=11,"Late compliance","Credit period"))))))))))))</f>
        <v>30-yr mark: notice window (est.)</v>
      </c>
      <c r="E16" s="15" t="s">
        <v>157</v>
      </c>
      <c r="F16" s="15" t="s">
        <v>158</v>
      </c>
      <c r="G16" s="15" t="s">
        <v>159</v>
      </c>
      <c r="H16" s="15" t="s">
        <v>97</v>
      </c>
      <c r="I16" s="15" t="s">
        <v>160</v>
      </c>
      <c r="J16" s="15" t="n">
        <v>199</v>
      </c>
      <c r="K16" s="15"/>
      <c r="L16" s="15" t="str">
        <f aca="false">IF(OR(J16="",K16=""),"",MAX(J16-K16,0))</f>
        <v/>
      </c>
      <c r="M16" s="15" t="s">
        <v>99</v>
      </c>
      <c r="N16" s="17" t="n">
        <v>1997</v>
      </c>
      <c r="O16" s="15" t="n">
        <f aca="false">IF(N16="","",Scoring!$B$4-N16)</f>
        <v>29</v>
      </c>
      <c r="P16" s="15" t="n">
        <f aca="false">IF(N16="","",N16+14)</f>
        <v>2011</v>
      </c>
      <c r="Q16" s="15" t="n">
        <f aca="false">IF(N16="","",IF(N16&lt;Scoring!$B$12,"n/a (pre-1990)",N16+Scoring!$B$13))</f>
        <v>2026</v>
      </c>
      <c r="R16" s="15" t="str">
        <f aca="false">IF(J16="","Unknown",IF(J16&gt;=5,"Yes","No (under 5 units)"))</f>
        <v>Yes</v>
      </c>
      <c r="S16" s="15"/>
      <c r="T16" s="18"/>
      <c r="U16" s="19"/>
      <c r="V16" s="18"/>
      <c r="W16" s="18"/>
      <c r="X16" s="20"/>
      <c r="Y16" s="18"/>
      <c r="Z16" s="18"/>
      <c r="AA16" s="21" t="n">
        <f aca="false">IF(U16&lt;&gt;"",(U16-Scoring!$B$3)/365.25,IF(N16="","",IF(N16&lt;Scoring!$B$12,"",(DATE(N16+Scoring!$B$13,12,31)-Scoring!$B$3)/365.25)))</f>
        <v>0.246406570841889</v>
      </c>
      <c r="AB16" s="22" t="n">
        <f aca="false">IF(T16="Y",0,IF(OR(D16="Expired (verified)",D16="Expiring: notice window (verified)",D16="Expiring: 10-yr horizon (verified)",D16="Past 30-yr mark (verify)",D16="30-yr mark: notice window (est.)",D16="Year-15 window"),1,0)+IF(ISNUMBER(O16),IF(O16&gt;=Scoring!$B$10,1,0),0)+IF(AND(ISNUMBER(L16),ISNUMBER(J16)),IF(J16&gt;0,IF(L16/J16&gt;=Scoring!$B$11,1,0),0),0)+IF(ISNUMBER(Z16),MIN(Z16,3),0))</f>
        <v>2</v>
      </c>
      <c r="AC16" s="22" t="n">
        <f aca="false">IF(AB16&gt;=3,Scoring!$C$24,IF(AB16=2,Scoring!$C$23,IF(AB16=1,Scoring!$C$22,0)))</f>
        <v>18</v>
      </c>
      <c r="AD16" s="22" t="n">
        <f aca="false">IF(T16="Y",0,IF(ISNUMBER(X16),IF(X16&gt;0.7,Scoring!$C$25,IF(X16&gt;=0.5,Scoring!$C$26,IF(X16&gt;=0.3,Scoring!$C$27,Scoring!$C$28))),Scoring!$C$29))</f>
        <v>10</v>
      </c>
      <c r="AE16" s="22" t="n">
        <f aca="false">IF(D16="Expiring: notice window (verified)",Scoring!$C$30,IF(OR(D16="Expired (verified)",D16="30-yr mark: notice window (est.)",D16="Year-15 window"),Scoring!$C$31,IF(D16="Expiring: 10-yr horizon (verified)",Scoring!$C$32,IF(D16="Past 30-yr mark (verify)",Scoring!$C$33,IF(OR(D16="Credit period",D16="Superseded record"),Scoring!$C$35,Scoring!$C$34)))))</f>
        <v>14</v>
      </c>
      <c r="AF16" s="22" t="n">
        <f aca="false">IF(T16="Y",0,IF(ISNUMBER(V16),IF(Scoring!$B$4-V16&gt;15,Scoring!$C$36,IF(Scoring!$B$4-V16&gt;=10,Scoring!$C$37,IF(Scoring!$B$4-V16&gt;=5,Scoring!$C$38,Scoring!$C$39))),IF(OR(N16="",D16="Out of program"),Scoring!$C$40,IF(O16&gt;15,Scoring!$C$36,IF(O16&gt;=10,Scoring!$C$37,IF(O16&gt;=5,Scoring!$C$38,Scoring!$C$39))))))</f>
        <v>15</v>
      </c>
      <c r="AG16" s="22" t="n">
        <f aca="false">IF(T16="Y",0,IF(Y16="Y",Scoring!$C$41,IF(ISNUMBER(O16),IF(O16&gt;=25,Scoring!$C$42,IF(O16&gt;=15,Scoring!$C$43,Scoring!$C$44)),Scoring!$C$44)))</f>
        <v>8</v>
      </c>
      <c r="AH16" s="22" t="n">
        <f aca="false">IF(T16="Y",0,IF(W16="",Scoring!$C$49,IFERROR(VLOOKUP(W16,Scoring!$B$45:$C$48,2,FALSE()),Scoring!$C$49)))</f>
        <v>5</v>
      </c>
      <c r="AI16" s="23" t="n">
        <f aca="false">C16+IF(ISNUMBER(J16),J16,0)/100000+(10000-ROW())/1000000000</f>
        <v>70.001999984</v>
      </c>
      <c r="AJ16" s="18"/>
      <c r="AK16" s="18"/>
      <c r="AL16" s="18"/>
      <c r="AM16" s="18"/>
    </row>
    <row r="17" customFormat="false" ht="15" hidden="false" customHeight="false" outlineLevel="0" collapsed="false">
      <c r="A17" s="15" t="n">
        <f aca="false">RANK(AI17,$AI$2:$AI$755)</f>
        <v>16</v>
      </c>
      <c r="B17" s="16" t="str">
        <f aca="false">IF(T17="Y","Superseded",IF(C17&gt;=Scoring!$B$16,"Immediate",IF(C17&gt;=Scoring!$B$17,"This week",IF(C17&gt;=Scoring!$B$18,"Nurture","Low"))))</f>
        <v>This week</v>
      </c>
      <c r="C17" s="3" t="n">
        <f aca="false">SUM(AC17:AH17)</f>
        <v>70</v>
      </c>
      <c r="D17" s="15" t="str">
        <f aca="false">IF(T17="Y","Superseded record",IF(AND(U17&lt;&gt;"",AA17&lt;0),"Expired (verified)",IF(AND(U17&lt;&gt;"",AA17&lt;=Scoring!$B$5),"Expiring: notice window (verified)",IF(AND(U17&lt;&gt;"",AA17&lt;=Scoring!$B$6),"Expiring: 10-yr horizon (verified)",IF(M17="No Longer Monitored","Out of program",IF(N17="","Unknown vintage",IF(N17&lt;Scoring!$B$12,"Pre-1990, still listed",IF(AND(U17="",AA17&lt;0),"Past 30-yr mark (verify)",IF(AND(U17="",AA17&lt;=Scoring!$B$5),"30-yr mark: notice window (est.)",IF(AND(O17&gt;=Scoring!$B$7,O17&lt;=Scoring!$B$8),"Year-15 window",IF(O17&gt;=Scoring!$B$9,"Recap window",IF(O17&gt;=11,"Late compliance","Credit period"))))))))))))</f>
        <v>30-yr mark: notice window (est.)</v>
      </c>
      <c r="E17" s="15" t="s">
        <v>161</v>
      </c>
      <c r="F17" s="15" t="s">
        <v>162</v>
      </c>
      <c r="G17" s="15" t="s">
        <v>163</v>
      </c>
      <c r="H17" s="15" t="s">
        <v>97</v>
      </c>
      <c r="I17" s="15" t="s">
        <v>164</v>
      </c>
      <c r="J17" s="15" t="n">
        <v>164</v>
      </c>
      <c r="K17" s="15" t="n">
        <v>164</v>
      </c>
      <c r="L17" s="15" t="n">
        <f aca="false">IF(OR(J17="",K17=""),"",MAX(J17-K17,0))</f>
        <v>0</v>
      </c>
      <c r="M17" s="15" t="s">
        <v>99</v>
      </c>
      <c r="N17" s="17" t="n">
        <v>1997</v>
      </c>
      <c r="O17" s="15" t="n">
        <f aca="false">IF(N17="","",Scoring!$B$4-N17)</f>
        <v>29</v>
      </c>
      <c r="P17" s="15" t="n">
        <f aca="false">IF(N17="","",N17+14)</f>
        <v>2011</v>
      </c>
      <c r="Q17" s="15" t="n">
        <f aca="false">IF(N17="","",IF(N17&lt;Scoring!$B$12,"n/a (pre-1990)",N17+Scoring!$B$13))</f>
        <v>2026</v>
      </c>
      <c r="R17" s="15" t="str">
        <f aca="false">IF(J17="","Unknown",IF(J17&gt;=5,"Yes","No (under 5 units)"))</f>
        <v>Yes</v>
      </c>
      <c r="S17" s="15"/>
      <c r="T17" s="18"/>
      <c r="U17" s="19"/>
      <c r="V17" s="18"/>
      <c r="W17" s="18"/>
      <c r="X17" s="20"/>
      <c r="Y17" s="18"/>
      <c r="Z17" s="18"/>
      <c r="AA17" s="21" t="n">
        <f aca="false">IF(U17&lt;&gt;"",(U17-Scoring!$B$3)/365.25,IF(N17="","",IF(N17&lt;Scoring!$B$12,"",(DATE(N17+Scoring!$B$13,12,31)-Scoring!$B$3)/365.25)))</f>
        <v>0.246406570841889</v>
      </c>
      <c r="AB17" s="22" t="n">
        <f aca="false">IF(T17="Y",0,IF(OR(D17="Expired (verified)",D17="Expiring: notice window (verified)",D17="Expiring: 10-yr horizon (verified)",D17="Past 30-yr mark (verify)",D17="30-yr mark: notice window (est.)",D17="Year-15 window"),1,0)+IF(ISNUMBER(O17),IF(O17&gt;=Scoring!$B$10,1,0),0)+IF(AND(ISNUMBER(L17),ISNUMBER(J17)),IF(J17&gt;0,IF(L17/J17&gt;=Scoring!$B$11,1,0),0),0)+IF(ISNUMBER(Z17),MIN(Z17,3),0))</f>
        <v>2</v>
      </c>
      <c r="AC17" s="22" t="n">
        <f aca="false">IF(AB17&gt;=3,Scoring!$C$24,IF(AB17=2,Scoring!$C$23,IF(AB17=1,Scoring!$C$22,0)))</f>
        <v>18</v>
      </c>
      <c r="AD17" s="22" t="n">
        <f aca="false">IF(T17="Y",0,IF(ISNUMBER(X17),IF(X17&gt;0.7,Scoring!$C$25,IF(X17&gt;=0.5,Scoring!$C$26,IF(X17&gt;=0.3,Scoring!$C$27,Scoring!$C$28))),Scoring!$C$29))</f>
        <v>10</v>
      </c>
      <c r="AE17" s="22" t="n">
        <f aca="false">IF(D17="Expiring: notice window (verified)",Scoring!$C$30,IF(OR(D17="Expired (verified)",D17="30-yr mark: notice window (est.)",D17="Year-15 window"),Scoring!$C$31,IF(D17="Expiring: 10-yr horizon (verified)",Scoring!$C$32,IF(D17="Past 30-yr mark (verify)",Scoring!$C$33,IF(OR(D17="Credit period",D17="Superseded record"),Scoring!$C$35,Scoring!$C$34)))))</f>
        <v>14</v>
      </c>
      <c r="AF17" s="22" t="n">
        <f aca="false">IF(T17="Y",0,IF(ISNUMBER(V17),IF(Scoring!$B$4-V17&gt;15,Scoring!$C$36,IF(Scoring!$B$4-V17&gt;=10,Scoring!$C$37,IF(Scoring!$B$4-V17&gt;=5,Scoring!$C$38,Scoring!$C$39))),IF(OR(N17="",D17="Out of program"),Scoring!$C$40,IF(O17&gt;15,Scoring!$C$36,IF(O17&gt;=10,Scoring!$C$37,IF(O17&gt;=5,Scoring!$C$38,Scoring!$C$39))))))</f>
        <v>15</v>
      </c>
      <c r="AG17" s="22" t="n">
        <f aca="false">IF(T17="Y",0,IF(Y17="Y",Scoring!$C$41,IF(ISNUMBER(O17),IF(O17&gt;=25,Scoring!$C$42,IF(O17&gt;=15,Scoring!$C$43,Scoring!$C$44)),Scoring!$C$44)))</f>
        <v>8</v>
      </c>
      <c r="AH17" s="22" t="n">
        <f aca="false">IF(T17="Y",0,IF(W17="",Scoring!$C$49,IFERROR(VLOOKUP(W17,Scoring!$B$45:$C$48,2,FALSE()),Scoring!$C$49)))</f>
        <v>5</v>
      </c>
      <c r="AI17" s="23" t="n">
        <f aca="false">C17+IF(ISNUMBER(J17),J17,0)/100000+(10000-ROW())/1000000000</f>
        <v>70.001649983</v>
      </c>
      <c r="AJ17" s="18"/>
      <c r="AK17" s="18"/>
      <c r="AL17" s="18"/>
      <c r="AM17" s="18"/>
    </row>
    <row r="18" customFormat="false" ht="15" hidden="false" customHeight="false" outlineLevel="0" collapsed="false">
      <c r="A18" s="15" t="n">
        <f aca="false">RANK(AI18,$AI$2:$AI$755)</f>
        <v>17</v>
      </c>
      <c r="B18" s="16" t="str">
        <f aca="false">IF(T18="Y","Superseded",IF(C18&gt;=Scoring!$B$16,"Immediate",IF(C18&gt;=Scoring!$B$17,"This week",IF(C18&gt;=Scoring!$B$18,"Nurture","Low"))))</f>
        <v>This week</v>
      </c>
      <c r="C18" s="3" t="n">
        <f aca="false">SUM(AC18:AH18)</f>
        <v>70</v>
      </c>
      <c r="D18" s="15" t="str">
        <f aca="false">IF(T18="Y","Superseded record",IF(AND(U18&lt;&gt;"",AA18&lt;0),"Expired (verified)",IF(AND(U18&lt;&gt;"",AA18&lt;=Scoring!$B$5),"Expiring: notice window (verified)",IF(AND(U18&lt;&gt;"",AA18&lt;=Scoring!$B$6),"Expiring: 10-yr horizon (verified)",IF(M18="No Longer Monitored","Out of program",IF(N18="","Unknown vintage",IF(N18&lt;Scoring!$B$12,"Pre-1990, still listed",IF(AND(U18="",AA18&lt;0),"Past 30-yr mark (verify)",IF(AND(U18="",AA18&lt;=Scoring!$B$5),"30-yr mark: notice window (est.)",IF(AND(O18&gt;=Scoring!$B$7,O18&lt;=Scoring!$B$8),"Year-15 window",IF(O18&gt;=Scoring!$B$9,"Recap window",IF(O18&gt;=11,"Late compliance","Credit period"))))))))))))</f>
        <v>30-yr mark: notice window (est.)</v>
      </c>
      <c r="E18" s="15" t="s">
        <v>165</v>
      </c>
      <c r="F18" s="15" t="s">
        <v>166</v>
      </c>
      <c r="G18" s="15" t="s">
        <v>167</v>
      </c>
      <c r="H18" s="15" t="s">
        <v>97</v>
      </c>
      <c r="I18" s="15" t="s">
        <v>160</v>
      </c>
      <c r="J18" s="15" t="n">
        <v>158</v>
      </c>
      <c r="K18" s="15" t="n">
        <v>158</v>
      </c>
      <c r="L18" s="15" t="n">
        <f aca="false">IF(OR(J18="",K18=""),"",MAX(J18-K18,0))</f>
        <v>0</v>
      </c>
      <c r="M18" s="15" t="s">
        <v>99</v>
      </c>
      <c r="N18" s="17" t="n">
        <v>1998</v>
      </c>
      <c r="O18" s="15" t="n">
        <f aca="false">IF(N18="","",Scoring!$B$4-N18)</f>
        <v>28</v>
      </c>
      <c r="P18" s="15" t="n">
        <f aca="false">IF(N18="","",N18+14)</f>
        <v>2012</v>
      </c>
      <c r="Q18" s="15" t="n">
        <f aca="false">IF(N18="","",IF(N18&lt;Scoring!$B$12,"n/a (pre-1990)",N18+Scoring!$B$13))</f>
        <v>2027</v>
      </c>
      <c r="R18" s="15" t="str">
        <f aca="false">IF(J18="","Unknown",IF(J18&gt;=5,"Yes","No (under 5 units)"))</f>
        <v>Yes</v>
      </c>
      <c r="S18" s="15" t="s">
        <v>168</v>
      </c>
      <c r="T18" s="18"/>
      <c r="U18" s="19"/>
      <c r="V18" s="18"/>
      <c r="W18" s="18"/>
      <c r="X18" s="20"/>
      <c r="Y18" s="18"/>
      <c r="Z18" s="18"/>
      <c r="AA18" s="21" t="n">
        <f aca="false">IF(U18&lt;&gt;"",(U18-Scoring!$B$3)/365.25,IF(N18="","",IF(N18&lt;Scoring!$B$12,"",(DATE(N18+Scoring!$B$13,12,31)-Scoring!$B$3)/365.25)))</f>
        <v>1.24572210814511</v>
      </c>
      <c r="AB18" s="22" t="n">
        <f aca="false">IF(T18="Y",0,IF(OR(D18="Expired (verified)",D18="Expiring: notice window (verified)",D18="Expiring: 10-yr horizon (verified)",D18="Past 30-yr mark (verify)",D18="30-yr mark: notice window (est.)",D18="Year-15 window"),1,0)+IF(ISNUMBER(O18),IF(O18&gt;=Scoring!$B$10,1,0),0)+IF(AND(ISNUMBER(L18),ISNUMBER(J18)),IF(J18&gt;0,IF(L18/J18&gt;=Scoring!$B$11,1,0),0),0)+IF(ISNUMBER(Z18),MIN(Z18,3),0))</f>
        <v>2</v>
      </c>
      <c r="AC18" s="22" t="n">
        <f aca="false">IF(AB18&gt;=3,Scoring!$C$24,IF(AB18=2,Scoring!$C$23,IF(AB18=1,Scoring!$C$22,0)))</f>
        <v>18</v>
      </c>
      <c r="AD18" s="22" t="n">
        <f aca="false">IF(T18="Y",0,IF(ISNUMBER(X18),IF(X18&gt;0.7,Scoring!$C$25,IF(X18&gt;=0.5,Scoring!$C$26,IF(X18&gt;=0.3,Scoring!$C$27,Scoring!$C$28))),Scoring!$C$29))</f>
        <v>10</v>
      </c>
      <c r="AE18" s="22" t="n">
        <f aca="false">IF(D18="Expiring: notice window (verified)",Scoring!$C$30,IF(OR(D18="Expired (verified)",D18="30-yr mark: notice window (est.)",D18="Year-15 window"),Scoring!$C$31,IF(D18="Expiring: 10-yr horizon (verified)",Scoring!$C$32,IF(D18="Past 30-yr mark (verify)",Scoring!$C$33,IF(OR(D18="Credit period",D18="Superseded record"),Scoring!$C$35,Scoring!$C$34)))))</f>
        <v>14</v>
      </c>
      <c r="AF18" s="22" t="n">
        <f aca="false">IF(T18="Y",0,IF(ISNUMBER(V18),IF(Scoring!$B$4-V18&gt;15,Scoring!$C$36,IF(Scoring!$B$4-V18&gt;=10,Scoring!$C$37,IF(Scoring!$B$4-V18&gt;=5,Scoring!$C$38,Scoring!$C$39))),IF(OR(N18="",D18="Out of program"),Scoring!$C$40,IF(O18&gt;15,Scoring!$C$36,IF(O18&gt;=10,Scoring!$C$37,IF(O18&gt;=5,Scoring!$C$38,Scoring!$C$39))))))</f>
        <v>15</v>
      </c>
      <c r="AG18" s="22" t="n">
        <f aca="false">IF(T18="Y",0,IF(Y18="Y",Scoring!$C$41,IF(ISNUMBER(O18),IF(O18&gt;=25,Scoring!$C$42,IF(O18&gt;=15,Scoring!$C$43,Scoring!$C$44)),Scoring!$C$44)))</f>
        <v>8</v>
      </c>
      <c r="AH18" s="22" t="n">
        <f aca="false">IF(T18="Y",0,IF(W18="",Scoring!$C$49,IFERROR(VLOOKUP(W18,Scoring!$B$45:$C$48,2,FALSE()),Scoring!$C$49)))</f>
        <v>5</v>
      </c>
      <c r="AI18" s="23" t="n">
        <f aca="false">C18+IF(ISNUMBER(J18),J18,0)/100000+(10000-ROW())/1000000000</f>
        <v>70.001589982</v>
      </c>
      <c r="AJ18" s="18"/>
      <c r="AK18" s="18"/>
      <c r="AL18" s="18"/>
      <c r="AM18" s="18"/>
    </row>
    <row r="19" customFormat="false" ht="15" hidden="false" customHeight="false" outlineLevel="0" collapsed="false">
      <c r="A19" s="15" t="n">
        <f aca="false">RANK(AI19,$AI$2:$AI$755)</f>
        <v>18</v>
      </c>
      <c r="B19" s="16" t="str">
        <f aca="false">IF(T19="Y","Superseded",IF(C19&gt;=Scoring!$B$16,"Immediate",IF(C19&gt;=Scoring!$B$17,"This week",IF(C19&gt;=Scoring!$B$18,"Nurture","Low"))))</f>
        <v>This week</v>
      </c>
      <c r="C19" s="3" t="n">
        <f aca="false">SUM(AC19:AH19)</f>
        <v>70</v>
      </c>
      <c r="D19" s="15" t="str">
        <f aca="false">IF(T19="Y","Superseded record",IF(AND(U19&lt;&gt;"",AA19&lt;0),"Expired (verified)",IF(AND(U19&lt;&gt;"",AA19&lt;=Scoring!$B$5),"Expiring: notice window (verified)",IF(AND(U19&lt;&gt;"",AA19&lt;=Scoring!$B$6),"Expiring: 10-yr horizon (verified)",IF(M19="No Longer Monitored","Out of program",IF(N19="","Unknown vintage",IF(N19&lt;Scoring!$B$12,"Pre-1990, still listed",IF(AND(U19="",AA19&lt;0),"Past 30-yr mark (verify)",IF(AND(U19="",AA19&lt;=Scoring!$B$5),"30-yr mark: notice window (est.)",IF(AND(O19&gt;=Scoring!$B$7,O19&lt;=Scoring!$B$8),"Year-15 window",IF(O19&gt;=Scoring!$B$9,"Recap window",IF(O19&gt;=11,"Late compliance","Credit period"))))))))))))</f>
        <v>30-yr mark: notice window (est.)</v>
      </c>
      <c r="E19" s="15" t="s">
        <v>169</v>
      </c>
      <c r="F19" s="15" t="s">
        <v>170</v>
      </c>
      <c r="G19" s="15" t="s">
        <v>171</v>
      </c>
      <c r="H19" s="15" t="s">
        <v>97</v>
      </c>
      <c r="I19" s="15" t="s">
        <v>98</v>
      </c>
      <c r="J19" s="15" t="n">
        <v>152</v>
      </c>
      <c r="K19" s="15" t="n">
        <v>152</v>
      </c>
      <c r="L19" s="15" t="n">
        <f aca="false">IF(OR(J19="",K19=""),"",MAX(J19-K19,0))</f>
        <v>0</v>
      </c>
      <c r="M19" s="15" t="s">
        <v>99</v>
      </c>
      <c r="N19" s="17" t="n">
        <v>1999</v>
      </c>
      <c r="O19" s="15" t="n">
        <f aca="false">IF(N19="","",Scoring!$B$4-N19)</f>
        <v>27</v>
      </c>
      <c r="P19" s="15" t="n">
        <f aca="false">IF(N19="","",N19+14)</f>
        <v>2013</v>
      </c>
      <c r="Q19" s="15" t="n">
        <f aca="false">IF(N19="","",IF(N19&lt;Scoring!$B$12,"n/a (pre-1990)",N19+Scoring!$B$13))</f>
        <v>2028</v>
      </c>
      <c r="R19" s="15" t="str">
        <f aca="false">IF(J19="","Unknown",IF(J19&gt;=5,"Yes","No (under 5 units)"))</f>
        <v>Yes</v>
      </c>
      <c r="S19" s="15"/>
      <c r="T19" s="18"/>
      <c r="U19" s="19"/>
      <c r="V19" s="18"/>
      <c r="W19" s="18"/>
      <c r="X19" s="20"/>
      <c r="Y19" s="18"/>
      <c r="Z19" s="18"/>
      <c r="AA19" s="21" t="n">
        <f aca="false">IF(U19&lt;&gt;"",(U19-Scoring!$B$3)/365.25,IF(N19="","",IF(N19&lt;Scoring!$B$12,"",(DATE(N19+Scoring!$B$13,12,31)-Scoring!$B$3)/365.25)))</f>
        <v>2.24777549623546</v>
      </c>
      <c r="AB19" s="22" t="n">
        <f aca="false">IF(T19="Y",0,IF(OR(D19="Expired (verified)",D19="Expiring: notice window (verified)",D19="Expiring: 10-yr horizon (verified)",D19="Past 30-yr mark (verify)",D19="30-yr mark: notice window (est.)",D19="Year-15 window"),1,0)+IF(ISNUMBER(O19),IF(O19&gt;=Scoring!$B$10,1,0),0)+IF(AND(ISNUMBER(L19),ISNUMBER(J19)),IF(J19&gt;0,IF(L19/J19&gt;=Scoring!$B$11,1,0),0),0)+IF(ISNUMBER(Z19),MIN(Z19,3),0))</f>
        <v>2</v>
      </c>
      <c r="AC19" s="22" t="n">
        <f aca="false">IF(AB19&gt;=3,Scoring!$C$24,IF(AB19=2,Scoring!$C$23,IF(AB19=1,Scoring!$C$22,0)))</f>
        <v>18</v>
      </c>
      <c r="AD19" s="22" t="n">
        <f aca="false">IF(T19="Y",0,IF(ISNUMBER(X19),IF(X19&gt;0.7,Scoring!$C$25,IF(X19&gt;=0.5,Scoring!$C$26,IF(X19&gt;=0.3,Scoring!$C$27,Scoring!$C$28))),Scoring!$C$29))</f>
        <v>10</v>
      </c>
      <c r="AE19" s="22" t="n">
        <f aca="false">IF(D19="Expiring: notice window (verified)",Scoring!$C$30,IF(OR(D19="Expired (verified)",D19="30-yr mark: notice window (est.)",D19="Year-15 window"),Scoring!$C$31,IF(D19="Expiring: 10-yr horizon (verified)",Scoring!$C$32,IF(D19="Past 30-yr mark (verify)",Scoring!$C$33,IF(OR(D19="Credit period",D19="Superseded record"),Scoring!$C$35,Scoring!$C$34)))))</f>
        <v>14</v>
      </c>
      <c r="AF19" s="22" t="n">
        <f aca="false">IF(T19="Y",0,IF(ISNUMBER(V19),IF(Scoring!$B$4-V19&gt;15,Scoring!$C$36,IF(Scoring!$B$4-V19&gt;=10,Scoring!$C$37,IF(Scoring!$B$4-V19&gt;=5,Scoring!$C$38,Scoring!$C$39))),IF(OR(N19="",D19="Out of program"),Scoring!$C$40,IF(O19&gt;15,Scoring!$C$36,IF(O19&gt;=10,Scoring!$C$37,IF(O19&gt;=5,Scoring!$C$38,Scoring!$C$39))))))</f>
        <v>15</v>
      </c>
      <c r="AG19" s="22" t="n">
        <f aca="false">IF(T19="Y",0,IF(Y19="Y",Scoring!$C$41,IF(ISNUMBER(O19),IF(O19&gt;=25,Scoring!$C$42,IF(O19&gt;=15,Scoring!$C$43,Scoring!$C$44)),Scoring!$C$44)))</f>
        <v>8</v>
      </c>
      <c r="AH19" s="22" t="n">
        <f aca="false">IF(T19="Y",0,IF(W19="",Scoring!$C$49,IFERROR(VLOOKUP(W19,Scoring!$B$45:$C$48,2,FALSE()),Scoring!$C$49)))</f>
        <v>5</v>
      </c>
      <c r="AI19" s="23" t="n">
        <f aca="false">C19+IF(ISNUMBER(J19),J19,0)/100000+(10000-ROW())/1000000000</f>
        <v>70.001529981</v>
      </c>
      <c r="AJ19" s="18"/>
      <c r="AK19" s="18"/>
      <c r="AL19" s="18"/>
      <c r="AM19" s="18"/>
    </row>
    <row r="20" customFormat="false" ht="15" hidden="false" customHeight="false" outlineLevel="0" collapsed="false">
      <c r="A20" s="15" t="n">
        <f aca="false">RANK(AI20,$AI$2:$AI$755)</f>
        <v>19</v>
      </c>
      <c r="B20" s="16" t="str">
        <f aca="false">IF(T20="Y","Superseded",IF(C20&gt;=Scoring!$B$16,"Immediate",IF(C20&gt;=Scoring!$B$17,"This week",IF(C20&gt;=Scoring!$B$18,"Nurture","Low"))))</f>
        <v>This week</v>
      </c>
      <c r="C20" s="3" t="n">
        <f aca="false">SUM(AC20:AH20)</f>
        <v>70</v>
      </c>
      <c r="D20" s="15" t="str">
        <f aca="false">IF(T20="Y","Superseded record",IF(AND(U20&lt;&gt;"",AA20&lt;0),"Expired (verified)",IF(AND(U20&lt;&gt;"",AA20&lt;=Scoring!$B$5),"Expiring: notice window (verified)",IF(AND(U20&lt;&gt;"",AA20&lt;=Scoring!$B$6),"Expiring: 10-yr horizon (verified)",IF(M20="No Longer Monitored","Out of program",IF(N20="","Unknown vintage",IF(N20&lt;Scoring!$B$12,"Pre-1990, still listed",IF(AND(U20="",AA20&lt;0),"Past 30-yr mark (verify)",IF(AND(U20="",AA20&lt;=Scoring!$B$5),"30-yr mark: notice window (est.)",IF(AND(O20&gt;=Scoring!$B$7,O20&lt;=Scoring!$B$8),"Year-15 window",IF(O20&gt;=Scoring!$B$9,"Recap window",IF(O20&gt;=11,"Late compliance","Credit period"))))))))))))</f>
        <v>30-yr mark: notice window (est.)</v>
      </c>
      <c r="E20" s="15" t="s">
        <v>172</v>
      </c>
      <c r="F20" s="15" t="s">
        <v>173</v>
      </c>
      <c r="G20" s="15" t="s">
        <v>174</v>
      </c>
      <c r="H20" s="15" t="s">
        <v>97</v>
      </c>
      <c r="I20" s="15" t="s">
        <v>175</v>
      </c>
      <c r="J20" s="15" t="n">
        <v>144</v>
      </c>
      <c r="K20" s="15" t="n">
        <v>144</v>
      </c>
      <c r="L20" s="15" t="n">
        <f aca="false">IF(OR(J20="",K20=""),"",MAX(J20-K20,0))</f>
        <v>0</v>
      </c>
      <c r="M20" s="15" t="s">
        <v>99</v>
      </c>
      <c r="N20" s="17" t="n">
        <v>1998</v>
      </c>
      <c r="O20" s="15" t="n">
        <f aca="false">IF(N20="","",Scoring!$B$4-N20)</f>
        <v>28</v>
      </c>
      <c r="P20" s="15" t="n">
        <f aca="false">IF(N20="","",N20+14)</f>
        <v>2012</v>
      </c>
      <c r="Q20" s="15" t="n">
        <f aca="false">IF(N20="","",IF(N20&lt;Scoring!$B$12,"n/a (pre-1990)",N20+Scoring!$B$13))</f>
        <v>2027</v>
      </c>
      <c r="R20" s="15" t="str">
        <f aca="false">IF(J20="","Unknown",IF(J20&gt;=5,"Yes","No (under 5 units)"))</f>
        <v>Yes</v>
      </c>
      <c r="S20" s="15"/>
      <c r="T20" s="18"/>
      <c r="U20" s="19"/>
      <c r="V20" s="18"/>
      <c r="W20" s="18"/>
      <c r="X20" s="20"/>
      <c r="Y20" s="18"/>
      <c r="Z20" s="18"/>
      <c r="AA20" s="21" t="n">
        <f aca="false">IF(U20&lt;&gt;"",(U20-Scoring!$B$3)/365.25,IF(N20="","",IF(N20&lt;Scoring!$B$12,"",(DATE(N20+Scoring!$B$13,12,31)-Scoring!$B$3)/365.25)))</f>
        <v>1.24572210814511</v>
      </c>
      <c r="AB20" s="22" t="n">
        <f aca="false">IF(T20="Y",0,IF(OR(D20="Expired (verified)",D20="Expiring: notice window (verified)",D20="Expiring: 10-yr horizon (verified)",D20="Past 30-yr mark (verify)",D20="30-yr mark: notice window (est.)",D20="Year-15 window"),1,0)+IF(ISNUMBER(O20),IF(O20&gt;=Scoring!$B$10,1,0),0)+IF(AND(ISNUMBER(L20),ISNUMBER(J20)),IF(J20&gt;0,IF(L20/J20&gt;=Scoring!$B$11,1,0),0),0)+IF(ISNUMBER(Z20),MIN(Z20,3),0))</f>
        <v>2</v>
      </c>
      <c r="AC20" s="22" t="n">
        <f aca="false">IF(AB20&gt;=3,Scoring!$C$24,IF(AB20=2,Scoring!$C$23,IF(AB20=1,Scoring!$C$22,0)))</f>
        <v>18</v>
      </c>
      <c r="AD20" s="22" t="n">
        <f aca="false">IF(T20="Y",0,IF(ISNUMBER(X20),IF(X20&gt;0.7,Scoring!$C$25,IF(X20&gt;=0.5,Scoring!$C$26,IF(X20&gt;=0.3,Scoring!$C$27,Scoring!$C$28))),Scoring!$C$29))</f>
        <v>10</v>
      </c>
      <c r="AE20" s="22" t="n">
        <f aca="false">IF(D20="Expiring: notice window (verified)",Scoring!$C$30,IF(OR(D20="Expired (verified)",D20="30-yr mark: notice window (est.)",D20="Year-15 window"),Scoring!$C$31,IF(D20="Expiring: 10-yr horizon (verified)",Scoring!$C$32,IF(D20="Past 30-yr mark (verify)",Scoring!$C$33,IF(OR(D20="Credit period",D20="Superseded record"),Scoring!$C$35,Scoring!$C$34)))))</f>
        <v>14</v>
      </c>
      <c r="AF20" s="22" t="n">
        <f aca="false">IF(T20="Y",0,IF(ISNUMBER(V20),IF(Scoring!$B$4-V20&gt;15,Scoring!$C$36,IF(Scoring!$B$4-V20&gt;=10,Scoring!$C$37,IF(Scoring!$B$4-V20&gt;=5,Scoring!$C$38,Scoring!$C$39))),IF(OR(N20="",D20="Out of program"),Scoring!$C$40,IF(O20&gt;15,Scoring!$C$36,IF(O20&gt;=10,Scoring!$C$37,IF(O20&gt;=5,Scoring!$C$38,Scoring!$C$39))))))</f>
        <v>15</v>
      </c>
      <c r="AG20" s="22" t="n">
        <f aca="false">IF(T20="Y",0,IF(Y20="Y",Scoring!$C$41,IF(ISNUMBER(O20),IF(O20&gt;=25,Scoring!$C$42,IF(O20&gt;=15,Scoring!$C$43,Scoring!$C$44)),Scoring!$C$44)))</f>
        <v>8</v>
      </c>
      <c r="AH20" s="22" t="n">
        <f aca="false">IF(T20="Y",0,IF(W20="",Scoring!$C$49,IFERROR(VLOOKUP(W20,Scoring!$B$45:$C$48,2,FALSE()),Scoring!$C$49)))</f>
        <v>5</v>
      </c>
      <c r="AI20" s="23" t="n">
        <f aca="false">C20+IF(ISNUMBER(J20),J20,0)/100000+(10000-ROW())/1000000000</f>
        <v>70.00144998</v>
      </c>
      <c r="AJ20" s="18"/>
      <c r="AK20" s="18"/>
      <c r="AL20" s="18"/>
      <c r="AM20" s="18"/>
    </row>
    <row r="21" customFormat="false" ht="15" hidden="false" customHeight="false" outlineLevel="0" collapsed="false">
      <c r="A21" s="15" t="n">
        <f aca="false">RANK(AI21,$AI$2:$AI$755)</f>
        <v>20</v>
      </c>
      <c r="B21" s="16" t="str">
        <f aca="false">IF(T21="Y","Superseded",IF(C21&gt;=Scoring!$B$16,"Immediate",IF(C21&gt;=Scoring!$B$17,"This week",IF(C21&gt;=Scoring!$B$18,"Nurture","Low"))))</f>
        <v>This week</v>
      </c>
      <c r="C21" s="3" t="n">
        <f aca="false">SUM(AC21:AH21)</f>
        <v>70</v>
      </c>
      <c r="D21" s="15" t="str">
        <f aca="false">IF(T21="Y","Superseded record",IF(AND(U21&lt;&gt;"",AA21&lt;0),"Expired (verified)",IF(AND(U21&lt;&gt;"",AA21&lt;=Scoring!$B$5),"Expiring: notice window (verified)",IF(AND(U21&lt;&gt;"",AA21&lt;=Scoring!$B$6),"Expiring: 10-yr horizon (verified)",IF(M21="No Longer Monitored","Out of program",IF(N21="","Unknown vintage",IF(N21&lt;Scoring!$B$12,"Pre-1990, still listed",IF(AND(U21="",AA21&lt;0),"Past 30-yr mark (verify)",IF(AND(U21="",AA21&lt;=Scoring!$B$5),"30-yr mark: notice window (est.)",IF(AND(O21&gt;=Scoring!$B$7,O21&lt;=Scoring!$B$8),"Year-15 window",IF(O21&gt;=Scoring!$B$9,"Recap window",IF(O21&gt;=11,"Late compliance","Credit period"))))))))))))</f>
        <v>30-yr mark: notice window (est.)</v>
      </c>
      <c r="E21" s="15" t="s">
        <v>176</v>
      </c>
      <c r="F21" s="15" t="s">
        <v>177</v>
      </c>
      <c r="G21" s="15" t="s">
        <v>167</v>
      </c>
      <c r="H21" s="15" t="s">
        <v>97</v>
      </c>
      <c r="I21" s="15" t="s">
        <v>160</v>
      </c>
      <c r="J21" s="15" t="n">
        <v>139</v>
      </c>
      <c r="K21" s="15" t="n">
        <v>136</v>
      </c>
      <c r="L21" s="15" t="n">
        <f aca="false">IF(OR(J21="",K21=""),"",MAX(J21-K21,0))</f>
        <v>3</v>
      </c>
      <c r="M21" s="15" t="s">
        <v>99</v>
      </c>
      <c r="N21" s="17" t="n">
        <v>1999</v>
      </c>
      <c r="O21" s="15" t="n">
        <f aca="false">IF(N21="","",Scoring!$B$4-N21)</f>
        <v>27</v>
      </c>
      <c r="P21" s="15" t="n">
        <f aca="false">IF(N21="","",N21+14)</f>
        <v>2013</v>
      </c>
      <c r="Q21" s="15" t="n">
        <f aca="false">IF(N21="","",IF(N21&lt;Scoring!$B$12,"n/a (pre-1990)",N21+Scoring!$B$13))</f>
        <v>2028</v>
      </c>
      <c r="R21" s="15" t="str">
        <f aca="false">IF(J21="","Unknown",IF(J21&gt;=5,"Yes","No (under 5 units)"))</f>
        <v>Yes</v>
      </c>
      <c r="S21" s="15" t="s">
        <v>178</v>
      </c>
      <c r="T21" s="18"/>
      <c r="U21" s="19"/>
      <c r="V21" s="18"/>
      <c r="W21" s="18"/>
      <c r="X21" s="20"/>
      <c r="Y21" s="18"/>
      <c r="Z21" s="18"/>
      <c r="AA21" s="21" t="n">
        <f aca="false">IF(U21&lt;&gt;"",(U21-Scoring!$B$3)/365.25,IF(N21="","",IF(N21&lt;Scoring!$B$12,"",(DATE(N21+Scoring!$B$13,12,31)-Scoring!$B$3)/365.25)))</f>
        <v>2.24777549623546</v>
      </c>
      <c r="AB21" s="22" t="n">
        <f aca="false">IF(T21="Y",0,IF(OR(D21="Expired (verified)",D21="Expiring: notice window (verified)",D21="Expiring: 10-yr horizon (verified)",D21="Past 30-yr mark (verify)",D21="30-yr mark: notice window (est.)",D21="Year-15 window"),1,0)+IF(ISNUMBER(O21),IF(O21&gt;=Scoring!$B$10,1,0),0)+IF(AND(ISNUMBER(L21),ISNUMBER(J21)),IF(J21&gt;0,IF(L21/J21&gt;=Scoring!$B$11,1,0),0),0)+IF(ISNUMBER(Z21),MIN(Z21,3),0))</f>
        <v>2</v>
      </c>
      <c r="AC21" s="22" t="n">
        <f aca="false">IF(AB21&gt;=3,Scoring!$C$24,IF(AB21=2,Scoring!$C$23,IF(AB21=1,Scoring!$C$22,0)))</f>
        <v>18</v>
      </c>
      <c r="AD21" s="22" t="n">
        <f aca="false">IF(T21="Y",0,IF(ISNUMBER(X21),IF(X21&gt;0.7,Scoring!$C$25,IF(X21&gt;=0.5,Scoring!$C$26,IF(X21&gt;=0.3,Scoring!$C$27,Scoring!$C$28))),Scoring!$C$29))</f>
        <v>10</v>
      </c>
      <c r="AE21" s="22" t="n">
        <f aca="false">IF(D21="Expiring: notice window (verified)",Scoring!$C$30,IF(OR(D21="Expired (verified)",D21="30-yr mark: notice window (est.)",D21="Year-15 window"),Scoring!$C$31,IF(D21="Expiring: 10-yr horizon (verified)",Scoring!$C$32,IF(D21="Past 30-yr mark (verify)",Scoring!$C$33,IF(OR(D21="Credit period",D21="Superseded record"),Scoring!$C$35,Scoring!$C$34)))))</f>
        <v>14</v>
      </c>
      <c r="AF21" s="22" t="n">
        <f aca="false">IF(T21="Y",0,IF(ISNUMBER(V21),IF(Scoring!$B$4-V21&gt;15,Scoring!$C$36,IF(Scoring!$B$4-V21&gt;=10,Scoring!$C$37,IF(Scoring!$B$4-V21&gt;=5,Scoring!$C$38,Scoring!$C$39))),IF(OR(N21="",D21="Out of program"),Scoring!$C$40,IF(O21&gt;15,Scoring!$C$36,IF(O21&gt;=10,Scoring!$C$37,IF(O21&gt;=5,Scoring!$C$38,Scoring!$C$39))))))</f>
        <v>15</v>
      </c>
      <c r="AG21" s="22" t="n">
        <f aca="false">IF(T21="Y",0,IF(Y21="Y",Scoring!$C$41,IF(ISNUMBER(O21),IF(O21&gt;=25,Scoring!$C$42,IF(O21&gt;=15,Scoring!$C$43,Scoring!$C$44)),Scoring!$C$44)))</f>
        <v>8</v>
      </c>
      <c r="AH21" s="22" t="n">
        <f aca="false">IF(T21="Y",0,IF(W21="",Scoring!$C$49,IFERROR(VLOOKUP(W21,Scoring!$B$45:$C$48,2,FALSE()),Scoring!$C$49)))</f>
        <v>5</v>
      </c>
      <c r="AI21" s="23" t="n">
        <f aca="false">C21+IF(ISNUMBER(J21),J21,0)/100000+(10000-ROW())/1000000000</f>
        <v>70.001399979</v>
      </c>
      <c r="AJ21" s="18"/>
      <c r="AK21" s="18"/>
      <c r="AL21" s="18"/>
      <c r="AM21" s="18"/>
    </row>
    <row r="22" customFormat="false" ht="15" hidden="false" customHeight="false" outlineLevel="0" collapsed="false">
      <c r="A22" s="15" t="n">
        <f aca="false">RANK(AI22,$AI$2:$AI$755)</f>
        <v>21</v>
      </c>
      <c r="B22" s="16" t="str">
        <f aca="false">IF(T22="Y","Superseded",IF(C22&gt;=Scoring!$B$16,"Immediate",IF(C22&gt;=Scoring!$B$17,"This week",IF(C22&gt;=Scoring!$B$18,"Nurture","Low"))))</f>
        <v>This week</v>
      </c>
      <c r="C22" s="3" t="n">
        <f aca="false">SUM(AC22:AH22)</f>
        <v>70</v>
      </c>
      <c r="D22" s="15" t="str">
        <f aca="false">IF(T22="Y","Superseded record",IF(AND(U22&lt;&gt;"",AA22&lt;0),"Expired (verified)",IF(AND(U22&lt;&gt;"",AA22&lt;=Scoring!$B$5),"Expiring: notice window (verified)",IF(AND(U22&lt;&gt;"",AA22&lt;=Scoring!$B$6),"Expiring: 10-yr horizon (verified)",IF(M22="No Longer Monitored","Out of program",IF(N22="","Unknown vintage",IF(N22&lt;Scoring!$B$12,"Pre-1990, still listed",IF(AND(U22="",AA22&lt;0),"Past 30-yr mark (verify)",IF(AND(U22="",AA22&lt;=Scoring!$B$5),"30-yr mark: notice window (est.)",IF(AND(O22&gt;=Scoring!$B$7,O22&lt;=Scoring!$B$8),"Year-15 window",IF(O22&gt;=Scoring!$B$9,"Recap window",IF(O22&gt;=11,"Late compliance","Credit period"))))))))))))</f>
        <v>30-yr mark: notice window (est.)</v>
      </c>
      <c r="E22" s="15" t="s">
        <v>179</v>
      </c>
      <c r="F22" s="15" t="s">
        <v>180</v>
      </c>
      <c r="G22" s="15" t="s">
        <v>181</v>
      </c>
      <c r="H22" s="15" t="s">
        <v>97</v>
      </c>
      <c r="I22" s="15" t="s">
        <v>156</v>
      </c>
      <c r="J22" s="15" t="n">
        <v>132</v>
      </c>
      <c r="K22" s="15" t="n">
        <v>132</v>
      </c>
      <c r="L22" s="15" t="n">
        <f aca="false">IF(OR(J22="",K22=""),"",MAX(J22-K22,0))</f>
        <v>0</v>
      </c>
      <c r="M22" s="15" t="s">
        <v>99</v>
      </c>
      <c r="N22" s="17" t="n">
        <v>1998</v>
      </c>
      <c r="O22" s="15" t="n">
        <f aca="false">IF(N22="","",Scoring!$B$4-N22)</f>
        <v>28</v>
      </c>
      <c r="P22" s="15" t="n">
        <f aca="false">IF(N22="","",N22+14)</f>
        <v>2012</v>
      </c>
      <c r="Q22" s="15" t="n">
        <f aca="false">IF(N22="","",IF(N22&lt;Scoring!$B$12,"n/a (pre-1990)",N22+Scoring!$B$13))</f>
        <v>2027</v>
      </c>
      <c r="R22" s="15" t="str">
        <f aca="false">IF(J22="","Unknown",IF(J22&gt;=5,"Yes","No (under 5 units)"))</f>
        <v>Yes</v>
      </c>
      <c r="S22" s="15"/>
      <c r="T22" s="18"/>
      <c r="U22" s="19"/>
      <c r="V22" s="18"/>
      <c r="W22" s="18"/>
      <c r="X22" s="20"/>
      <c r="Y22" s="18"/>
      <c r="Z22" s="18"/>
      <c r="AA22" s="21" t="n">
        <f aca="false">IF(U22&lt;&gt;"",(U22-Scoring!$B$3)/365.25,IF(N22="","",IF(N22&lt;Scoring!$B$12,"",(DATE(N22+Scoring!$B$13,12,31)-Scoring!$B$3)/365.25)))</f>
        <v>1.24572210814511</v>
      </c>
      <c r="AB22" s="22" t="n">
        <f aca="false">IF(T22="Y",0,IF(OR(D22="Expired (verified)",D22="Expiring: notice window (verified)",D22="Expiring: 10-yr horizon (verified)",D22="Past 30-yr mark (verify)",D22="30-yr mark: notice window (est.)",D22="Year-15 window"),1,0)+IF(ISNUMBER(O22),IF(O22&gt;=Scoring!$B$10,1,0),0)+IF(AND(ISNUMBER(L22),ISNUMBER(J22)),IF(J22&gt;0,IF(L22/J22&gt;=Scoring!$B$11,1,0),0),0)+IF(ISNUMBER(Z22),MIN(Z22,3),0))</f>
        <v>2</v>
      </c>
      <c r="AC22" s="22" t="n">
        <f aca="false">IF(AB22&gt;=3,Scoring!$C$24,IF(AB22=2,Scoring!$C$23,IF(AB22=1,Scoring!$C$22,0)))</f>
        <v>18</v>
      </c>
      <c r="AD22" s="22" t="n">
        <f aca="false">IF(T22="Y",0,IF(ISNUMBER(X22),IF(X22&gt;0.7,Scoring!$C$25,IF(X22&gt;=0.5,Scoring!$C$26,IF(X22&gt;=0.3,Scoring!$C$27,Scoring!$C$28))),Scoring!$C$29))</f>
        <v>10</v>
      </c>
      <c r="AE22" s="22" t="n">
        <f aca="false">IF(D22="Expiring: notice window (verified)",Scoring!$C$30,IF(OR(D22="Expired (verified)",D22="30-yr mark: notice window (est.)",D22="Year-15 window"),Scoring!$C$31,IF(D22="Expiring: 10-yr horizon (verified)",Scoring!$C$32,IF(D22="Past 30-yr mark (verify)",Scoring!$C$33,IF(OR(D22="Credit period",D22="Superseded record"),Scoring!$C$35,Scoring!$C$34)))))</f>
        <v>14</v>
      </c>
      <c r="AF22" s="22" t="n">
        <f aca="false">IF(T22="Y",0,IF(ISNUMBER(V22),IF(Scoring!$B$4-V22&gt;15,Scoring!$C$36,IF(Scoring!$B$4-V22&gt;=10,Scoring!$C$37,IF(Scoring!$B$4-V22&gt;=5,Scoring!$C$38,Scoring!$C$39))),IF(OR(N22="",D22="Out of program"),Scoring!$C$40,IF(O22&gt;15,Scoring!$C$36,IF(O22&gt;=10,Scoring!$C$37,IF(O22&gt;=5,Scoring!$C$38,Scoring!$C$39))))))</f>
        <v>15</v>
      </c>
      <c r="AG22" s="22" t="n">
        <f aca="false">IF(T22="Y",0,IF(Y22="Y",Scoring!$C$41,IF(ISNUMBER(O22),IF(O22&gt;=25,Scoring!$C$42,IF(O22&gt;=15,Scoring!$C$43,Scoring!$C$44)),Scoring!$C$44)))</f>
        <v>8</v>
      </c>
      <c r="AH22" s="22" t="n">
        <f aca="false">IF(T22="Y",0,IF(W22="",Scoring!$C$49,IFERROR(VLOOKUP(W22,Scoring!$B$45:$C$48,2,FALSE()),Scoring!$C$49)))</f>
        <v>5</v>
      </c>
      <c r="AI22" s="23" t="n">
        <f aca="false">C22+IF(ISNUMBER(J22),J22,0)/100000+(10000-ROW())/1000000000</f>
        <v>70.001329978</v>
      </c>
      <c r="AJ22" s="18"/>
      <c r="AK22" s="18"/>
      <c r="AL22" s="18"/>
      <c r="AM22" s="18"/>
    </row>
    <row r="23" customFormat="false" ht="15" hidden="false" customHeight="false" outlineLevel="0" collapsed="false">
      <c r="A23" s="15" t="n">
        <f aca="false">RANK(AI23,$AI$2:$AI$755)</f>
        <v>22</v>
      </c>
      <c r="B23" s="16" t="str">
        <f aca="false">IF(T23="Y","Superseded",IF(C23&gt;=Scoring!$B$16,"Immediate",IF(C23&gt;=Scoring!$B$17,"This week",IF(C23&gt;=Scoring!$B$18,"Nurture","Low"))))</f>
        <v>This week</v>
      </c>
      <c r="C23" s="3" t="n">
        <f aca="false">SUM(AC23:AH23)</f>
        <v>70</v>
      </c>
      <c r="D23" s="15" t="str">
        <f aca="false">IF(T23="Y","Superseded record",IF(AND(U23&lt;&gt;"",AA23&lt;0),"Expired (verified)",IF(AND(U23&lt;&gt;"",AA23&lt;=Scoring!$B$5),"Expiring: notice window (verified)",IF(AND(U23&lt;&gt;"",AA23&lt;=Scoring!$B$6),"Expiring: 10-yr horizon (verified)",IF(M23="No Longer Monitored","Out of program",IF(N23="","Unknown vintage",IF(N23&lt;Scoring!$B$12,"Pre-1990, still listed",IF(AND(U23="",AA23&lt;0),"Past 30-yr mark (verify)",IF(AND(U23="",AA23&lt;=Scoring!$B$5),"30-yr mark: notice window (est.)",IF(AND(O23&gt;=Scoring!$B$7,O23&lt;=Scoring!$B$8),"Year-15 window",IF(O23&gt;=Scoring!$B$9,"Recap window",IF(O23&gt;=11,"Late compliance","Credit period"))))))))))))</f>
        <v>30-yr mark: notice window (est.)</v>
      </c>
      <c r="E23" s="15" t="s">
        <v>182</v>
      </c>
      <c r="F23" s="15" t="s">
        <v>183</v>
      </c>
      <c r="G23" s="15" t="s">
        <v>184</v>
      </c>
      <c r="H23" s="15" t="s">
        <v>185</v>
      </c>
      <c r="I23" s="15" t="s">
        <v>186</v>
      </c>
      <c r="J23" s="15" t="n">
        <v>121</v>
      </c>
      <c r="K23" s="15"/>
      <c r="L23" s="15" t="str">
        <f aca="false">IF(OR(J23="",K23=""),"",MAX(J23-K23,0))</f>
        <v/>
      </c>
      <c r="M23" s="15" t="s">
        <v>99</v>
      </c>
      <c r="N23" s="17" t="n">
        <v>1998</v>
      </c>
      <c r="O23" s="15" t="n">
        <f aca="false">IF(N23="","",Scoring!$B$4-N23)</f>
        <v>28</v>
      </c>
      <c r="P23" s="15" t="n">
        <f aca="false">IF(N23="","",N23+14)</f>
        <v>2012</v>
      </c>
      <c r="Q23" s="15" t="n">
        <f aca="false">IF(N23="","",IF(N23&lt;Scoring!$B$12,"n/a (pre-1990)",N23+Scoring!$B$13))</f>
        <v>2027</v>
      </c>
      <c r="R23" s="15" t="str">
        <f aca="false">IF(J23="","Unknown",IF(J23&gt;=5,"Yes","No (under 5 units)"))</f>
        <v>Yes</v>
      </c>
      <c r="S23" s="15"/>
      <c r="T23" s="18"/>
      <c r="U23" s="19"/>
      <c r="V23" s="18"/>
      <c r="W23" s="18"/>
      <c r="X23" s="20"/>
      <c r="Y23" s="18"/>
      <c r="Z23" s="18"/>
      <c r="AA23" s="21" t="n">
        <f aca="false">IF(U23&lt;&gt;"",(U23-Scoring!$B$3)/365.25,IF(N23="","",IF(N23&lt;Scoring!$B$12,"",(DATE(N23+Scoring!$B$13,12,31)-Scoring!$B$3)/365.25)))</f>
        <v>1.24572210814511</v>
      </c>
      <c r="AB23" s="22" t="n">
        <f aca="false">IF(T23="Y",0,IF(OR(D23="Expired (verified)",D23="Expiring: notice window (verified)",D23="Expiring: 10-yr horizon (verified)",D23="Past 30-yr mark (verify)",D23="30-yr mark: notice window (est.)",D23="Year-15 window"),1,0)+IF(ISNUMBER(O23),IF(O23&gt;=Scoring!$B$10,1,0),0)+IF(AND(ISNUMBER(L23),ISNUMBER(J23)),IF(J23&gt;0,IF(L23/J23&gt;=Scoring!$B$11,1,0),0),0)+IF(ISNUMBER(Z23),MIN(Z23,3),0))</f>
        <v>2</v>
      </c>
      <c r="AC23" s="22" t="n">
        <f aca="false">IF(AB23&gt;=3,Scoring!$C$24,IF(AB23=2,Scoring!$C$23,IF(AB23=1,Scoring!$C$22,0)))</f>
        <v>18</v>
      </c>
      <c r="AD23" s="22" t="n">
        <f aca="false">IF(T23="Y",0,IF(ISNUMBER(X23),IF(X23&gt;0.7,Scoring!$C$25,IF(X23&gt;=0.5,Scoring!$C$26,IF(X23&gt;=0.3,Scoring!$C$27,Scoring!$C$28))),Scoring!$C$29))</f>
        <v>10</v>
      </c>
      <c r="AE23" s="22" t="n">
        <f aca="false">IF(D23="Expiring: notice window (verified)",Scoring!$C$30,IF(OR(D23="Expired (verified)",D23="30-yr mark: notice window (est.)",D23="Year-15 window"),Scoring!$C$31,IF(D23="Expiring: 10-yr horizon (verified)",Scoring!$C$32,IF(D23="Past 30-yr mark (verify)",Scoring!$C$33,IF(OR(D23="Credit period",D23="Superseded record"),Scoring!$C$35,Scoring!$C$34)))))</f>
        <v>14</v>
      </c>
      <c r="AF23" s="22" t="n">
        <f aca="false">IF(T23="Y",0,IF(ISNUMBER(V23),IF(Scoring!$B$4-V23&gt;15,Scoring!$C$36,IF(Scoring!$B$4-V23&gt;=10,Scoring!$C$37,IF(Scoring!$B$4-V23&gt;=5,Scoring!$C$38,Scoring!$C$39))),IF(OR(N23="",D23="Out of program"),Scoring!$C$40,IF(O23&gt;15,Scoring!$C$36,IF(O23&gt;=10,Scoring!$C$37,IF(O23&gt;=5,Scoring!$C$38,Scoring!$C$39))))))</f>
        <v>15</v>
      </c>
      <c r="AG23" s="22" t="n">
        <f aca="false">IF(T23="Y",0,IF(Y23="Y",Scoring!$C$41,IF(ISNUMBER(O23),IF(O23&gt;=25,Scoring!$C$42,IF(O23&gt;=15,Scoring!$C$43,Scoring!$C$44)),Scoring!$C$44)))</f>
        <v>8</v>
      </c>
      <c r="AH23" s="22" t="n">
        <f aca="false">IF(T23="Y",0,IF(W23="",Scoring!$C$49,IFERROR(VLOOKUP(W23,Scoring!$B$45:$C$48,2,FALSE()),Scoring!$C$49)))</f>
        <v>5</v>
      </c>
      <c r="AI23" s="23" t="n">
        <f aca="false">C23+IF(ISNUMBER(J23),J23,0)/100000+(10000-ROW())/1000000000</f>
        <v>70.001219977</v>
      </c>
      <c r="AJ23" s="18"/>
      <c r="AK23" s="18"/>
      <c r="AL23" s="18"/>
      <c r="AM23" s="18"/>
    </row>
    <row r="24" customFormat="false" ht="15" hidden="false" customHeight="false" outlineLevel="0" collapsed="false">
      <c r="A24" s="15" t="n">
        <f aca="false">RANK(AI24,$AI$2:$AI$755)</f>
        <v>23</v>
      </c>
      <c r="B24" s="16" t="str">
        <f aca="false">IF(T24="Y","Superseded",IF(C24&gt;=Scoring!$B$16,"Immediate",IF(C24&gt;=Scoring!$B$17,"This week",IF(C24&gt;=Scoring!$B$18,"Nurture","Low"))))</f>
        <v>This week</v>
      </c>
      <c r="C24" s="3" t="n">
        <f aca="false">SUM(AC24:AH24)</f>
        <v>70</v>
      </c>
      <c r="D24" s="15" t="str">
        <f aca="false">IF(T24="Y","Superseded record",IF(AND(U24&lt;&gt;"",AA24&lt;0),"Expired (verified)",IF(AND(U24&lt;&gt;"",AA24&lt;=Scoring!$B$5),"Expiring: notice window (verified)",IF(AND(U24&lt;&gt;"",AA24&lt;=Scoring!$B$6),"Expiring: 10-yr horizon (verified)",IF(M24="No Longer Monitored","Out of program",IF(N24="","Unknown vintage",IF(N24&lt;Scoring!$B$12,"Pre-1990, still listed",IF(AND(U24="",AA24&lt;0),"Past 30-yr mark (verify)",IF(AND(U24="",AA24&lt;=Scoring!$B$5),"30-yr mark: notice window (est.)",IF(AND(O24&gt;=Scoring!$B$7,O24&lt;=Scoring!$B$8),"Year-15 window",IF(O24&gt;=Scoring!$B$9,"Recap window",IF(O24&gt;=11,"Late compliance","Credit period"))))))))))))</f>
        <v>30-yr mark: notice window (est.)</v>
      </c>
      <c r="E24" s="15" t="s">
        <v>187</v>
      </c>
      <c r="F24" s="15" t="s">
        <v>188</v>
      </c>
      <c r="G24" s="15" t="s">
        <v>189</v>
      </c>
      <c r="H24" s="15" t="s">
        <v>190</v>
      </c>
      <c r="I24" s="15" t="s">
        <v>191</v>
      </c>
      <c r="J24" s="15" t="n">
        <v>120</v>
      </c>
      <c r="K24" s="15" t="n">
        <v>120</v>
      </c>
      <c r="L24" s="15" t="n">
        <f aca="false">IF(OR(J24="",K24=""),"",MAX(J24-K24,0))</f>
        <v>0</v>
      </c>
      <c r="M24" s="15" t="s">
        <v>99</v>
      </c>
      <c r="N24" s="17" t="n">
        <v>1997</v>
      </c>
      <c r="O24" s="15" t="n">
        <f aca="false">IF(N24="","",Scoring!$B$4-N24)</f>
        <v>29</v>
      </c>
      <c r="P24" s="15" t="n">
        <f aca="false">IF(N24="","",N24+14)</f>
        <v>2011</v>
      </c>
      <c r="Q24" s="15" t="n">
        <f aca="false">IF(N24="","",IF(N24&lt;Scoring!$B$12,"n/a (pre-1990)",N24+Scoring!$B$13))</f>
        <v>2026</v>
      </c>
      <c r="R24" s="15" t="str">
        <f aca="false">IF(J24="","Unknown",IF(J24&gt;=5,"Yes","No (under 5 units)"))</f>
        <v>Yes</v>
      </c>
      <c r="S24" s="15"/>
      <c r="T24" s="18"/>
      <c r="U24" s="19"/>
      <c r="V24" s="18"/>
      <c r="W24" s="18"/>
      <c r="X24" s="20"/>
      <c r="Y24" s="18"/>
      <c r="Z24" s="18"/>
      <c r="AA24" s="21" t="n">
        <f aca="false">IF(U24&lt;&gt;"",(U24-Scoring!$B$3)/365.25,IF(N24="","",IF(N24&lt;Scoring!$B$12,"",(DATE(N24+Scoring!$B$13,12,31)-Scoring!$B$3)/365.25)))</f>
        <v>0.246406570841889</v>
      </c>
      <c r="AB24" s="22" t="n">
        <f aca="false">IF(T24="Y",0,IF(OR(D24="Expired (verified)",D24="Expiring: notice window (verified)",D24="Expiring: 10-yr horizon (verified)",D24="Past 30-yr mark (verify)",D24="30-yr mark: notice window (est.)",D24="Year-15 window"),1,0)+IF(ISNUMBER(O24),IF(O24&gt;=Scoring!$B$10,1,0),0)+IF(AND(ISNUMBER(L24),ISNUMBER(J24)),IF(J24&gt;0,IF(L24/J24&gt;=Scoring!$B$11,1,0),0),0)+IF(ISNUMBER(Z24),MIN(Z24,3),0))</f>
        <v>2</v>
      </c>
      <c r="AC24" s="22" t="n">
        <f aca="false">IF(AB24&gt;=3,Scoring!$C$24,IF(AB24=2,Scoring!$C$23,IF(AB24=1,Scoring!$C$22,0)))</f>
        <v>18</v>
      </c>
      <c r="AD24" s="22" t="n">
        <f aca="false">IF(T24="Y",0,IF(ISNUMBER(X24),IF(X24&gt;0.7,Scoring!$C$25,IF(X24&gt;=0.5,Scoring!$C$26,IF(X24&gt;=0.3,Scoring!$C$27,Scoring!$C$28))),Scoring!$C$29))</f>
        <v>10</v>
      </c>
      <c r="AE24" s="22" t="n">
        <f aca="false">IF(D24="Expiring: notice window (verified)",Scoring!$C$30,IF(OR(D24="Expired (verified)",D24="30-yr mark: notice window (est.)",D24="Year-15 window"),Scoring!$C$31,IF(D24="Expiring: 10-yr horizon (verified)",Scoring!$C$32,IF(D24="Past 30-yr mark (verify)",Scoring!$C$33,IF(OR(D24="Credit period",D24="Superseded record"),Scoring!$C$35,Scoring!$C$34)))))</f>
        <v>14</v>
      </c>
      <c r="AF24" s="22" t="n">
        <f aca="false">IF(T24="Y",0,IF(ISNUMBER(V24),IF(Scoring!$B$4-V24&gt;15,Scoring!$C$36,IF(Scoring!$B$4-V24&gt;=10,Scoring!$C$37,IF(Scoring!$B$4-V24&gt;=5,Scoring!$C$38,Scoring!$C$39))),IF(OR(N24="",D24="Out of program"),Scoring!$C$40,IF(O24&gt;15,Scoring!$C$36,IF(O24&gt;=10,Scoring!$C$37,IF(O24&gt;=5,Scoring!$C$38,Scoring!$C$39))))))</f>
        <v>15</v>
      </c>
      <c r="AG24" s="22" t="n">
        <f aca="false">IF(T24="Y",0,IF(Y24="Y",Scoring!$C$41,IF(ISNUMBER(O24),IF(O24&gt;=25,Scoring!$C$42,IF(O24&gt;=15,Scoring!$C$43,Scoring!$C$44)),Scoring!$C$44)))</f>
        <v>8</v>
      </c>
      <c r="AH24" s="22" t="n">
        <f aca="false">IF(T24="Y",0,IF(W24="",Scoring!$C$49,IFERROR(VLOOKUP(W24,Scoring!$B$45:$C$48,2,FALSE()),Scoring!$C$49)))</f>
        <v>5</v>
      </c>
      <c r="AI24" s="23" t="n">
        <f aca="false">C24+IF(ISNUMBER(J24),J24,0)/100000+(10000-ROW())/1000000000</f>
        <v>70.001209976</v>
      </c>
      <c r="AJ24" s="18"/>
      <c r="AK24" s="18"/>
      <c r="AL24" s="18"/>
      <c r="AM24" s="18"/>
    </row>
    <row r="25" customFormat="false" ht="15" hidden="false" customHeight="false" outlineLevel="0" collapsed="false">
      <c r="A25" s="15" t="n">
        <f aca="false">RANK(AI25,$AI$2:$AI$755)</f>
        <v>24</v>
      </c>
      <c r="B25" s="16" t="str">
        <f aca="false">IF(T25="Y","Superseded",IF(C25&gt;=Scoring!$B$16,"Immediate",IF(C25&gt;=Scoring!$B$17,"This week",IF(C25&gt;=Scoring!$B$18,"Nurture","Low"))))</f>
        <v>This week</v>
      </c>
      <c r="C25" s="3" t="n">
        <f aca="false">SUM(AC25:AH25)</f>
        <v>70</v>
      </c>
      <c r="D25" s="15" t="str">
        <f aca="false">IF(T25="Y","Superseded record",IF(AND(U25&lt;&gt;"",AA25&lt;0),"Expired (verified)",IF(AND(U25&lt;&gt;"",AA25&lt;=Scoring!$B$5),"Expiring: notice window (verified)",IF(AND(U25&lt;&gt;"",AA25&lt;=Scoring!$B$6),"Expiring: 10-yr horizon (verified)",IF(M25="No Longer Monitored","Out of program",IF(N25="","Unknown vintage",IF(N25&lt;Scoring!$B$12,"Pre-1990, still listed",IF(AND(U25="",AA25&lt;0),"Past 30-yr mark (verify)",IF(AND(U25="",AA25&lt;=Scoring!$B$5),"30-yr mark: notice window (est.)",IF(AND(O25&gt;=Scoring!$B$7,O25&lt;=Scoring!$B$8),"Year-15 window",IF(O25&gt;=Scoring!$B$9,"Recap window",IF(O25&gt;=11,"Late compliance","Credit period"))))))))))))</f>
        <v>30-yr mark: notice window (est.)</v>
      </c>
      <c r="E25" s="15" t="s">
        <v>192</v>
      </c>
      <c r="F25" s="15" t="s">
        <v>193</v>
      </c>
      <c r="G25" s="15" t="s">
        <v>194</v>
      </c>
      <c r="H25" s="15" t="s">
        <v>97</v>
      </c>
      <c r="I25" s="15" t="s">
        <v>195</v>
      </c>
      <c r="J25" s="15" t="n">
        <v>114</v>
      </c>
      <c r="K25" s="15" t="n">
        <v>114</v>
      </c>
      <c r="L25" s="15" t="n">
        <f aca="false">IF(OR(J25="",K25=""),"",MAX(J25-K25,0))</f>
        <v>0</v>
      </c>
      <c r="M25" s="15" t="s">
        <v>99</v>
      </c>
      <c r="N25" s="17" t="n">
        <v>1998</v>
      </c>
      <c r="O25" s="15" t="n">
        <f aca="false">IF(N25="","",Scoring!$B$4-N25)</f>
        <v>28</v>
      </c>
      <c r="P25" s="15" t="n">
        <f aca="false">IF(N25="","",N25+14)</f>
        <v>2012</v>
      </c>
      <c r="Q25" s="15" t="n">
        <f aca="false">IF(N25="","",IF(N25&lt;Scoring!$B$12,"n/a (pre-1990)",N25+Scoring!$B$13))</f>
        <v>2027</v>
      </c>
      <c r="R25" s="15" t="str">
        <f aca="false">IF(J25="","Unknown",IF(J25&gt;=5,"Yes","No (under 5 units)"))</f>
        <v>Yes</v>
      </c>
      <c r="S25" s="15"/>
      <c r="T25" s="18"/>
      <c r="U25" s="19"/>
      <c r="V25" s="18"/>
      <c r="W25" s="18"/>
      <c r="X25" s="20"/>
      <c r="Y25" s="18"/>
      <c r="Z25" s="18"/>
      <c r="AA25" s="21" t="n">
        <f aca="false">IF(U25&lt;&gt;"",(U25-Scoring!$B$3)/365.25,IF(N25="","",IF(N25&lt;Scoring!$B$12,"",(DATE(N25+Scoring!$B$13,12,31)-Scoring!$B$3)/365.25)))</f>
        <v>1.24572210814511</v>
      </c>
      <c r="AB25" s="22" t="n">
        <f aca="false">IF(T25="Y",0,IF(OR(D25="Expired (verified)",D25="Expiring: notice window (verified)",D25="Expiring: 10-yr horizon (verified)",D25="Past 30-yr mark (verify)",D25="30-yr mark: notice window (est.)",D25="Year-15 window"),1,0)+IF(ISNUMBER(O25),IF(O25&gt;=Scoring!$B$10,1,0),0)+IF(AND(ISNUMBER(L25),ISNUMBER(J25)),IF(J25&gt;0,IF(L25/J25&gt;=Scoring!$B$11,1,0),0),0)+IF(ISNUMBER(Z25),MIN(Z25,3),0))</f>
        <v>2</v>
      </c>
      <c r="AC25" s="22" t="n">
        <f aca="false">IF(AB25&gt;=3,Scoring!$C$24,IF(AB25=2,Scoring!$C$23,IF(AB25=1,Scoring!$C$22,0)))</f>
        <v>18</v>
      </c>
      <c r="AD25" s="22" t="n">
        <f aca="false">IF(T25="Y",0,IF(ISNUMBER(X25),IF(X25&gt;0.7,Scoring!$C$25,IF(X25&gt;=0.5,Scoring!$C$26,IF(X25&gt;=0.3,Scoring!$C$27,Scoring!$C$28))),Scoring!$C$29))</f>
        <v>10</v>
      </c>
      <c r="AE25" s="22" t="n">
        <f aca="false">IF(D25="Expiring: notice window (verified)",Scoring!$C$30,IF(OR(D25="Expired (verified)",D25="30-yr mark: notice window (est.)",D25="Year-15 window"),Scoring!$C$31,IF(D25="Expiring: 10-yr horizon (verified)",Scoring!$C$32,IF(D25="Past 30-yr mark (verify)",Scoring!$C$33,IF(OR(D25="Credit period",D25="Superseded record"),Scoring!$C$35,Scoring!$C$34)))))</f>
        <v>14</v>
      </c>
      <c r="AF25" s="22" t="n">
        <f aca="false">IF(T25="Y",0,IF(ISNUMBER(V25),IF(Scoring!$B$4-V25&gt;15,Scoring!$C$36,IF(Scoring!$B$4-V25&gt;=10,Scoring!$C$37,IF(Scoring!$B$4-V25&gt;=5,Scoring!$C$38,Scoring!$C$39))),IF(OR(N25="",D25="Out of program"),Scoring!$C$40,IF(O25&gt;15,Scoring!$C$36,IF(O25&gt;=10,Scoring!$C$37,IF(O25&gt;=5,Scoring!$C$38,Scoring!$C$39))))))</f>
        <v>15</v>
      </c>
      <c r="AG25" s="22" t="n">
        <f aca="false">IF(T25="Y",0,IF(Y25="Y",Scoring!$C$41,IF(ISNUMBER(O25),IF(O25&gt;=25,Scoring!$C$42,IF(O25&gt;=15,Scoring!$C$43,Scoring!$C$44)),Scoring!$C$44)))</f>
        <v>8</v>
      </c>
      <c r="AH25" s="22" t="n">
        <f aca="false">IF(T25="Y",0,IF(W25="",Scoring!$C$49,IFERROR(VLOOKUP(W25,Scoring!$B$45:$C$48,2,FALSE()),Scoring!$C$49)))</f>
        <v>5</v>
      </c>
      <c r="AI25" s="23" t="n">
        <f aca="false">C25+IF(ISNUMBER(J25),J25,0)/100000+(10000-ROW())/1000000000</f>
        <v>70.001149975</v>
      </c>
      <c r="AJ25" s="18"/>
      <c r="AK25" s="18"/>
      <c r="AL25" s="18"/>
      <c r="AM25" s="18"/>
    </row>
    <row r="26" customFormat="false" ht="15" hidden="false" customHeight="false" outlineLevel="0" collapsed="false">
      <c r="A26" s="15" t="n">
        <f aca="false">RANK(AI26,$AI$2:$AI$755)</f>
        <v>25</v>
      </c>
      <c r="B26" s="16" t="str">
        <f aca="false">IF(T26="Y","Superseded",IF(C26&gt;=Scoring!$B$16,"Immediate",IF(C26&gt;=Scoring!$B$17,"This week",IF(C26&gt;=Scoring!$B$18,"Nurture","Low"))))</f>
        <v>This week</v>
      </c>
      <c r="C26" s="3" t="n">
        <f aca="false">SUM(AC26:AH26)</f>
        <v>70</v>
      </c>
      <c r="D26" s="15" t="str">
        <f aca="false">IF(T26="Y","Superseded record",IF(AND(U26&lt;&gt;"",AA26&lt;0),"Expired (verified)",IF(AND(U26&lt;&gt;"",AA26&lt;=Scoring!$B$5),"Expiring: notice window (verified)",IF(AND(U26&lt;&gt;"",AA26&lt;=Scoring!$B$6),"Expiring: 10-yr horizon (verified)",IF(M26="No Longer Monitored","Out of program",IF(N26="","Unknown vintage",IF(N26&lt;Scoring!$B$12,"Pre-1990, still listed",IF(AND(U26="",AA26&lt;0),"Past 30-yr mark (verify)",IF(AND(U26="",AA26&lt;=Scoring!$B$5),"30-yr mark: notice window (est.)",IF(AND(O26&gt;=Scoring!$B$7,O26&lt;=Scoring!$B$8),"Year-15 window",IF(O26&gt;=Scoring!$B$9,"Recap window",IF(O26&gt;=11,"Late compliance","Credit period"))))))))))))</f>
        <v>30-yr mark: notice window (est.)</v>
      </c>
      <c r="E26" s="15" t="s">
        <v>196</v>
      </c>
      <c r="F26" s="15" t="s">
        <v>197</v>
      </c>
      <c r="G26" s="15" t="s">
        <v>198</v>
      </c>
      <c r="H26" s="15" t="s">
        <v>97</v>
      </c>
      <c r="I26" s="15" t="s">
        <v>112</v>
      </c>
      <c r="J26" s="15" t="n">
        <v>113</v>
      </c>
      <c r="K26" s="15" t="n">
        <v>113</v>
      </c>
      <c r="L26" s="15" t="n">
        <f aca="false">IF(OR(J26="",K26=""),"",MAX(J26-K26,0))</f>
        <v>0</v>
      </c>
      <c r="M26" s="15" t="s">
        <v>99</v>
      </c>
      <c r="N26" s="17" t="n">
        <v>1997</v>
      </c>
      <c r="O26" s="15" t="n">
        <f aca="false">IF(N26="","",Scoring!$B$4-N26)</f>
        <v>29</v>
      </c>
      <c r="P26" s="15" t="n">
        <f aca="false">IF(N26="","",N26+14)</f>
        <v>2011</v>
      </c>
      <c r="Q26" s="15" t="n">
        <f aca="false">IF(N26="","",IF(N26&lt;Scoring!$B$12,"n/a (pre-1990)",N26+Scoring!$B$13))</f>
        <v>2026</v>
      </c>
      <c r="R26" s="15" t="str">
        <f aca="false">IF(J26="","Unknown",IF(J26&gt;=5,"Yes","No (under 5 units)"))</f>
        <v>Yes</v>
      </c>
      <c r="S26" s="15"/>
      <c r="T26" s="18"/>
      <c r="U26" s="19"/>
      <c r="V26" s="18"/>
      <c r="W26" s="18"/>
      <c r="X26" s="20"/>
      <c r="Y26" s="18"/>
      <c r="Z26" s="18"/>
      <c r="AA26" s="21" t="n">
        <f aca="false">IF(U26&lt;&gt;"",(U26-Scoring!$B$3)/365.25,IF(N26="","",IF(N26&lt;Scoring!$B$12,"",(DATE(N26+Scoring!$B$13,12,31)-Scoring!$B$3)/365.25)))</f>
        <v>0.246406570841889</v>
      </c>
      <c r="AB26" s="22" t="n">
        <f aca="false">IF(T26="Y",0,IF(OR(D26="Expired (verified)",D26="Expiring: notice window (verified)",D26="Expiring: 10-yr horizon (verified)",D26="Past 30-yr mark (verify)",D26="30-yr mark: notice window (est.)",D26="Year-15 window"),1,0)+IF(ISNUMBER(O26),IF(O26&gt;=Scoring!$B$10,1,0),0)+IF(AND(ISNUMBER(L26),ISNUMBER(J26)),IF(J26&gt;0,IF(L26/J26&gt;=Scoring!$B$11,1,0),0),0)+IF(ISNUMBER(Z26),MIN(Z26,3),0))</f>
        <v>2</v>
      </c>
      <c r="AC26" s="22" t="n">
        <f aca="false">IF(AB26&gt;=3,Scoring!$C$24,IF(AB26=2,Scoring!$C$23,IF(AB26=1,Scoring!$C$22,0)))</f>
        <v>18</v>
      </c>
      <c r="AD26" s="22" t="n">
        <f aca="false">IF(T26="Y",0,IF(ISNUMBER(X26),IF(X26&gt;0.7,Scoring!$C$25,IF(X26&gt;=0.5,Scoring!$C$26,IF(X26&gt;=0.3,Scoring!$C$27,Scoring!$C$28))),Scoring!$C$29))</f>
        <v>10</v>
      </c>
      <c r="AE26" s="22" t="n">
        <f aca="false">IF(D26="Expiring: notice window (verified)",Scoring!$C$30,IF(OR(D26="Expired (verified)",D26="30-yr mark: notice window (est.)",D26="Year-15 window"),Scoring!$C$31,IF(D26="Expiring: 10-yr horizon (verified)",Scoring!$C$32,IF(D26="Past 30-yr mark (verify)",Scoring!$C$33,IF(OR(D26="Credit period",D26="Superseded record"),Scoring!$C$35,Scoring!$C$34)))))</f>
        <v>14</v>
      </c>
      <c r="AF26" s="22" t="n">
        <f aca="false">IF(T26="Y",0,IF(ISNUMBER(V26),IF(Scoring!$B$4-V26&gt;15,Scoring!$C$36,IF(Scoring!$B$4-V26&gt;=10,Scoring!$C$37,IF(Scoring!$B$4-V26&gt;=5,Scoring!$C$38,Scoring!$C$39))),IF(OR(N26="",D26="Out of program"),Scoring!$C$40,IF(O26&gt;15,Scoring!$C$36,IF(O26&gt;=10,Scoring!$C$37,IF(O26&gt;=5,Scoring!$C$38,Scoring!$C$39))))))</f>
        <v>15</v>
      </c>
      <c r="AG26" s="22" t="n">
        <f aca="false">IF(T26="Y",0,IF(Y26="Y",Scoring!$C$41,IF(ISNUMBER(O26),IF(O26&gt;=25,Scoring!$C$42,IF(O26&gt;=15,Scoring!$C$43,Scoring!$C$44)),Scoring!$C$44)))</f>
        <v>8</v>
      </c>
      <c r="AH26" s="22" t="n">
        <f aca="false">IF(T26="Y",0,IF(W26="",Scoring!$C$49,IFERROR(VLOOKUP(W26,Scoring!$B$45:$C$48,2,FALSE()),Scoring!$C$49)))</f>
        <v>5</v>
      </c>
      <c r="AI26" s="23" t="n">
        <f aca="false">C26+IF(ISNUMBER(J26),J26,0)/100000+(10000-ROW())/1000000000</f>
        <v>70.001139974</v>
      </c>
      <c r="AJ26" s="18"/>
      <c r="AK26" s="18"/>
      <c r="AL26" s="18"/>
      <c r="AM26" s="18"/>
    </row>
    <row r="27" customFormat="false" ht="15" hidden="false" customHeight="false" outlineLevel="0" collapsed="false">
      <c r="A27" s="15" t="n">
        <f aca="false">RANK(AI27,$AI$2:$AI$755)</f>
        <v>26</v>
      </c>
      <c r="B27" s="16" t="str">
        <f aca="false">IF(T27="Y","Superseded",IF(C27&gt;=Scoring!$B$16,"Immediate",IF(C27&gt;=Scoring!$B$17,"This week",IF(C27&gt;=Scoring!$B$18,"Nurture","Low"))))</f>
        <v>This week</v>
      </c>
      <c r="C27" s="3" t="n">
        <f aca="false">SUM(AC27:AH27)</f>
        <v>70</v>
      </c>
      <c r="D27" s="15" t="str">
        <f aca="false">IF(T27="Y","Superseded record",IF(AND(U27&lt;&gt;"",AA27&lt;0),"Expired (verified)",IF(AND(U27&lt;&gt;"",AA27&lt;=Scoring!$B$5),"Expiring: notice window (verified)",IF(AND(U27&lt;&gt;"",AA27&lt;=Scoring!$B$6),"Expiring: 10-yr horizon (verified)",IF(M27="No Longer Monitored","Out of program",IF(N27="","Unknown vintage",IF(N27&lt;Scoring!$B$12,"Pre-1990, still listed",IF(AND(U27="",AA27&lt;0),"Past 30-yr mark (verify)",IF(AND(U27="",AA27&lt;=Scoring!$B$5),"30-yr mark: notice window (est.)",IF(AND(O27&gt;=Scoring!$B$7,O27&lt;=Scoring!$B$8),"Year-15 window",IF(O27&gt;=Scoring!$B$9,"Recap window",IF(O27&gt;=11,"Late compliance","Credit period"))))))))))))</f>
        <v>30-yr mark: notice window (est.)</v>
      </c>
      <c r="E27" s="15" t="s">
        <v>199</v>
      </c>
      <c r="F27" s="15" t="s">
        <v>200</v>
      </c>
      <c r="G27" s="15" t="s">
        <v>201</v>
      </c>
      <c r="H27" s="15" t="s">
        <v>202</v>
      </c>
      <c r="I27" s="15" t="s">
        <v>203</v>
      </c>
      <c r="J27" s="15" t="n">
        <v>100</v>
      </c>
      <c r="K27" s="15"/>
      <c r="L27" s="15" t="str">
        <f aca="false">IF(OR(J27="",K27=""),"",MAX(J27-K27,0))</f>
        <v/>
      </c>
      <c r="M27" s="15" t="s">
        <v>99</v>
      </c>
      <c r="N27" s="17" t="n">
        <v>1997</v>
      </c>
      <c r="O27" s="15" t="n">
        <f aca="false">IF(N27="","",Scoring!$B$4-N27)</f>
        <v>29</v>
      </c>
      <c r="P27" s="15" t="n">
        <f aca="false">IF(N27="","",N27+14)</f>
        <v>2011</v>
      </c>
      <c r="Q27" s="15" t="n">
        <f aca="false">IF(N27="","",IF(N27&lt;Scoring!$B$12,"n/a (pre-1990)",N27+Scoring!$B$13))</f>
        <v>2026</v>
      </c>
      <c r="R27" s="15" t="str">
        <f aca="false">IF(J27="","Unknown",IF(J27&gt;=5,"Yes","No (under 5 units)"))</f>
        <v>Yes</v>
      </c>
      <c r="S27" s="15"/>
      <c r="T27" s="18"/>
      <c r="U27" s="19"/>
      <c r="V27" s="18"/>
      <c r="W27" s="18"/>
      <c r="X27" s="20"/>
      <c r="Y27" s="18"/>
      <c r="Z27" s="18"/>
      <c r="AA27" s="21" t="n">
        <f aca="false">IF(U27&lt;&gt;"",(U27-Scoring!$B$3)/365.25,IF(N27="","",IF(N27&lt;Scoring!$B$12,"",(DATE(N27+Scoring!$B$13,12,31)-Scoring!$B$3)/365.25)))</f>
        <v>0.246406570841889</v>
      </c>
      <c r="AB27" s="22" t="n">
        <f aca="false">IF(T27="Y",0,IF(OR(D27="Expired (verified)",D27="Expiring: notice window (verified)",D27="Expiring: 10-yr horizon (verified)",D27="Past 30-yr mark (verify)",D27="30-yr mark: notice window (est.)",D27="Year-15 window"),1,0)+IF(ISNUMBER(O27),IF(O27&gt;=Scoring!$B$10,1,0),0)+IF(AND(ISNUMBER(L27),ISNUMBER(J27)),IF(J27&gt;0,IF(L27/J27&gt;=Scoring!$B$11,1,0),0),0)+IF(ISNUMBER(Z27),MIN(Z27,3),0))</f>
        <v>2</v>
      </c>
      <c r="AC27" s="22" t="n">
        <f aca="false">IF(AB27&gt;=3,Scoring!$C$24,IF(AB27=2,Scoring!$C$23,IF(AB27=1,Scoring!$C$22,0)))</f>
        <v>18</v>
      </c>
      <c r="AD27" s="22" t="n">
        <f aca="false">IF(T27="Y",0,IF(ISNUMBER(X27),IF(X27&gt;0.7,Scoring!$C$25,IF(X27&gt;=0.5,Scoring!$C$26,IF(X27&gt;=0.3,Scoring!$C$27,Scoring!$C$28))),Scoring!$C$29))</f>
        <v>10</v>
      </c>
      <c r="AE27" s="22" t="n">
        <f aca="false">IF(D27="Expiring: notice window (verified)",Scoring!$C$30,IF(OR(D27="Expired (verified)",D27="30-yr mark: notice window (est.)",D27="Year-15 window"),Scoring!$C$31,IF(D27="Expiring: 10-yr horizon (verified)",Scoring!$C$32,IF(D27="Past 30-yr mark (verify)",Scoring!$C$33,IF(OR(D27="Credit period",D27="Superseded record"),Scoring!$C$35,Scoring!$C$34)))))</f>
        <v>14</v>
      </c>
      <c r="AF27" s="22" t="n">
        <f aca="false">IF(T27="Y",0,IF(ISNUMBER(V27),IF(Scoring!$B$4-V27&gt;15,Scoring!$C$36,IF(Scoring!$B$4-V27&gt;=10,Scoring!$C$37,IF(Scoring!$B$4-V27&gt;=5,Scoring!$C$38,Scoring!$C$39))),IF(OR(N27="",D27="Out of program"),Scoring!$C$40,IF(O27&gt;15,Scoring!$C$36,IF(O27&gt;=10,Scoring!$C$37,IF(O27&gt;=5,Scoring!$C$38,Scoring!$C$39))))))</f>
        <v>15</v>
      </c>
      <c r="AG27" s="22" t="n">
        <f aca="false">IF(T27="Y",0,IF(Y27="Y",Scoring!$C$41,IF(ISNUMBER(O27),IF(O27&gt;=25,Scoring!$C$42,IF(O27&gt;=15,Scoring!$C$43,Scoring!$C$44)),Scoring!$C$44)))</f>
        <v>8</v>
      </c>
      <c r="AH27" s="22" t="n">
        <f aca="false">IF(T27="Y",0,IF(W27="",Scoring!$C$49,IFERROR(VLOOKUP(W27,Scoring!$B$45:$C$48,2,FALSE()),Scoring!$C$49)))</f>
        <v>5</v>
      </c>
      <c r="AI27" s="23" t="n">
        <f aca="false">C27+IF(ISNUMBER(J27),J27,0)/100000+(10000-ROW())/1000000000</f>
        <v>70.001009973</v>
      </c>
      <c r="AJ27" s="18"/>
      <c r="AK27" s="18"/>
      <c r="AL27" s="18"/>
      <c r="AM27" s="18"/>
    </row>
    <row r="28" customFormat="false" ht="15" hidden="false" customHeight="false" outlineLevel="0" collapsed="false">
      <c r="A28" s="15" t="n">
        <f aca="false">RANK(AI28,$AI$2:$AI$755)</f>
        <v>27</v>
      </c>
      <c r="B28" s="16" t="str">
        <f aca="false">IF(T28="Y","Superseded",IF(C28&gt;=Scoring!$B$16,"Immediate",IF(C28&gt;=Scoring!$B$17,"This week",IF(C28&gt;=Scoring!$B$18,"Nurture","Low"))))</f>
        <v>This week</v>
      </c>
      <c r="C28" s="3" t="n">
        <f aca="false">SUM(AC28:AH28)</f>
        <v>70</v>
      </c>
      <c r="D28" s="15" t="str">
        <f aca="false">IF(T28="Y","Superseded record",IF(AND(U28&lt;&gt;"",AA28&lt;0),"Expired (verified)",IF(AND(U28&lt;&gt;"",AA28&lt;=Scoring!$B$5),"Expiring: notice window (verified)",IF(AND(U28&lt;&gt;"",AA28&lt;=Scoring!$B$6),"Expiring: 10-yr horizon (verified)",IF(M28="No Longer Monitored","Out of program",IF(N28="","Unknown vintage",IF(N28&lt;Scoring!$B$12,"Pre-1990, still listed",IF(AND(U28="",AA28&lt;0),"Past 30-yr mark (verify)",IF(AND(U28="",AA28&lt;=Scoring!$B$5),"30-yr mark: notice window (est.)",IF(AND(O28&gt;=Scoring!$B$7,O28&lt;=Scoring!$B$8),"Year-15 window",IF(O28&gt;=Scoring!$B$9,"Recap window",IF(O28&gt;=11,"Late compliance","Credit period"))))))))))))</f>
        <v>30-yr mark: notice window (est.)</v>
      </c>
      <c r="E28" s="15" t="s">
        <v>204</v>
      </c>
      <c r="F28" s="15" t="s">
        <v>205</v>
      </c>
      <c r="G28" s="15" t="s">
        <v>206</v>
      </c>
      <c r="H28" s="15" t="s">
        <v>207</v>
      </c>
      <c r="I28" s="15" t="s">
        <v>208</v>
      </c>
      <c r="J28" s="15" t="n">
        <v>96</v>
      </c>
      <c r="K28" s="15" t="n">
        <v>96</v>
      </c>
      <c r="L28" s="15" t="n">
        <f aca="false">IF(OR(J28="",K28=""),"",MAX(J28-K28,0))</f>
        <v>0</v>
      </c>
      <c r="M28" s="15" t="s">
        <v>99</v>
      </c>
      <c r="N28" s="17" t="n">
        <v>1998</v>
      </c>
      <c r="O28" s="15" t="n">
        <f aca="false">IF(N28="","",Scoring!$B$4-N28)</f>
        <v>28</v>
      </c>
      <c r="P28" s="15" t="n">
        <f aca="false">IF(N28="","",N28+14)</f>
        <v>2012</v>
      </c>
      <c r="Q28" s="15" t="n">
        <f aca="false">IF(N28="","",IF(N28&lt;Scoring!$B$12,"n/a (pre-1990)",N28+Scoring!$B$13))</f>
        <v>2027</v>
      </c>
      <c r="R28" s="15" t="str">
        <f aca="false">IF(J28="","Unknown",IF(J28&gt;=5,"Yes","No (under 5 units)"))</f>
        <v>Yes</v>
      </c>
      <c r="S28" s="15"/>
      <c r="T28" s="18"/>
      <c r="U28" s="19"/>
      <c r="V28" s="18"/>
      <c r="W28" s="18"/>
      <c r="X28" s="20"/>
      <c r="Y28" s="18"/>
      <c r="Z28" s="18"/>
      <c r="AA28" s="21" t="n">
        <f aca="false">IF(U28&lt;&gt;"",(U28-Scoring!$B$3)/365.25,IF(N28="","",IF(N28&lt;Scoring!$B$12,"",(DATE(N28+Scoring!$B$13,12,31)-Scoring!$B$3)/365.25)))</f>
        <v>1.24572210814511</v>
      </c>
      <c r="AB28" s="22" t="n">
        <f aca="false">IF(T28="Y",0,IF(OR(D28="Expired (verified)",D28="Expiring: notice window (verified)",D28="Expiring: 10-yr horizon (verified)",D28="Past 30-yr mark (verify)",D28="30-yr mark: notice window (est.)",D28="Year-15 window"),1,0)+IF(ISNUMBER(O28),IF(O28&gt;=Scoring!$B$10,1,0),0)+IF(AND(ISNUMBER(L28),ISNUMBER(J28)),IF(J28&gt;0,IF(L28/J28&gt;=Scoring!$B$11,1,0),0),0)+IF(ISNUMBER(Z28),MIN(Z28,3),0))</f>
        <v>2</v>
      </c>
      <c r="AC28" s="22" t="n">
        <f aca="false">IF(AB28&gt;=3,Scoring!$C$24,IF(AB28=2,Scoring!$C$23,IF(AB28=1,Scoring!$C$22,0)))</f>
        <v>18</v>
      </c>
      <c r="AD28" s="22" t="n">
        <f aca="false">IF(T28="Y",0,IF(ISNUMBER(X28),IF(X28&gt;0.7,Scoring!$C$25,IF(X28&gt;=0.5,Scoring!$C$26,IF(X28&gt;=0.3,Scoring!$C$27,Scoring!$C$28))),Scoring!$C$29))</f>
        <v>10</v>
      </c>
      <c r="AE28" s="22" t="n">
        <f aca="false">IF(D28="Expiring: notice window (verified)",Scoring!$C$30,IF(OR(D28="Expired (verified)",D28="30-yr mark: notice window (est.)",D28="Year-15 window"),Scoring!$C$31,IF(D28="Expiring: 10-yr horizon (verified)",Scoring!$C$32,IF(D28="Past 30-yr mark (verify)",Scoring!$C$33,IF(OR(D28="Credit period",D28="Superseded record"),Scoring!$C$35,Scoring!$C$34)))))</f>
        <v>14</v>
      </c>
      <c r="AF28" s="22" t="n">
        <f aca="false">IF(T28="Y",0,IF(ISNUMBER(V28),IF(Scoring!$B$4-V28&gt;15,Scoring!$C$36,IF(Scoring!$B$4-V28&gt;=10,Scoring!$C$37,IF(Scoring!$B$4-V28&gt;=5,Scoring!$C$38,Scoring!$C$39))),IF(OR(N28="",D28="Out of program"),Scoring!$C$40,IF(O28&gt;15,Scoring!$C$36,IF(O28&gt;=10,Scoring!$C$37,IF(O28&gt;=5,Scoring!$C$38,Scoring!$C$39))))))</f>
        <v>15</v>
      </c>
      <c r="AG28" s="22" t="n">
        <f aca="false">IF(T28="Y",0,IF(Y28="Y",Scoring!$C$41,IF(ISNUMBER(O28),IF(O28&gt;=25,Scoring!$C$42,IF(O28&gt;=15,Scoring!$C$43,Scoring!$C$44)),Scoring!$C$44)))</f>
        <v>8</v>
      </c>
      <c r="AH28" s="22" t="n">
        <f aca="false">IF(T28="Y",0,IF(W28="",Scoring!$C$49,IFERROR(VLOOKUP(W28,Scoring!$B$45:$C$48,2,FALSE()),Scoring!$C$49)))</f>
        <v>5</v>
      </c>
      <c r="AI28" s="23" t="n">
        <f aca="false">C28+IF(ISNUMBER(J28),J28,0)/100000+(10000-ROW())/1000000000</f>
        <v>70.000969972</v>
      </c>
      <c r="AJ28" s="18"/>
      <c r="AK28" s="18"/>
      <c r="AL28" s="18"/>
      <c r="AM28" s="18"/>
    </row>
    <row r="29" customFormat="false" ht="15" hidden="false" customHeight="false" outlineLevel="0" collapsed="false">
      <c r="A29" s="15" t="n">
        <f aca="false">RANK(AI29,$AI$2:$AI$755)</f>
        <v>28</v>
      </c>
      <c r="B29" s="16" t="str">
        <f aca="false">IF(T29="Y","Superseded",IF(C29&gt;=Scoring!$B$16,"Immediate",IF(C29&gt;=Scoring!$B$17,"This week",IF(C29&gt;=Scoring!$B$18,"Nurture","Low"))))</f>
        <v>This week</v>
      </c>
      <c r="C29" s="3" t="n">
        <f aca="false">SUM(AC29:AH29)</f>
        <v>70</v>
      </c>
      <c r="D29" s="15" t="str">
        <f aca="false">IF(T29="Y","Superseded record",IF(AND(U29&lt;&gt;"",AA29&lt;0),"Expired (verified)",IF(AND(U29&lt;&gt;"",AA29&lt;=Scoring!$B$5),"Expiring: notice window (verified)",IF(AND(U29&lt;&gt;"",AA29&lt;=Scoring!$B$6),"Expiring: 10-yr horizon (verified)",IF(M29="No Longer Monitored","Out of program",IF(N29="","Unknown vintage",IF(N29&lt;Scoring!$B$12,"Pre-1990, still listed",IF(AND(U29="",AA29&lt;0),"Past 30-yr mark (verify)",IF(AND(U29="",AA29&lt;=Scoring!$B$5),"30-yr mark: notice window (est.)",IF(AND(O29&gt;=Scoring!$B$7,O29&lt;=Scoring!$B$8),"Year-15 window",IF(O29&gt;=Scoring!$B$9,"Recap window",IF(O29&gt;=11,"Late compliance","Credit period"))))))))))))</f>
        <v>30-yr mark: notice window (est.)</v>
      </c>
      <c r="E29" s="15" t="s">
        <v>209</v>
      </c>
      <c r="F29" s="15" t="s">
        <v>210</v>
      </c>
      <c r="G29" s="15" t="s">
        <v>211</v>
      </c>
      <c r="H29" s="15" t="s">
        <v>212</v>
      </c>
      <c r="I29" s="15" t="s">
        <v>213</v>
      </c>
      <c r="J29" s="15" t="n">
        <v>86</v>
      </c>
      <c r="K29" s="15" t="n">
        <v>86</v>
      </c>
      <c r="L29" s="15" t="n">
        <f aca="false">IF(OR(J29="",K29=""),"",MAX(J29-K29,0))</f>
        <v>0</v>
      </c>
      <c r="M29" s="15" t="s">
        <v>99</v>
      </c>
      <c r="N29" s="17" t="n">
        <v>1998</v>
      </c>
      <c r="O29" s="15" t="n">
        <f aca="false">IF(N29="","",Scoring!$B$4-N29)</f>
        <v>28</v>
      </c>
      <c r="P29" s="15" t="n">
        <f aca="false">IF(N29="","",N29+14)</f>
        <v>2012</v>
      </c>
      <c r="Q29" s="15" t="n">
        <f aca="false">IF(N29="","",IF(N29&lt;Scoring!$B$12,"n/a (pre-1990)",N29+Scoring!$B$13))</f>
        <v>2027</v>
      </c>
      <c r="R29" s="15" t="str">
        <f aca="false">IF(J29="","Unknown",IF(J29&gt;=5,"Yes","No (under 5 units)"))</f>
        <v>Yes</v>
      </c>
      <c r="S29" s="15"/>
      <c r="T29" s="18"/>
      <c r="U29" s="19"/>
      <c r="V29" s="18"/>
      <c r="W29" s="18"/>
      <c r="X29" s="20"/>
      <c r="Y29" s="18"/>
      <c r="Z29" s="18"/>
      <c r="AA29" s="21" t="n">
        <f aca="false">IF(U29&lt;&gt;"",(U29-Scoring!$B$3)/365.25,IF(N29="","",IF(N29&lt;Scoring!$B$12,"",(DATE(N29+Scoring!$B$13,12,31)-Scoring!$B$3)/365.25)))</f>
        <v>1.24572210814511</v>
      </c>
      <c r="AB29" s="22" t="n">
        <f aca="false">IF(T29="Y",0,IF(OR(D29="Expired (verified)",D29="Expiring: notice window (verified)",D29="Expiring: 10-yr horizon (verified)",D29="Past 30-yr mark (verify)",D29="30-yr mark: notice window (est.)",D29="Year-15 window"),1,0)+IF(ISNUMBER(O29),IF(O29&gt;=Scoring!$B$10,1,0),0)+IF(AND(ISNUMBER(L29),ISNUMBER(J29)),IF(J29&gt;0,IF(L29/J29&gt;=Scoring!$B$11,1,0),0),0)+IF(ISNUMBER(Z29),MIN(Z29,3),0))</f>
        <v>2</v>
      </c>
      <c r="AC29" s="22" t="n">
        <f aca="false">IF(AB29&gt;=3,Scoring!$C$24,IF(AB29=2,Scoring!$C$23,IF(AB29=1,Scoring!$C$22,0)))</f>
        <v>18</v>
      </c>
      <c r="AD29" s="22" t="n">
        <f aca="false">IF(T29="Y",0,IF(ISNUMBER(X29),IF(X29&gt;0.7,Scoring!$C$25,IF(X29&gt;=0.5,Scoring!$C$26,IF(X29&gt;=0.3,Scoring!$C$27,Scoring!$C$28))),Scoring!$C$29))</f>
        <v>10</v>
      </c>
      <c r="AE29" s="22" t="n">
        <f aca="false">IF(D29="Expiring: notice window (verified)",Scoring!$C$30,IF(OR(D29="Expired (verified)",D29="30-yr mark: notice window (est.)",D29="Year-15 window"),Scoring!$C$31,IF(D29="Expiring: 10-yr horizon (verified)",Scoring!$C$32,IF(D29="Past 30-yr mark (verify)",Scoring!$C$33,IF(OR(D29="Credit period",D29="Superseded record"),Scoring!$C$35,Scoring!$C$34)))))</f>
        <v>14</v>
      </c>
      <c r="AF29" s="22" t="n">
        <f aca="false">IF(T29="Y",0,IF(ISNUMBER(V29),IF(Scoring!$B$4-V29&gt;15,Scoring!$C$36,IF(Scoring!$B$4-V29&gt;=10,Scoring!$C$37,IF(Scoring!$B$4-V29&gt;=5,Scoring!$C$38,Scoring!$C$39))),IF(OR(N29="",D29="Out of program"),Scoring!$C$40,IF(O29&gt;15,Scoring!$C$36,IF(O29&gt;=10,Scoring!$C$37,IF(O29&gt;=5,Scoring!$C$38,Scoring!$C$39))))))</f>
        <v>15</v>
      </c>
      <c r="AG29" s="22" t="n">
        <f aca="false">IF(T29="Y",0,IF(Y29="Y",Scoring!$C$41,IF(ISNUMBER(O29),IF(O29&gt;=25,Scoring!$C$42,IF(O29&gt;=15,Scoring!$C$43,Scoring!$C$44)),Scoring!$C$44)))</f>
        <v>8</v>
      </c>
      <c r="AH29" s="22" t="n">
        <f aca="false">IF(T29="Y",0,IF(W29="",Scoring!$C$49,IFERROR(VLOOKUP(W29,Scoring!$B$45:$C$48,2,FALSE()),Scoring!$C$49)))</f>
        <v>5</v>
      </c>
      <c r="AI29" s="23" t="n">
        <f aca="false">C29+IF(ISNUMBER(J29),J29,0)/100000+(10000-ROW())/1000000000</f>
        <v>70.000869971</v>
      </c>
      <c r="AJ29" s="18"/>
      <c r="AK29" s="18"/>
      <c r="AL29" s="18"/>
      <c r="AM29" s="18"/>
    </row>
    <row r="30" customFormat="false" ht="15" hidden="false" customHeight="false" outlineLevel="0" collapsed="false">
      <c r="A30" s="15" t="n">
        <f aca="false">RANK(AI30,$AI$2:$AI$755)</f>
        <v>29</v>
      </c>
      <c r="B30" s="16" t="str">
        <f aca="false">IF(T30="Y","Superseded",IF(C30&gt;=Scoring!$B$16,"Immediate",IF(C30&gt;=Scoring!$B$17,"This week",IF(C30&gt;=Scoring!$B$18,"Nurture","Low"))))</f>
        <v>This week</v>
      </c>
      <c r="C30" s="3" t="n">
        <f aca="false">SUM(AC30:AH30)</f>
        <v>70</v>
      </c>
      <c r="D30" s="15" t="str">
        <f aca="false">IF(T30="Y","Superseded record",IF(AND(U30&lt;&gt;"",AA30&lt;0),"Expired (verified)",IF(AND(U30&lt;&gt;"",AA30&lt;=Scoring!$B$5),"Expiring: notice window (verified)",IF(AND(U30&lt;&gt;"",AA30&lt;=Scoring!$B$6),"Expiring: 10-yr horizon (verified)",IF(M30="No Longer Monitored","Out of program",IF(N30="","Unknown vintage",IF(N30&lt;Scoring!$B$12,"Pre-1990, still listed",IF(AND(U30="",AA30&lt;0),"Past 30-yr mark (verify)",IF(AND(U30="",AA30&lt;=Scoring!$B$5),"30-yr mark: notice window (est.)",IF(AND(O30&gt;=Scoring!$B$7,O30&lt;=Scoring!$B$8),"Year-15 window",IF(O30&gt;=Scoring!$B$9,"Recap window",IF(O30&gt;=11,"Late compliance","Credit period"))))))))))))</f>
        <v>30-yr mark: notice window (est.)</v>
      </c>
      <c r="E30" s="15" t="s">
        <v>214</v>
      </c>
      <c r="F30" s="15" t="s">
        <v>215</v>
      </c>
      <c r="G30" s="15" t="s">
        <v>216</v>
      </c>
      <c r="H30" s="15" t="s">
        <v>97</v>
      </c>
      <c r="I30" s="15" t="s">
        <v>217</v>
      </c>
      <c r="J30" s="15" t="n">
        <v>81</v>
      </c>
      <c r="K30" s="15" t="n">
        <v>81</v>
      </c>
      <c r="L30" s="15" t="n">
        <f aca="false">IF(OR(J30="",K30=""),"",MAX(J30-K30,0))</f>
        <v>0</v>
      </c>
      <c r="M30" s="15" t="s">
        <v>99</v>
      </c>
      <c r="N30" s="17" t="n">
        <v>1997</v>
      </c>
      <c r="O30" s="15" t="n">
        <f aca="false">IF(N30="","",Scoring!$B$4-N30)</f>
        <v>29</v>
      </c>
      <c r="P30" s="15" t="n">
        <f aca="false">IF(N30="","",N30+14)</f>
        <v>2011</v>
      </c>
      <c r="Q30" s="15" t="n">
        <f aca="false">IF(N30="","",IF(N30&lt;Scoring!$B$12,"n/a (pre-1990)",N30+Scoring!$B$13))</f>
        <v>2026</v>
      </c>
      <c r="R30" s="15" t="str">
        <f aca="false">IF(J30="","Unknown",IF(J30&gt;=5,"Yes","No (under 5 units)"))</f>
        <v>Yes</v>
      </c>
      <c r="S30" s="15"/>
      <c r="T30" s="18"/>
      <c r="U30" s="19"/>
      <c r="V30" s="18"/>
      <c r="W30" s="18"/>
      <c r="X30" s="20"/>
      <c r="Y30" s="18"/>
      <c r="Z30" s="18"/>
      <c r="AA30" s="21" t="n">
        <f aca="false">IF(U30&lt;&gt;"",(U30-Scoring!$B$3)/365.25,IF(N30="","",IF(N30&lt;Scoring!$B$12,"",(DATE(N30+Scoring!$B$13,12,31)-Scoring!$B$3)/365.25)))</f>
        <v>0.246406570841889</v>
      </c>
      <c r="AB30" s="22" t="n">
        <f aca="false">IF(T30="Y",0,IF(OR(D30="Expired (verified)",D30="Expiring: notice window (verified)",D30="Expiring: 10-yr horizon (verified)",D30="Past 30-yr mark (verify)",D30="30-yr mark: notice window (est.)",D30="Year-15 window"),1,0)+IF(ISNUMBER(O30),IF(O30&gt;=Scoring!$B$10,1,0),0)+IF(AND(ISNUMBER(L30),ISNUMBER(J30)),IF(J30&gt;0,IF(L30/J30&gt;=Scoring!$B$11,1,0),0),0)+IF(ISNUMBER(Z30),MIN(Z30,3),0))</f>
        <v>2</v>
      </c>
      <c r="AC30" s="22" t="n">
        <f aca="false">IF(AB30&gt;=3,Scoring!$C$24,IF(AB30=2,Scoring!$C$23,IF(AB30=1,Scoring!$C$22,0)))</f>
        <v>18</v>
      </c>
      <c r="AD30" s="22" t="n">
        <f aca="false">IF(T30="Y",0,IF(ISNUMBER(X30),IF(X30&gt;0.7,Scoring!$C$25,IF(X30&gt;=0.5,Scoring!$C$26,IF(X30&gt;=0.3,Scoring!$C$27,Scoring!$C$28))),Scoring!$C$29))</f>
        <v>10</v>
      </c>
      <c r="AE30" s="22" t="n">
        <f aca="false">IF(D30="Expiring: notice window (verified)",Scoring!$C$30,IF(OR(D30="Expired (verified)",D30="30-yr mark: notice window (est.)",D30="Year-15 window"),Scoring!$C$31,IF(D30="Expiring: 10-yr horizon (verified)",Scoring!$C$32,IF(D30="Past 30-yr mark (verify)",Scoring!$C$33,IF(OR(D30="Credit period",D30="Superseded record"),Scoring!$C$35,Scoring!$C$34)))))</f>
        <v>14</v>
      </c>
      <c r="AF30" s="22" t="n">
        <f aca="false">IF(T30="Y",0,IF(ISNUMBER(V30),IF(Scoring!$B$4-V30&gt;15,Scoring!$C$36,IF(Scoring!$B$4-V30&gt;=10,Scoring!$C$37,IF(Scoring!$B$4-V30&gt;=5,Scoring!$C$38,Scoring!$C$39))),IF(OR(N30="",D30="Out of program"),Scoring!$C$40,IF(O30&gt;15,Scoring!$C$36,IF(O30&gt;=10,Scoring!$C$37,IF(O30&gt;=5,Scoring!$C$38,Scoring!$C$39))))))</f>
        <v>15</v>
      </c>
      <c r="AG30" s="22" t="n">
        <f aca="false">IF(T30="Y",0,IF(Y30="Y",Scoring!$C$41,IF(ISNUMBER(O30),IF(O30&gt;=25,Scoring!$C$42,IF(O30&gt;=15,Scoring!$C$43,Scoring!$C$44)),Scoring!$C$44)))</f>
        <v>8</v>
      </c>
      <c r="AH30" s="22" t="n">
        <f aca="false">IF(T30="Y",0,IF(W30="",Scoring!$C$49,IFERROR(VLOOKUP(W30,Scoring!$B$45:$C$48,2,FALSE()),Scoring!$C$49)))</f>
        <v>5</v>
      </c>
      <c r="AI30" s="23" t="n">
        <f aca="false">C30+IF(ISNUMBER(J30),J30,0)/100000+(10000-ROW())/1000000000</f>
        <v>70.00081997</v>
      </c>
      <c r="AJ30" s="18"/>
      <c r="AK30" s="18"/>
      <c r="AL30" s="18"/>
      <c r="AM30" s="18"/>
    </row>
    <row r="31" customFormat="false" ht="15" hidden="false" customHeight="false" outlineLevel="0" collapsed="false">
      <c r="A31" s="15" t="n">
        <f aca="false">RANK(AI31,$AI$2:$AI$755)</f>
        <v>30</v>
      </c>
      <c r="B31" s="16" t="str">
        <f aca="false">IF(T31="Y","Superseded",IF(C31&gt;=Scoring!$B$16,"Immediate",IF(C31&gt;=Scoring!$B$17,"This week",IF(C31&gt;=Scoring!$B$18,"Nurture","Low"))))</f>
        <v>This week</v>
      </c>
      <c r="C31" s="3" t="n">
        <f aca="false">SUM(AC31:AH31)</f>
        <v>70</v>
      </c>
      <c r="D31" s="15" t="str">
        <f aca="false">IF(T31="Y","Superseded record",IF(AND(U31&lt;&gt;"",AA31&lt;0),"Expired (verified)",IF(AND(U31&lt;&gt;"",AA31&lt;=Scoring!$B$5),"Expiring: notice window (verified)",IF(AND(U31&lt;&gt;"",AA31&lt;=Scoring!$B$6),"Expiring: 10-yr horizon (verified)",IF(M31="No Longer Monitored","Out of program",IF(N31="","Unknown vintage",IF(N31&lt;Scoring!$B$12,"Pre-1990, still listed",IF(AND(U31="",AA31&lt;0),"Past 30-yr mark (verify)",IF(AND(U31="",AA31&lt;=Scoring!$B$5),"30-yr mark: notice window (est.)",IF(AND(O31&gt;=Scoring!$B$7,O31&lt;=Scoring!$B$8),"Year-15 window",IF(O31&gt;=Scoring!$B$9,"Recap window",IF(O31&gt;=11,"Late compliance","Credit period"))))))))))))</f>
        <v>30-yr mark: notice window (est.)</v>
      </c>
      <c r="E31" s="15" t="s">
        <v>218</v>
      </c>
      <c r="F31" s="15" t="s">
        <v>219</v>
      </c>
      <c r="G31" s="15" t="s">
        <v>220</v>
      </c>
      <c r="H31" s="15" t="s">
        <v>221</v>
      </c>
      <c r="I31" s="15" t="s">
        <v>222</v>
      </c>
      <c r="J31" s="15" t="n">
        <v>80</v>
      </c>
      <c r="K31" s="15"/>
      <c r="L31" s="15" t="str">
        <f aca="false">IF(OR(J31="",K31=""),"",MAX(J31-K31,0))</f>
        <v/>
      </c>
      <c r="M31" s="15" t="s">
        <v>99</v>
      </c>
      <c r="N31" s="17" t="n">
        <v>1999</v>
      </c>
      <c r="O31" s="15" t="n">
        <f aca="false">IF(N31="","",Scoring!$B$4-N31)</f>
        <v>27</v>
      </c>
      <c r="P31" s="15" t="n">
        <f aca="false">IF(N31="","",N31+14)</f>
        <v>2013</v>
      </c>
      <c r="Q31" s="15" t="n">
        <f aca="false">IF(N31="","",IF(N31&lt;Scoring!$B$12,"n/a (pre-1990)",N31+Scoring!$B$13))</f>
        <v>2028</v>
      </c>
      <c r="R31" s="15" t="str">
        <f aca="false">IF(J31="","Unknown",IF(J31&gt;=5,"Yes","No (under 5 units)"))</f>
        <v>Yes</v>
      </c>
      <c r="S31" s="15"/>
      <c r="T31" s="18"/>
      <c r="U31" s="19"/>
      <c r="V31" s="18"/>
      <c r="W31" s="18"/>
      <c r="X31" s="20"/>
      <c r="Y31" s="18"/>
      <c r="Z31" s="18"/>
      <c r="AA31" s="21" t="n">
        <f aca="false">IF(U31&lt;&gt;"",(U31-Scoring!$B$3)/365.25,IF(N31="","",IF(N31&lt;Scoring!$B$12,"",(DATE(N31+Scoring!$B$13,12,31)-Scoring!$B$3)/365.25)))</f>
        <v>2.24777549623546</v>
      </c>
      <c r="AB31" s="22" t="n">
        <f aca="false">IF(T31="Y",0,IF(OR(D31="Expired (verified)",D31="Expiring: notice window (verified)",D31="Expiring: 10-yr horizon (verified)",D31="Past 30-yr mark (verify)",D31="30-yr mark: notice window (est.)",D31="Year-15 window"),1,0)+IF(ISNUMBER(O31),IF(O31&gt;=Scoring!$B$10,1,0),0)+IF(AND(ISNUMBER(L31),ISNUMBER(J31)),IF(J31&gt;0,IF(L31/J31&gt;=Scoring!$B$11,1,0),0),0)+IF(ISNUMBER(Z31),MIN(Z31,3),0))</f>
        <v>2</v>
      </c>
      <c r="AC31" s="22" t="n">
        <f aca="false">IF(AB31&gt;=3,Scoring!$C$24,IF(AB31=2,Scoring!$C$23,IF(AB31=1,Scoring!$C$22,0)))</f>
        <v>18</v>
      </c>
      <c r="AD31" s="22" t="n">
        <f aca="false">IF(T31="Y",0,IF(ISNUMBER(X31),IF(X31&gt;0.7,Scoring!$C$25,IF(X31&gt;=0.5,Scoring!$C$26,IF(X31&gt;=0.3,Scoring!$C$27,Scoring!$C$28))),Scoring!$C$29))</f>
        <v>10</v>
      </c>
      <c r="AE31" s="22" t="n">
        <f aca="false">IF(D31="Expiring: notice window (verified)",Scoring!$C$30,IF(OR(D31="Expired (verified)",D31="30-yr mark: notice window (est.)",D31="Year-15 window"),Scoring!$C$31,IF(D31="Expiring: 10-yr horizon (verified)",Scoring!$C$32,IF(D31="Past 30-yr mark (verify)",Scoring!$C$33,IF(OR(D31="Credit period",D31="Superseded record"),Scoring!$C$35,Scoring!$C$34)))))</f>
        <v>14</v>
      </c>
      <c r="AF31" s="22" t="n">
        <f aca="false">IF(T31="Y",0,IF(ISNUMBER(V31),IF(Scoring!$B$4-V31&gt;15,Scoring!$C$36,IF(Scoring!$B$4-V31&gt;=10,Scoring!$C$37,IF(Scoring!$B$4-V31&gt;=5,Scoring!$C$38,Scoring!$C$39))),IF(OR(N31="",D31="Out of program"),Scoring!$C$40,IF(O31&gt;15,Scoring!$C$36,IF(O31&gt;=10,Scoring!$C$37,IF(O31&gt;=5,Scoring!$C$38,Scoring!$C$39))))))</f>
        <v>15</v>
      </c>
      <c r="AG31" s="22" t="n">
        <f aca="false">IF(T31="Y",0,IF(Y31="Y",Scoring!$C$41,IF(ISNUMBER(O31),IF(O31&gt;=25,Scoring!$C$42,IF(O31&gt;=15,Scoring!$C$43,Scoring!$C$44)),Scoring!$C$44)))</f>
        <v>8</v>
      </c>
      <c r="AH31" s="22" t="n">
        <f aca="false">IF(T31="Y",0,IF(W31="",Scoring!$C$49,IFERROR(VLOOKUP(W31,Scoring!$B$45:$C$48,2,FALSE()),Scoring!$C$49)))</f>
        <v>5</v>
      </c>
      <c r="AI31" s="23" t="n">
        <f aca="false">C31+IF(ISNUMBER(J31),J31,0)/100000+(10000-ROW())/1000000000</f>
        <v>70.000809969</v>
      </c>
      <c r="AJ31" s="18"/>
      <c r="AK31" s="18"/>
      <c r="AL31" s="18"/>
      <c r="AM31" s="18"/>
    </row>
    <row r="32" customFormat="false" ht="15" hidden="false" customHeight="false" outlineLevel="0" collapsed="false">
      <c r="A32" s="15" t="n">
        <f aca="false">RANK(AI32,$AI$2:$AI$755)</f>
        <v>31</v>
      </c>
      <c r="B32" s="16" t="str">
        <f aca="false">IF(T32="Y","Superseded",IF(C32&gt;=Scoring!$B$16,"Immediate",IF(C32&gt;=Scoring!$B$17,"This week",IF(C32&gt;=Scoring!$B$18,"Nurture","Low"))))</f>
        <v>This week</v>
      </c>
      <c r="C32" s="3" t="n">
        <f aca="false">SUM(AC32:AH32)</f>
        <v>70</v>
      </c>
      <c r="D32" s="15" t="str">
        <f aca="false">IF(T32="Y","Superseded record",IF(AND(U32&lt;&gt;"",AA32&lt;0),"Expired (verified)",IF(AND(U32&lt;&gt;"",AA32&lt;=Scoring!$B$5),"Expiring: notice window (verified)",IF(AND(U32&lt;&gt;"",AA32&lt;=Scoring!$B$6),"Expiring: 10-yr horizon (verified)",IF(M32="No Longer Monitored","Out of program",IF(N32="","Unknown vintage",IF(N32&lt;Scoring!$B$12,"Pre-1990, still listed",IF(AND(U32="",AA32&lt;0),"Past 30-yr mark (verify)",IF(AND(U32="",AA32&lt;=Scoring!$B$5),"30-yr mark: notice window (est.)",IF(AND(O32&gt;=Scoring!$B$7,O32&lt;=Scoring!$B$8),"Year-15 window",IF(O32&gt;=Scoring!$B$9,"Recap window",IF(O32&gt;=11,"Late compliance","Credit period"))))))))))))</f>
        <v>30-yr mark: notice window (est.)</v>
      </c>
      <c r="E32" s="15" t="s">
        <v>223</v>
      </c>
      <c r="F32" s="15" t="s">
        <v>224</v>
      </c>
      <c r="G32" s="15" t="s">
        <v>225</v>
      </c>
      <c r="H32" s="15" t="s">
        <v>190</v>
      </c>
      <c r="I32" s="15" t="s">
        <v>191</v>
      </c>
      <c r="J32" s="15" t="n">
        <v>78</v>
      </c>
      <c r="K32" s="15" t="n">
        <v>78</v>
      </c>
      <c r="L32" s="15" t="n">
        <f aca="false">IF(OR(J32="",K32=""),"",MAX(J32-K32,0))</f>
        <v>0</v>
      </c>
      <c r="M32" s="15" t="s">
        <v>99</v>
      </c>
      <c r="N32" s="17" t="n">
        <v>1999</v>
      </c>
      <c r="O32" s="15" t="n">
        <f aca="false">IF(N32="","",Scoring!$B$4-N32)</f>
        <v>27</v>
      </c>
      <c r="P32" s="15" t="n">
        <f aca="false">IF(N32="","",N32+14)</f>
        <v>2013</v>
      </c>
      <c r="Q32" s="15" t="n">
        <f aca="false">IF(N32="","",IF(N32&lt;Scoring!$B$12,"n/a (pre-1990)",N32+Scoring!$B$13))</f>
        <v>2028</v>
      </c>
      <c r="R32" s="15" t="str">
        <f aca="false">IF(J32="","Unknown",IF(J32&gt;=5,"Yes","No (under 5 units)"))</f>
        <v>Yes</v>
      </c>
      <c r="S32" s="15"/>
      <c r="T32" s="18"/>
      <c r="U32" s="19"/>
      <c r="V32" s="18"/>
      <c r="W32" s="18"/>
      <c r="X32" s="20"/>
      <c r="Y32" s="18"/>
      <c r="Z32" s="18"/>
      <c r="AA32" s="21" t="n">
        <f aca="false">IF(U32&lt;&gt;"",(U32-Scoring!$B$3)/365.25,IF(N32="","",IF(N32&lt;Scoring!$B$12,"",(DATE(N32+Scoring!$B$13,12,31)-Scoring!$B$3)/365.25)))</f>
        <v>2.24777549623546</v>
      </c>
      <c r="AB32" s="22" t="n">
        <f aca="false">IF(T32="Y",0,IF(OR(D32="Expired (verified)",D32="Expiring: notice window (verified)",D32="Expiring: 10-yr horizon (verified)",D32="Past 30-yr mark (verify)",D32="30-yr mark: notice window (est.)",D32="Year-15 window"),1,0)+IF(ISNUMBER(O32),IF(O32&gt;=Scoring!$B$10,1,0),0)+IF(AND(ISNUMBER(L32),ISNUMBER(J32)),IF(J32&gt;0,IF(L32/J32&gt;=Scoring!$B$11,1,0),0),0)+IF(ISNUMBER(Z32),MIN(Z32,3),0))</f>
        <v>2</v>
      </c>
      <c r="AC32" s="22" t="n">
        <f aca="false">IF(AB32&gt;=3,Scoring!$C$24,IF(AB32=2,Scoring!$C$23,IF(AB32=1,Scoring!$C$22,0)))</f>
        <v>18</v>
      </c>
      <c r="AD32" s="22" t="n">
        <f aca="false">IF(T32="Y",0,IF(ISNUMBER(X32),IF(X32&gt;0.7,Scoring!$C$25,IF(X32&gt;=0.5,Scoring!$C$26,IF(X32&gt;=0.3,Scoring!$C$27,Scoring!$C$28))),Scoring!$C$29))</f>
        <v>10</v>
      </c>
      <c r="AE32" s="22" t="n">
        <f aca="false">IF(D32="Expiring: notice window (verified)",Scoring!$C$30,IF(OR(D32="Expired (verified)",D32="30-yr mark: notice window (est.)",D32="Year-15 window"),Scoring!$C$31,IF(D32="Expiring: 10-yr horizon (verified)",Scoring!$C$32,IF(D32="Past 30-yr mark (verify)",Scoring!$C$33,IF(OR(D32="Credit period",D32="Superseded record"),Scoring!$C$35,Scoring!$C$34)))))</f>
        <v>14</v>
      </c>
      <c r="AF32" s="22" t="n">
        <f aca="false">IF(T32="Y",0,IF(ISNUMBER(V32),IF(Scoring!$B$4-V32&gt;15,Scoring!$C$36,IF(Scoring!$B$4-V32&gt;=10,Scoring!$C$37,IF(Scoring!$B$4-V32&gt;=5,Scoring!$C$38,Scoring!$C$39))),IF(OR(N32="",D32="Out of program"),Scoring!$C$40,IF(O32&gt;15,Scoring!$C$36,IF(O32&gt;=10,Scoring!$C$37,IF(O32&gt;=5,Scoring!$C$38,Scoring!$C$39))))))</f>
        <v>15</v>
      </c>
      <c r="AG32" s="22" t="n">
        <f aca="false">IF(T32="Y",0,IF(Y32="Y",Scoring!$C$41,IF(ISNUMBER(O32),IF(O32&gt;=25,Scoring!$C$42,IF(O32&gt;=15,Scoring!$C$43,Scoring!$C$44)),Scoring!$C$44)))</f>
        <v>8</v>
      </c>
      <c r="AH32" s="22" t="n">
        <f aca="false">IF(T32="Y",0,IF(W32="",Scoring!$C$49,IFERROR(VLOOKUP(W32,Scoring!$B$45:$C$48,2,FALSE()),Scoring!$C$49)))</f>
        <v>5</v>
      </c>
      <c r="AI32" s="23" t="n">
        <f aca="false">C32+IF(ISNUMBER(J32),J32,0)/100000+(10000-ROW())/1000000000</f>
        <v>70.000789968</v>
      </c>
      <c r="AJ32" s="18"/>
      <c r="AK32" s="18"/>
      <c r="AL32" s="18"/>
      <c r="AM32" s="18"/>
    </row>
    <row r="33" customFormat="false" ht="15" hidden="false" customHeight="false" outlineLevel="0" collapsed="false">
      <c r="A33" s="15" t="n">
        <f aca="false">RANK(AI33,$AI$2:$AI$755)</f>
        <v>32</v>
      </c>
      <c r="B33" s="16" t="str">
        <f aca="false">IF(T33="Y","Superseded",IF(C33&gt;=Scoring!$B$16,"Immediate",IF(C33&gt;=Scoring!$B$17,"This week",IF(C33&gt;=Scoring!$B$18,"Nurture","Low"))))</f>
        <v>This week</v>
      </c>
      <c r="C33" s="3" t="n">
        <f aca="false">SUM(AC33:AH33)</f>
        <v>70</v>
      </c>
      <c r="D33" s="15" t="str">
        <f aca="false">IF(T33="Y","Superseded record",IF(AND(U33&lt;&gt;"",AA33&lt;0),"Expired (verified)",IF(AND(U33&lt;&gt;"",AA33&lt;=Scoring!$B$5),"Expiring: notice window (verified)",IF(AND(U33&lt;&gt;"",AA33&lt;=Scoring!$B$6),"Expiring: 10-yr horizon (verified)",IF(M33="No Longer Monitored","Out of program",IF(N33="","Unknown vintage",IF(N33&lt;Scoring!$B$12,"Pre-1990, still listed",IF(AND(U33="",AA33&lt;0),"Past 30-yr mark (verify)",IF(AND(U33="",AA33&lt;=Scoring!$B$5),"30-yr mark: notice window (est.)",IF(AND(O33&gt;=Scoring!$B$7,O33&lt;=Scoring!$B$8),"Year-15 window",IF(O33&gt;=Scoring!$B$9,"Recap window",IF(O33&gt;=11,"Late compliance","Credit period"))))))))))))</f>
        <v>30-yr mark: notice window (est.)</v>
      </c>
      <c r="E33" s="15" t="s">
        <v>226</v>
      </c>
      <c r="F33" s="15" t="s">
        <v>227</v>
      </c>
      <c r="G33" s="15" t="s">
        <v>228</v>
      </c>
      <c r="H33" s="15" t="s">
        <v>97</v>
      </c>
      <c r="I33" s="15" t="s">
        <v>116</v>
      </c>
      <c r="J33" s="15" t="n">
        <v>74</v>
      </c>
      <c r="K33" s="15" t="n">
        <v>74</v>
      </c>
      <c r="L33" s="15" t="n">
        <f aca="false">IF(OR(J33="",K33=""),"",MAX(J33-K33,0))</f>
        <v>0</v>
      </c>
      <c r="M33" s="15" t="s">
        <v>99</v>
      </c>
      <c r="N33" s="17" t="n">
        <v>1999</v>
      </c>
      <c r="O33" s="15" t="n">
        <f aca="false">IF(N33="","",Scoring!$B$4-N33)</f>
        <v>27</v>
      </c>
      <c r="P33" s="15" t="n">
        <f aca="false">IF(N33="","",N33+14)</f>
        <v>2013</v>
      </c>
      <c r="Q33" s="15" t="n">
        <f aca="false">IF(N33="","",IF(N33&lt;Scoring!$B$12,"n/a (pre-1990)",N33+Scoring!$B$13))</f>
        <v>2028</v>
      </c>
      <c r="R33" s="15" t="str">
        <f aca="false">IF(J33="","Unknown",IF(J33&gt;=5,"Yes","No (under 5 units)"))</f>
        <v>Yes</v>
      </c>
      <c r="S33" s="15"/>
      <c r="T33" s="18"/>
      <c r="U33" s="19"/>
      <c r="V33" s="18"/>
      <c r="W33" s="18"/>
      <c r="X33" s="20"/>
      <c r="Y33" s="18"/>
      <c r="Z33" s="18"/>
      <c r="AA33" s="21" t="n">
        <f aca="false">IF(U33&lt;&gt;"",(U33-Scoring!$B$3)/365.25,IF(N33="","",IF(N33&lt;Scoring!$B$12,"",(DATE(N33+Scoring!$B$13,12,31)-Scoring!$B$3)/365.25)))</f>
        <v>2.24777549623546</v>
      </c>
      <c r="AB33" s="22" t="n">
        <f aca="false">IF(T33="Y",0,IF(OR(D33="Expired (verified)",D33="Expiring: notice window (verified)",D33="Expiring: 10-yr horizon (verified)",D33="Past 30-yr mark (verify)",D33="30-yr mark: notice window (est.)",D33="Year-15 window"),1,0)+IF(ISNUMBER(O33),IF(O33&gt;=Scoring!$B$10,1,0),0)+IF(AND(ISNUMBER(L33),ISNUMBER(J33)),IF(J33&gt;0,IF(L33/J33&gt;=Scoring!$B$11,1,0),0),0)+IF(ISNUMBER(Z33),MIN(Z33,3),0))</f>
        <v>2</v>
      </c>
      <c r="AC33" s="22" t="n">
        <f aca="false">IF(AB33&gt;=3,Scoring!$C$24,IF(AB33=2,Scoring!$C$23,IF(AB33=1,Scoring!$C$22,0)))</f>
        <v>18</v>
      </c>
      <c r="AD33" s="22" t="n">
        <f aca="false">IF(T33="Y",0,IF(ISNUMBER(X33),IF(X33&gt;0.7,Scoring!$C$25,IF(X33&gt;=0.5,Scoring!$C$26,IF(X33&gt;=0.3,Scoring!$C$27,Scoring!$C$28))),Scoring!$C$29))</f>
        <v>10</v>
      </c>
      <c r="AE33" s="22" t="n">
        <f aca="false">IF(D33="Expiring: notice window (verified)",Scoring!$C$30,IF(OR(D33="Expired (verified)",D33="30-yr mark: notice window (est.)",D33="Year-15 window"),Scoring!$C$31,IF(D33="Expiring: 10-yr horizon (verified)",Scoring!$C$32,IF(D33="Past 30-yr mark (verify)",Scoring!$C$33,IF(OR(D33="Credit period",D33="Superseded record"),Scoring!$C$35,Scoring!$C$34)))))</f>
        <v>14</v>
      </c>
      <c r="AF33" s="22" t="n">
        <f aca="false">IF(T33="Y",0,IF(ISNUMBER(V33),IF(Scoring!$B$4-V33&gt;15,Scoring!$C$36,IF(Scoring!$B$4-V33&gt;=10,Scoring!$C$37,IF(Scoring!$B$4-V33&gt;=5,Scoring!$C$38,Scoring!$C$39))),IF(OR(N33="",D33="Out of program"),Scoring!$C$40,IF(O33&gt;15,Scoring!$C$36,IF(O33&gt;=10,Scoring!$C$37,IF(O33&gt;=5,Scoring!$C$38,Scoring!$C$39))))))</f>
        <v>15</v>
      </c>
      <c r="AG33" s="22" t="n">
        <f aca="false">IF(T33="Y",0,IF(Y33="Y",Scoring!$C$41,IF(ISNUMBER(O33),IF(O33&gt;=25,Scoring!$C$42,IF(O33&gt;=15,Scoring!$C$43,Scoring!$C$44)),Scoring!$C$44)))</f>
        <v>8</v>
      </c>
      <c r="AH33" s="22" t="n">
        <f aca="false">IF(T33="Y",0,IF(W33="",Scoring!$C$49,IFERROR(VLOOKUP(W33,Scoring!$B$45:$C$48,2,FALSE()),Scoring!$C$49)))</f>
        <v>5</v>
      </c>
      <c r="AI33" s="23" t="n">
        <f aca="false">C33+IF(ISNUMBER(J33),J33,0)/100000+(10000-ROW())/1000000000</f>
        <v>70.000749967</v>
      </c>
      <c r="AJ33" s="18"/>
      <c r="AK33" s="18"/>
      <c r="AL33" s="18"/>
      <c r="AM33" s="18"/>
    </row>
    <row r="34" customFormat="false" ht="15" hidden="false" customHeight="false" outlineLevel="0" collapsed="false">
      <c r="A34" s="15" t="n">
        <f aca="false">RANK(AI34,$AI$2:$AI$755)</f>
        <v>33</v>
      </c>
      <c r="B34" s="16" t="str">
        <f aca="false">IF(T34="Y","Superseded",IF(C34&gt;=Scoring!$B$16,"Immediate",IF(C34&gt;=Scoring!$B$17,"This week",IF(C34&gt;=Scoring!$B$18,"Nurture","Low"))))</f>
        <v>This week</v>
      </c>
      <c r="C34" s="3" t="n">
        <f aca="false">SUM(AC34:AH34)</f>
        <v>70</v>
      </c>
      <c r="D34" s="15" t="str">
        <f aca="false">IF(T34="Y","Superseded record",IF(AND(U34&lt;&gt;"",AA34&lt;0),"Expired (verified)",IF(AND(U34&lt;&gt;"",AA34&lt;=Scoring!$B$5),"Expiring: notice window (verified)",IF(AND(U34&lt;&gt;"",AA34&lt;=Scoring!$B$6),"Expiring: 10-yr horizon (verified)",IF(M34="No Longer Monitored","Out of program",IF(N34="","Unknown vintage",IF(N34&lt;Scoring!$B$12,"Pre-1990, still listed",IF(AND(U34="",AA34&lt;0),"Past 30-yr mark (verify)",IF(AND(U34="",AA34&lt;=Scoring!$B$5),"30-yr mark: notice window (est.)",IF(AND(O34&gt;=Scoring!$B$7,O34&lt;=Scoring!$B$8),"Year-15 window",IF(O34&gt;=Scoring!$B$9,"Recap window",IF(O34&gt;=11,"Late compliance","Credit period"))))))))))))</f>
        <v>30-yr mark: notice window (est.)</v>
      </c>
      <c r="E34" s="15" t="s">
        <v>229</v>
      </c>
      <c r="F34" s="15" t="s">
        <v>230</v>
      </c>
      <c r="G34" s="15" t="s">
        <v>231</v>
      </c>
      <c r="H34" s="15" t="s">
        <v>232</v>
      </c>
      <c r="I34" s="15" t="s">
        <v>233</v>
      </c>
      <c r="J34" s="15" t="n">
        <v>72</v>
      </c>
      <c r="K34" s="15" t="n">
        <v>72</v>
      </c>
      <c r="L34" s="15" t="n">
        <f aca="false">IF(OR(J34="",K34=""),"",MAX(J34-K34,0))</f>
        <v>0</v>
      </c>
      <c r="M34" s="15" t="s">
        <v>99</v>
      </c>
      <c r="N34" s="17" t="n">
        <v>1999</v>
      </c>
      <c r="O34" s="15" t="n">
        <f aca="false">IF(N34="","",Scoring!$B$4-N34)</f>
        <v>27</v>
      </c>
      <c r="P34" s="15" t="n">
        <f aca="false">IF(N34="","",N34+14)</f>
        <v>2013</v>
      </c>
      <c r="Q34" s="15" t="n">
        <f aca="false">IF(N34="","",IF(N34&lt;Scoring!$B$12,"n/a (pre-1990)",N34+Scoring!$B$13))</f>
        <v>2028</v>
      </c>
      <c r="R34" s="15" t="str">
        <f aca="false">IF(J34="","Unknown",IF(J34&gt;=5,"Yes","No (under 5 units)"))</f>
        <v>Yes</v>
      </c>
      <c r="S34" s="15"/>
      <c r="T34" s="18"/>
      <c r="U34" s="19"/>
      <c r="V34" s="18"/>
      <c r="W34" s="18"/>
      <c r="X34" s="20"/>
      <c r="Y34" s="18"/>
      <c r="Z34" s="18"/>
      <c r="AA34" s="21" t="n">
        <f aca="false">IF(U34&lt;&gt;"",(U34-Scoring!$B$3)/365.25,IF(N34="","",IF(N34&lt;Scoring!$B$12,"",(DATE(N34+Scoring!$B$13,12,31)-Scoring!$B$3)/365.25)))</f>
        <v>2.24777549623546</v>
      </c>
      <c r="AB34" s="22" t="n">
        <f aca="false">IF(T34="Y",0,IF(OR(D34="Expired (verified)",D34="Expiring: notice window (verified)",D34="Expiring: 10-yr horizon (verified)",D34="Past 30-yr mark (verify)",D34="30-yr mark: notice window (est.)",D34="Year-15 window"),1,0)+IF(ISNUMBER(O34),IF(O34&gt;=Scoring!$B$10,1,0),0)+IF(AND(ISNUMBER(L34),ISNUMBER(J34)),IF(J34&gt;0,IF(L34/J34&gt;=Scoring!$B$11,1,0),0),0)+IF(ISNUMBER(Z34),MIN(Z34,3),0))</f>
        <v>2</v>
      </c>
      <c r="AC34" s="22" t="n">
        <f aca="false">IF(AB34&gt;=3,Scoring!$C$24,IF(AB34=2,Scoring!$C$23,IF(AB34=1,Scoring!$C$22,0)))</f>
        <v>18</v>
      </c>
      <c r="AD34" s="22" t="n">
        <f aca="false">IF(T34="Y",0,IF(ISNUMBER(X34),IF(X34&gt;0.7,Scoring!$C$25,IF(X34&gt;=0.5,Scoring!$C$26,IF(X34&gt;=0.3,Scoring!$C$27,Scoring!$C$28))),Scoring!$C$29))</f>
        <v>10</v>
      </c>
      <c r="AE34" s="22" t="n">
        <f aca="false">IF(D34="Expiring: notice window (verified)",Scoring!$C$30,IF(OR(D34="Expired (verified)",D34="30-yr mark: notice window (est.)",D34="Year-15 window"),Scoring!$C$31,IF(D34="Expiring: 10-yr horizon (verified)",Scoring!$C$32,IF(D34="Past 30-yr mark (verify)",Scoring!$C$33,IF(OR(D34="Credit period",D34="Superseded record"),Scoring!$C$35,Scoring!$C$34)))))</f>
        <v>14</v>
      </c>
      <c r="AF34" s="22" t="n">
        <f aca="false">IF(T34="Y",0,IF(ISNUMBER(V34),IF(Scoring!$B$4-V34&gt;15,Scoring!$C$36,IF(Scoring!$B$4-V34&gt;=10,Scoring!$C$37,IF(Scoring!$B$4-V34&gt;=5,Scoring!$C$38,Scoring!$C$39))),IF(OR(N34="",D34="Out of program"),Scoring!$C$40,IF(O34&gt;15,Scoring!$C$36,IF(O34&gt;=10,Scoring!$C$37,IF(O34&gt;=5,Scoring!$C$38,Scoring!$C$39))))))</f>
        <v>15</v>
      </c>
      <c r="AG34" s="22" t="n">
        <f aca="false">IF(T34="Y",0,IF(Y34="Y",Scoring!$C$41,IF(ISNUMBER(O34),IF(O34&gt;=25,Scoring!$C$42,IF(O34&gt;=15,Scoring!$C$43,Scoring!$C$44)),Scoring!$C$44)))</f>
        <v>8</v>
      </c>
      <c r="AH34" s="22" t="n">
        <f aca="false">IF(T34="Y",0,IF(W34="",Scoring!$C$49,IFERROR(VLOOKUP(W34,Scoring!$B$45:$C$48,2,FALSE()),Scoring!$C$49)))</f>
        <v>5</v>
      </c>
      <c r="AI34" s="23" t="n">
        <f aca="false">C34+IF(ISNUMBER(J34),J34,0)/100000+(10000-ROW())/1000000000</f>
        <v>70.000729966</v>
      </c>
      <c r="AJ34" s="18"/>
      <c r="AK34" s="18"/>
      <c r="AL34" s="18"/>
      <c r="AM34" s="18"/>
    </row>
    <row r="35" customFormat="false" ht="15" hidden="false" customHeight="false" outlineLevel="0" collapsed="false">
      <c r="A35" s="15" t="n">
        <f aca="false">RANK(AI35,$AI$2:$AI$755)</f>
        <v>34</v>
      </c>
      <c r="B35" s="16" t="str">
        <f aca="false">IF(T35="Y","Superseded",IF(C35&gt;=Scoring!$B$16,"Immediate",IF(C35&gt;=Scoring!$B$17,"This week",IF(C35&gt;=Scoring!$B$18,"Nurture","Low"))))</f>
        <v>This week</v>
      </c>
      <c r="C35" s="3" t="n">
        <f aca="false">SUM(AC35:AH35)</f>
        <v>70</v>
      </c>
      <c r="D35" s="15" t="str">
        <f aca="false">IF(T35="Y","Superseded record",IF(AND(U35&lt;&gt;"",AA35&lt;0),"Expired (verified)",IF(AND(U35&lt;&gt;"",AA35&lt;=Scoring!$B$5),"Expiring: notice window (verified)",IF(AND(U35&lt;&gt;"",AA35&lt;=Scoring!$B$6),"Expiring: 10-yr horizon (verified)",IF(M35="No Longer Monitored","Out of program",IF(N35="","Unknown vintage",IF(N35&lt;Scoring!$B$12,"Pre-1990, still listed",IF(AND(U35="",AA35&lt;0),"Past 30-yr mark (verify)",IF(AND(U35="",AA35&lt;=Scoring!$B$5),"30-yr mark: notice window (est.)",IF(AND(O35&gt;=Scoring!$B$7,O35&lt;=Scoring!$B$8),"Year-15 window",IF(O35&gt;=Scoring!$B$9,"Recap window",IF(O35&gt;=11,"Late compliance","Credit period"))))))))))))</f>
        <v>30-yr mark: notice window (est.)</v>
      </c>
      <c r="E35" s="15" t="s">
        <v>234</v>
      </c>
      <c r="F35" s="15" t="s">
        <v>235</v>
      </c>
      <c r="G35" s="15" t="s">
        <v>236</v>
      </c>
      <c r="H35" s="15" t="s">
        <v>97</v>
      </c>
      <c r="I35" s="15" t="s">
        <v>160</v>
      </c>
      <c r="J35" s="15" t="n">
        <v>70</v>
      </c>
      <c r="K35" s="15" t="n">
        <v>70</v>
      </c>
      <c r="L35" s="15" t="n">
        <f aca="false">IF(OR(J35="",K35=""),"",MAX(J35-K35,0))</f>
        <v>0</v>
      </c>
      <c r="M35" s="15" t="s">
        <v>99</v>
      </c>
      <c r="N35" s="17" t="n">
        <v>1997</v>
      </c>
      <c r="O35" s="15" t="n">
        <f aca="false">IF(N35="","",Scoring!$B$4-N35)</f>
        <v>29</v>
      </c>
      <c r="P35" s="15" t="n">
        <f aca="false">IF(N35="","",N35+14)</f>
        <v>2011</v>
      </c>
      <c r="Q35" s="15" t="n">
        <f aca="false">IF(N35="","",IF(N35&lt;Scoring!$B$12,"n/a (pre-1990)",N35+Scoring!$B$13))</f>
        <v>2026</v>
      </c>
      <c r="R35" s="15" t="str">
        <f aca="false">IF(J35="","Unknown",IF(J35&gt;=5,"Yes","No (under 5 units)"))</f>
        <v>Yes</v>
      </c>
      <c r="S35" s="15"/>
      <c r="T35" s="18"/>
      <c r="U35" s="19"/>
      <c r="V35" s="18"/>
      <c r="W35" s="18"/>
      <c r="X35" s="20"/>
      <c r="Y35" s="18"/>
      <c r="Z35" s="18"/>
      <c r="AA35" s="21" t="n">
        <f aca="false">IF(U35&lt;&gt;"",(U35-Scoring!$B$3)/365.25,IF(N35="","",IF(N35&lt;Scoring!$B$12,"",(DATE(N35+Scoring!$B$13,12,31)-Scoring!$B$3)/365.25)))</f>
        <v>0.246406570841889</v>
      </c>
      <c r="AB35" s="22" t="n">
        <f aca="false">IF(T35="Y",0,IF(OR(D35="Expired (verified)",D35="Expiring: notice window (verified)",D35="Expiring: 10-yr horizon (verified)",D35="Past 30-yr mark (verify)",D35="30-yr mark: notice window (est.)",D35="Year-15 window"),1,0)+IF(ISNUMBER(O35),IF(O35&gt;=Scoring!$B$10,1,0),0)+IF(AND(ISNUMBER(L35),ISNUMBER(J35)),IF(J35&gt;0,IF(L35/J35&gt;=Scoring!$B$11,1,0),0),0)+IF(ISNUMBER(Z35),MIN(Z35,3),0))</f>
        <v>2</v>
      </c>
      <c r="AC35" s="22" t="n">
        <f aca="false">IF(AB35&gt;=3,Scoring!$C$24,IF(AB35=2,Scoring!$C$23,IF(AB35=1,Scoring!$C$22,0)))</f>
        <v>18</v>
      </c>
      <c r="AD35" s="22" t="n">
        <f aca="false">IF(T35="Y",0,IF(ISNUMBER(X35),IF(X35&gt;0.7,Scoring!$C$25,IF(X35&gt;=0.5,Scoring!$C$26,IF(X35&gt;=0.3,Scoring!$C$27,Scoring!$C$28))),Scoring!$C$29))</f>
        <v>10</v>
      </c>
      <c r="AE35" s="22" t="n">
        <f aca="false">IF(D35="Expiring: notice window (verified)",Scoring!$C$30,IF(OR(D35="Expired (verified)",D35="30-yr mark: notice window (est.)",D35="Year-15 window"),Scoring!$C$31,IF(D35="Expiring: 10-yr horizon (verified)",Scoring!$C$32,IF(D35="Past 30-yr mark (verify)",Scoring!$C$33,IF(OR(D35="Credit period",D35="Superseded record"),Scoring!$C$35,Scoring!$C$34)))))</f>
        <v>14</v>
      </c>
      <c r="AF35" s="22" t="n">
        <f aca="false">IF(T35="Y",0,IF(ISNUMBER(V35),IF(Scoring!$B$4-V35&gt;15,Scoring!$C$36,IF(Scoring!$B$4-V35&gt;=10,Scoring!$C$37,IF(Scoring!$B$4-V35&gt;=5,Scoring!$C$38,Scoring!$C$39))),IF(OR(N35="",D35="Out of program"),Scoring!$C$40,IF(O35&gt;15,Scoring!$C$36,IF(O35&gt;=10,Scoring!$C$37,IF(O35&gt;=5,Scoring!$C$38,Scoring!$C$39))))))</f>
        <v>15</v>
      </c>
      <c r="AG35" s="22" t="n">
        <f aca="false">IF(T35="Y",0,IF(Y35="Y",Scoring!$C$41,IF(ISNUMBER(O35),IF(O35&gt;=25,Scoring!$C$42,IF(O35&gt;=15,Scoring!$C$43,Scoring!$C$44)),Scoring!$C$44)))</f>
        <v>8</v>
      </c>
      <c r="AH35" s="22" t="n">
        <f aca="false">IF(T35="Y",0,IF(W35="",Scoring!$C$49,IFERROR(VLOOKUP(W35,Scoring!$B$45:$C$48,2,FALSE()),Scoring!$C$49)))</f>
        <v>5</v>
      </c>
      <c r="AI35" s="23" t="n">
        <f aca="false">C35+IF(ISNUMBER(J35),J35,0)/100000+(10000-ROW())/1000000000</f>
        <v>70.000709965</v>
      </c>
      <c r="AJ35" s="18"/>
      <c r="AK35" s="18"/>
      <c r="AL35" s="18"/>
      <c r="AM35" s="18"/>
    </row>
    <row r="36" customFormat="false" ht="15" hidden="false" customHeight="false" outlineLevel="0" collapsed="false">
      <c r="A36" s="15" t="n">
        <f aca="false">RANK(AI36,$AI$2:$AI$755)</f>
        <v>35</v>
      </c>
      <c r="B36" s="16" t="str">
        <f aca="false">IF(T36="Y","Superseded",IF(C36&gt;=Scoring!$B$16,"Immediate",IF(C36&gt;=Scoring!$B$17,"This week",IF(C36&gt;=Scoring!$B$18,"Nurture","Low"))))</f>
        <v>This week</v>
      </c>
      <c r="C36" s="3" t="n">
        <f aca="false">SUM(AC36:AH36)</f>
        <v>70</v>
      </c>
      <c r="D36" s="15" t="str">
        <f aca="false">IF(T36="Y","Superseded record",IF(AND(U36&lt;&gt;"",AA36&lt;0),"Expired (verified)",IF(AND(U36&lt;&gt;"",AA36&lt;=Scoring!$B$5),"Expiring: notice window (verified)",IF(AND(U36&lt;&gt;"",AA36&lt;=Scoring!$B$6),"Expiring: 10-yr horizon (verified)",IF(M36="No Longer Monitored","Out of program",IF(N36="","Unknown vintage",IF(N36&lt;Scoring!$B$12,"Pre-1990, still listed",IF(AND(U36="",AA36&lt;0),"Past 30-yr mark (verify)",IF(AND(U36="",AA36&lt;=Scoring!$B$5),"30-yr mark: notice window (est.)",IF(AND(O36&gt;=Scoring!$B$7,O36&lt;=Scoring!$B$8),"Year-15 window",IF(O36&gt;=Scoring!$B$9,"Recap window",IF(O36&gt;=11,"Late compliance","Credit period"))))))))))))</f>
        <v>30-yr mark: notice window (est.)</v>
      </c>
      <c r="E36" s="15" t="s">
        <v>237</v>
      </c>
      <c r="F36" s="15" t="s">
        <v>238</v>
      </c>
      <c r="G36" s="15" t="s">
        <v>239</v>
      </c>
      <c r="H36" s="15" t="s">
        <v>240</v>
      </c>
      <c r="I36" s="15" t="s">
        <v>241</v>
      </c>
      <c r="J36" s="15" t="n">
        <v>70</v>
      </c>
      <c r="K36" s="15" t="n">
        <v>70</v>
      </c>
      <c r="L36" s="15" t="n">
        <f aca="false">IF(OR(J36="",K36=""),"",MAX(J36-K36,0))</f>
        <v>0</v>
      </c>
      <c r="M36" s="15" t="s">
        <v>99</v>
      </c>
      <c r="N36" s="17" t="n">
        <v>1997</v>
      </c>
      <c r="O36" s="15" t="n">
        <f aca="false">IF(N36="","",Scoring!$B$4-N36)</f>
        <v>29</v>
      </c>
      <c r="P36" s="15" t="n">
        <f aca="false">IF(N36="","",N36+14)</f>
        <v>2011</v>
      </c>
      <c r="Q36" s="15" t="n">
        <f aca="false">IF(N36="","",IF(N36&lt;Scoring!$B$12,"n/a (pre-1990)",N36+Scoring!$B$13))</f>
        <v>2026</v>
      </c>
      <c r="R36" s="15" t="str">
        <f aca="false">IF(J36="","Unknown",IF(J36&gt;=5,"Yes","No (under 5 units)"))</f>
        <v>Yes</v>
      </c>
      <c r="S36" s="15"/>
      <c r="T36" s="18"/>
      <c r="U36" s="19"/>
      <c r="V36" s="18"/>
      <c r="W36" s="18"/>
      <c r="X36" s="20"/>
      <c r="Y36" s="18"/>
      <c r="Z36" s="18"/>
      <c r="AA36" s="21" t="n">
        <f aca="false">IF(U36&lt;&gt;"",(U36-Scoring!$B$3)/365.25,IF(N36="","",IF(N36&lt;Scoring!$B$12,"",(DATE(N36+Scoring!$B$13,12,31)-Scoring!$B$3)/365.25)))</f>
        <v>0.246406570841889</v>
      </c>
      <c r="AB36" s="22" t="n">
        <f aca="false">IF(T36="Y",0,IF(OR(D36="Expired (verified)",D36="Expiring: notice window (verified)",D36="Expiring: 10-yr horizon (verified)",D36="Past 30-yr mark (verify)",D36="30-yr mark: notice window (est.)",D36="Year-15 window"),1,0)+IF(ISNUMBER(O36),IF(O36&gt;=Scoring!$B$10,1,0),0)+IF(AND(ISNUMBER(L36),ISNUMBER(J36)),IF(J36&gt;0,IF(L36/J36&gt;=Scoring!$B$11,1,0),0),0)+IF(ISNUMBER(Z36),MIN(Z36,3),0))</f>
        <v>2</v>
      </c>
      <c r="AC36" s="22" t="n">
        <f aca="false">IF(AB36&gt;=3,Scoring!$C$24,IF(AB36=2,Scoring!$C$23,IF(AB36=1,Scoring!$C$22,0)))</f>
        <v>18</v>
      </c>
      <c r="AD36" s="22" t="n">
        <f aca="false">IF(T36="Y",0,IF(ISNUMBER(X36),IF(X36&gt;0.7,Scoring!$C$25,IF(X36&gt;=0.5,Scoring!$C$26,IF(X36&gt;=0.3,Scoring!$C$27,Scoring!$C$28))),Scoring!$C$29))</f>
        <v>10</v>
      </c>
      <c r="AE36" s="22" t="n">
        <f aca="false">IF(D36="Expiring: notice window (verified)",Scoring!$C$30,IF(OR(D36="Expired (verified)",D36="30-yr mark: notice window (est.)",D36="Year-15 window"),Scoring!$C$31,IF(D36="Expiring: 10-yr horizon (verified)",Scoring!$C$32,IF(D36="Past 30-yr mark (verify)",Scoring!$C$33,IF(OR(D36="Credit period",D36="Superseded record"),Scoring!$C$35,Scoring!$C$34)))))</f>
        <v>14</v>
      </c>
      <c r="AF36" s="22" t="n">
        <f aca="false">IF(T36="Y",0,IF(ISNUMBER(V36),IF(Scoring!$B$4-V36&gt;15,Scoring!$C$36,IF(Scoring!$B$4-V36&gt;=10,Scoring!$C$37,IF(Scoring!$B$4-V36&gt;=5,Scoring!$C$38,Scoring!$C$39))),IF(OR(N36="",D36="Out of program"),Scoring!$C$40,IF(O36&gt;15,Scoring!$C$36,IF(O36&gt;=10,Scoring!$C$37,IF(O36&gt;=5,Scoring!$C$38,Scoring!$C$39))))))</f>
        <v>15</v>
      </c>
      <c r="AG36" s="22" t="n">
        <f aca="false">IF(T36="Y",0,IF(Y36="Y",Scoring!$C$41,IF(ISNUMBER(O36),IF(O36&gt;=25,Scoring!$C$42,IF(O36&gt;=15,Scoring!$C$43,Scoring!$C$44)),Scoring!$C$44)))</f>
        <v>8</v>
      </c>
      <c r="AH36" s="22" t="n">
        <f aca="false">IF(T36="Y",0,IF(W36="",Scoring!$C$49,IFERROR(VLOOKUP(W36,Scoring!$B$45:$C$48,2,FALSE()),Scoring!$C$49)))</f>
        <v>5</v>
      </c>
      <c r="AI36" s="23" t="n">
        <f aca="false">C36+IF(ISNUMBER(J36),J36,0)/100000+(10000-ROW())/1000000000</f>
        <v>70.000709964</v>
      </c>
      <c r="AJ36" s="18"/>
      <c r="AK36" s="18"/>
      <c r="AL36" s="18"/>
      <c r="AM36" s="18"/>
    </row>
    <row r="37" customFormat="false" ht="15" hidden="false" customHeight="false" outlineLevel="0" collapsed="false">
      <c r="A37" s="15" t="n">
        <f aca="false">RANK(AI37,$AI$2:$AI$755)</f>
        <v>36</v>
      </c>
      <c r="B37" s="16" t="str">
        <f aca="false">IF(T37="Y","Superseded",IF(C37&gt;=Scoring!$B$16,"Immediate",IF(C37&gt;=Scoring!$B$17,"This week",IF(C37&gt;=Scoring!$B$18,"Nurture","Low"))))</f>
        <v>This week</v>
      </c>
      <c r="C37" s="3" t="n">
        <f aca="false">SUM(AC37:AH37)</f>
        <v>70</v>
      </c>
      <c r="D37" s="15" t="str">
        <f aca="false">IF(T37="Y","Superseded record",IF(AND(U37&lt;&gt;"",AA37&lt;0),"Expired (verified)",IF(AND(U37&lt;&gt;"",AA37&lt;=Scoring!$B$5),"Expiring: notice window (verified)",IF(AND(U37&lt;&gt;"",AA37&lt;=Scoring!$B$6),"Expiring: 10-yr horizon (verified)",IF(M37="No Longer Monitored","Out of program",IF(N37="","Unknown vintage",IF(N37&lt;Scoring!$B$12,"Pre-1990, still listed",IF(AND(U37="",AA37&lt;0),"Past 30-yr mark (verify)",IF(AND(U37="",AA37&lt;=Scoring!$B$5),"30-yr mark: notice window (est.)",IF(AND(O37&gt;=Scoring!$B$7,O37&lt;=Scoring!$B$8),"Year-15 window",IF(O37&gt;=Scoring!$B$9,"Recap window",IF(O37&gt;=11,"Late compliance","Credit period"))))))))))))</f>
        <v>30-yr mark: notice window (est.)</v>
      </c>
      <c r="E37" s="15" t="s">
        <v>242</v>
      </c>
      <c r="F37" s="15" t="s">
        <v>243</v>
      </c>
      <c r="G37" s="15" t="s">
        <v>244</v>
      </c>
      <c r="H37" s="15" t="s">
        <v>97</v>
      </c>
      <c r="I37" s="15" t="s">
        <v>245</v>
      </c>
      <c r="J37" s="15" t="n">
        <v>64</v>
      </c>
      <c r="K37" s="15" t="n">
        <v>64</v>
      </c>
      <c r="L37" s="15" t="n">
        <f aca="false">IF(OR(J37="",K37=""),"",MAX(J37-K37,0))</f>
        <v>0</v>
      </c>
      <c r="M37" s="15" t="s">
        <v>99</v>
      </c>
      <c r="N37" s="17" t="n">
        <v>1997</v>
      </c>
      <c r="O37" s="15" t="n">
        <f aca="false">IF(N37="","",Scoring!$B$4-N37)</f>
        <v>29</v>
      </c>
      <c r="P37" s="15" t="n">
        <f aca="false">IF(N37="","",N37+14)</f>
        <v>2011</v>
      </c>
      <c r="Q37" s="15" t="n">
        <f aca="false">IF(N37="","",IF(N37&lt;Scoring!$B$12,"n/a (pre-1990)",N37+Scoring!$B$13))</f>
        <v>2026</v>
      </c>
      <c r="R37" s="15" t="str">
        <f aca="false">IF(J37="","Unknown",IF(J37&gt;=5,"Yes","No (under 5 units)"))</f>
        <v>Yes</v>
      </c>
      <c r="S37" s="15"/>
      <c r="T37" s="18"/>
      <c r="U37" s="19"/>
      <c r="V37" s="18"/>
      <c r="W37" s="18"/>
      <c r="X37" s="20"/>
      <c r="Y37" s="18"/>
      <c r="Z37" s="18"/>
      <c r="AA37" s="21" t="n">
        <f aca="false">IF(U37&lt;&gt;"",(U37-Scoring!$B$3)/365.25,IF(N37="","",IF(N37&lt;Scoring!$B$12,"",(DATE(N37+Scoring!$B$13,12,31)-Scoring!$B$3)/365.25)))</f>
        <v>0.246406570841889</v>
      </c>
      <c r="AB37" s="22" t="n">
        <f aca="false">IF(T37="Y",0,IF(OR(D37="Expired (verified)",D37="Expiring: notice window (verified)",D37="Expiring: 10-yr horizon (verified)",D37="Past 30-yr mark (verify)",D37="30-yr mark: notice window (est.)",D37="Year-15 window"),1,0)+IF(ISNUMBER(O37),IF(O37&gt;=Scoring!$B$10,1,0),0)+IF(AND(ISNUMBER(L37),ISNUMBER(J37)),IF(J37&gt;0,IF(L37/J37&gt;=Scoring!$B$11,1,0),0),0)+IF(ISNUMBER(Z37),MIN(Z37,3),0))</f>
        <v>2</v>
      </c>
      <c r="AC37" s="22" t="n">
        <f aca="false">IF(AB37&gt;=3,Scoring!$C$24,IF(AB37=2,Scoring!$C$23,IF(AB37=1,Scoring!$C$22,0)))</f>
        <v>18</v>
      </c>
      <c r="AD37" s="22" t="n">
        <f aca="false">IF(T37="Y",0,IF(ISNUMBER(X37),IF(X37&gt;0.7,Scoring!$C$25,IF(X37&gt;=0.5,Scoring!$C$26,IF(X37&gt;=0.3,Scoring!$C$27,Scoring!$C$28))),Scoring!$C$29))</f>
        <v>10</v>
      </c>
      <c r="AE37" s="22" t="n">
        <f aca="false">IF(D37="Expiring: notice window (verified)",Scoring!$C$30,IF(OR(D37="Expired (verified)",D37="30-yr mark: notice window (est.)",D37="Year-15 window"),Scoring!$C$31,IF(D37="Expiring: 10-yr horizon (verified)",Scoring!$C$32,IF(D37="Past 30-yr mark (verify)",Scoring!$C$33,IF(OR(D37="Credit period",D37="Superseded record"),Scoring!$C$35,Scoring!$C$34)))))</f>
        <v>14</v>
      </c>
      <c r="AF37" s="22" t="n">
        <f aca="false">IF(T37="Y",0,IF(ISNUMBER(V37),IF(Scoring!$B$4-V37&gt;15,Scoring!$C$36,IF(Scoring!$B$4-V37&gt;=10,Scoring!$C$37,IF(Scoring!$B$4-V37&gt;=5,Scoring!$C$38,Scoring!$C$39))),IF(OR(N37="",D37="Out of program"),Scoring!$C$40,IF(O37&gt;15,Scoring!$C$36,IF(O37&gt;=10,Scoring!$C$37,IF(O37&gt;=5,Scoring!$C$38,Scoring!$C$39))))))</f>
        <v>15</v>
      </c>
      <c r="AG37" s="22" t="n">
        <f aca="false">IF(T37="Y",0,IF(Y37="Y",Scoring!$C$41,IF(ISNUMBER(O37),IF(O37&gt;=25,Scoring!$C$42,IF(O37&gt;=15,Scoring!$C$43,Scoring!$C$44)),Scoring!$C$44)))</f>
        <v>8</v>
      </c>
      <c r="AH37" s="22" t="n">
        <f aca="false">IF(T37="Y",0,IF(W37="",Scoring!$C$49,IFERROR(VLOOKUP(W37,Scoring!$B$45:$C$48,2,FALSE()),Scoring!$C$49)))</f>
        <v>5</v>
      </c>
      <c r="AI37" s="23" t="n">
        <f aca="false">C37+IF(ISNUMBER(J37),J37,0)/100000+(10000-ROW())/1000000000</f>
        <v>70.000649963</v>
      </c>
      <c r="AJ37" s="18"/>
      <c r="AK37" s="18"/>
      <c r="AL37" s="18"/>
      <c r="AM37" s="18"/>
    </row>
    <row r="38" customFormat="false" ht="15" hidden="false" customHeight="false" outlineLevel="0" collapsed="false">
      <c r="A38" s="15" t="n">
        <f aca="false">RANK(AI38,$AI$2:$AI$755)</f>
        <v>37</v>
      </c>
      <c r="B38" s="16" t="str">
        <f aca="false">IF(T38="Y","Superseded",IF(C38&gt;=Scoring!$B$16,"Immediate",IF(C38&gt;=Scoring!$B$17,"This week",IF(C38&gt;=Scoring!$B$18,"Nurture","Low"))))</f>
        <v>This week</v>
      </c>
      <c r="C38" s="3" t="n">
        <f aca="false">SUM(AC38:AH38)</f>
        <v>70</v>
      </c>
      <c r="D38" s="15" t="str">
        <f aca="false">IF(T38="Y","Superseded record",IF(AND(U38&lt;&gt;"",AA38&lt;0),"Expired (verified)",IF(AND(U38&lt;&gt;"",AA38&lt;=Scoring!$B$5),"Expiring: notice window (verified)",IF(AND(U38&lt;&gt;"",AA38&lt;=Scoring!$B$6),"Expiring: 10-yr horizon (verified)",IF(M38="No Longer Monitored","Out of program",IF(N38="","Unknown vintage",IF(N38&lt;Scoring!$B$12,"Pre-1990, still listed",IF(AND(U38="",AA38&lt;0),"Past 30-yr mark (verify)",IF(AND(U38="",AA38&lt;=Scoring!$B$5),"30-yr mark: notice window (est.)",IF(AND(O38&gt;=Scoring!$B$7,O38&lt;=Scoring!$B$8),"Year-15 window",IF(O38&gt;=Scoring!$B$9,"Recap window",IF(O38&gt;=11,"Late compliance","Credit period"))))))))))))</f>
        <v>30-yr mark: notice window (est.)</v>
      </c>
      <c r="E38" s="15" t="s">
        <v>246</v>
      </c>
      <c r="F38" s="15" t="s">
        <v>247</v>
      </c>
      <c r="G38" s="15" t="s">
        <v>248</v>
      </c>
      <c r="H38" s="15" t="s">
        <v>249</v>
      </c>
      <c r="I38" s="15" t="s">
        <v>250</v>
      </c>
      <c r="J38" s="15" t="n">
        <v>64</v>
      </c>
      <c r="K38" s="15" t="n">
        <v>64</v>
      </c>
      <c r="L38" s="15" t="n">
        <f aca="false">IF(OR(J38="",K38=""),"",MAX(J38-K38,0))</f>
        <v>0</v>
      </c>
      <c r="M38" s="15" t="s">
        <v>99</v>
      </c>
      <c r="N38" s="17" t="n">
        <v>1998</v>
      </c>
      <c r="O38" s="15" t="n">
        <f aca="false">IF(N38="","",Scoring!$B$4-N38)</f>
        <v>28</v>
      </c>
      <c r="P38" s="15" t="n">
        <f aca="false">IF(N38="","",N38+14)</f>
        <v>2012</v>
      </c>
      <c r="Q38" s="15" t="n">
        <f aca="false">IF(N38="","",IF(N38&lt;Scoring!$B$12,"n/a (pre-1990)",N38+Scoring!$B$13))</f>
        <v>2027</v>
      </c>
      <c r="R38" s="15" t="str">
        <f aca="false">IF(J38="","Unknown",IF(J38&gt;=5,"Yes","No (under 5 units)"))</f>
        <v>Yes</v>
      </c>
      <c r="S38" s="15" t="s">
        <v>251</v>
      </c>
      <c r="T38" s="18"/>
      <c r="U38" s="19"/>
      <c r="V38" s="18"/>
      <c r="W38" s="18"/>
      <c r="X38" s="20"/>
      <c r="Y38" s="18"/>
      <c r="Z38" s="18"/>
      <c r="AA38" s="21" t="n">
        <f aca="false">IF(U38&lt;&gt;"",(U38-Scoring!$B$3)/365.25,IF(N38="","",IF(N38&lt;Scoring!$B$12,"",(DATE(N38+Scoring!$B$13,12,31)-Scoring!$B$3)/365.25)))</f>
        <v>1.24572210814511</v>
      </c>
      <c r="AB38" s="22" t="n">
        <f aca="false">IF(T38="Y",0,IF(OR(D38="Expired (verified)",D38="Expiring: notice window (verified)",D38="Expiring: 10-yr horizon (verified)",D38="Past 30-yr mark (verify)",D38="30-yr mark: notice window (est.)",D38="Year-15 window"),1,0)+IF(ISNUMBER(O38),IF(O38&gt;=Scoring!$B$10,1,0),0)+IF(AND(ISNUMBER(L38),ISNUMBER(J38)),IF(J38&gt;0,IF(L38/J38&gt;=Scoring!$B$11,1,0),0),0)+IF(ISNUMBER(Z38),MIN(Z38,3),0))</f>
        <v>2</v>
      </c>
      <c r="AC38" s="22" t="n">
        <f aca="false">IF(AB38&gt;=3,Scoring!$C$24,IF(AB38=2,Scoring!$C$23,IF(AB38=1,Scoring!$C$22,0)))</f>
        <v>18</v>
      </c>
      <c r="AD38" s="22" t="n">
        <f aca="false">IF(T38="Y",0,IF(ISNUMBER(X38),IF(X38&gt;0.7,Scoring!$C$25,IF(X38&gt;=0.5,Scoring!$C$26,IF(X38&gt;=0.3,Scoring!$C$27,Scoring!$C$28))),Scoring!$C$29))</f>
        <v>10</v>
      </c>
      <c r="AE38" s="22" t="n">
        <f aca="false">IF(D38="Expiring: notice window (verified)",Scoring!$C$30,IF(OR(D38="Expired (verified)",D38="30-yr mark: notice window (est.)",D38="Year-15 window"),Scoring!$C$31,IF(D38="Expiring: 10-yr horizon (verified)",Scoring!$C$32,IF(D38="Past 30-yr mark (verify)",Scoring!$C$33,IF(OR(D38="Credit period",D38="Superseded record"),Scoring!$C$35,Scoring!$C$34)))))</f>
        <v>14</v>
      </c>
      <c r="AF38" s="22" t="n">
        <f aca="false">IF(T38="Y",0,IF(ISNUMBER(V38),IF(Scoring!$B$4-V38&gt;15,Scoring!$C$36,IF(Scoring!$B$4-V38&gt;=10,Scoring!$C$37,IF(Scoring!$B$4-V38&gt;=5,Scoring!$C$38,Scoring!$C$39))),IF(OR(N38="",D38="Out of program"),Scoring!$C$40,IF(O38&gt;15,Scoring!$C$36,IF(O38&gt;=10,Scoring!$C$37,IF(O38&gt;=5,Scoring!$C$38,Scoring!$C$39))))))</f>
        <v>15</v>
      </c>
      <c r="AG38" s="22" t="n">
        <f aca="false">IF(T38="Y",0,IF(Y38="Y",Scoring!$C$41,IF(ISNUMBER(O38),IF(O38&gt;=25,Scoring!$C$42,IF(O38&gt;=15,Scoring!$C$43,Scoring!$C$44)),Scoring!$C$44)))</f>
        <v>8</v>
      </c>
      <c r="AH38" s="22" t="n">
        <f aca="false">IF(T38="Y",0,IF(W38="",Scoring!$C$49,IFERROR(VLOOKUP(W38,Scoring!$B$45:$C$48,2,FALSE()),Scoring!$C$49)))</f>
        <v>5</v>
      </c>
      <c r="AI38" s="23" t="n">
        <f aca="false">C38+IF(ISNUMBER(J38),J38,0)/100000+(10000-ROW())/1000000000</f>
        <v>70.000649962</v>
      </c>
      <c r="AJ38" s="18"/>
      <c r="AK38" s="18"/>
      <c r="AL38" s="18"/>
      <c r="AM38" s="18"/>
    </row>
    <row r="39" customFormat="false" ht="15" hidden="false" customHeight="false" outlineLevel="0" collapsed="false">
      <c r="A39" s="15" t="n">
        <f aca="false">RANK(AI39,$AI$2:$AI$755)</f>
        <v>38</v>
      </c>
      <c r="B39" s="16" t="str">
        <f aca="false">IF(T39="Y","Superseded",IF(C39&gt;=Scoring!$B$16,"Immediate",IF(C39&gt;=Scoring!$B$17,"This week",IF(C39&gt;=Scoring!$B$18,"Nurture","Low"))))</f>
        <v>This week</v>
      </c>
      <c r="C39" s="3" t="n">
        <f aca="false">SUM(AC39:AH39)</f>
        <v>70</v>
      </c>
      <c r="D39" s="15" t="str">
        <f aca="false">IF(T39="Y","Superseded record",IF(AND(U39&lt;&gt;"",AA39&lt;0),"Expired (verified)",IF(AND(U39&lt;&gt;"",AA39&lt;=Scoring!$B$5),"Expiring: notice window (verified)",IF(AND(U39&lt;&gt;"",AA39&lt;=Scoring!$B$6),"Expiring: 10-yr horizon (verified)",IF(M39="No Longer Monitored","Out of program",IF(N39="","Unknown vintage",IF(N39&lt;Scoring!$B$12,"Pre-1990, still listed",IF(AND(U39="",AA39&lt;0),"Past 30-yr mark (verify)",IF(AND(U39="",AA39&lt;=Scoring!$B$5),"30-yr mark: notice window (est.)",IF(AND(O39&gt;=Scoring!$B$7,O39&lt;=Scoring!$B$8),"Year-15 window",IF(O39&gt;=Scoring!$B$9,"Recap window",IF(O39&gt;=11,"Late compliance","Credit period"))))))))))))</f>
        <v>30-yr mark: notice window (est.)</v>
      </c>
      <c r="E39" s="15" t="s">
        <v>252</v>
      </c>
      <c r="F39" s="15" t="s">
        <v>253</v>
      </c>
      <c r="G39" s="15" t="s">
        <v>254</v>
      </c>
      <c r="H39" s="15" t="s">
        <v>255</v>
      </c>
      <c r="I39" s="15" t="s">
        <v>256</v>
      </c>
      <c r="J39" s="15" t="n">
        <v>64</v>
      </c>
      <c r="K39" s="15" t="n">
        <v>64</v>
      </c>
      <c r="L39" s="15" t="n">
        <f aca="false">IF(OR(J39="",K39=""),"",MAX(J39-K39,0))</f>
        <v>0</v>
      </c>
      <c r="M39" s="15" t="s">
        <v>99</v>
      </c>
      <c r="N39" s="17" t="n">
        <v>1999</v>
      </c>
      <c r="O39" s="15" t="n">
        <f aca="false">IF(N39="","",Scoring!$B$4-N39)</f>
        <v>27</v>
      </c>
      <c r="P39" s="15" t="n">
        <f aca="false">IF(N39="","",N39+14)</f>
        <v>2013</v>
      </c>
      <c r="Q39" s="15" t="n">
        <f aca="false">IF(N39="","",IF(N39&lt;Scoring!$B$12,"n/a (pre-1990)",N39+Scoring!$B$13))</f>
        <v>2028</v>
      </c>
      <c r="R39" s="15" t="str">
        <f aca="false">IF(J39="","Unknown",IF(J39&gt;=5,"Yes","No (under 5 units)"))</f>
        <v>Yes</v>
      </c>
      <c r="S39" s="15"/>
      <c r="T39" s="18"/>
      <c r="U39" s="19"/>
      <c r="V39" s="18"/>
      <c r="W39" s="18"/>
      <c r="X39" s="20"/>
      <c r="Y39" s="18"/>
      <c r="Z39" s="18"/>
      <c r="AA39" s="21" t="n">
        <f aca="false">IF(U39&lt;&gt;"",(U39-Scoring!$B$3)/365.25,IF(N39="","",IF(N39&lt;Scoring!$B$12,"",(DATE(N39+Scoring!$B$13,12,31)-Scoring!$B$3)/365.25)))</f>
        <v>2.24777549623546</v>
      </c>
      <c r="AB39" s="22" t="n">
        <f aca="false">IF(T39="Y",0,IF(OR(D39="Expired (verified)",D39="Expiring: notice window (verified)",D39="Expiring: 10-yr horizon (verified)",D39="Past 30-yr mark (verify)",D39="30-yr mark: notice window (est.)",D39="Year-15 window"),1,0)+IF(ISNUMBER(O39),IF(O39&gt;=Scoring!$B$10,1,0),0)+IF(AND(ISNUMBER(L39),ISNUMBER(J39)),IF(J39&gt;0,IF(L39/J39&gt;=Scoring!$B$11,1,0),0),0)+IF(ISNUMBER(Z39),MIN(Z39,3),0))</f>
        <v>2</v>
      </c>
      <c r="AC39" s="22" t="n">
        <f aca="false">IF(AB39&gt;=3,Scoring!$C$24,IF(AB39=2,Scoring!$C$23,IF(AB39=1,Scoring!$C$22,0)))</f>
        <v>18</v>
      </c>
      <c r="AD39" s="22" t="n">
        <f aca="false">IF(T39="Y",0,IF(ISNUMBER(X39),IF(X39&gt;0.7,Scoring!$C$25,IF(X39&gt;=0.5,Scoring!$C$26,IF(X39&gt;=0.3,Scoring!$C$27,Scoring!$C$28))),Scoring!$C$29))</f>
        <v>10</v>
      </c>
      <c r="AE39" s="22" t="n">
        <f aca="false">IF(D39="Expiring: notice window (verified)",Scoring!$C$30,IF(OR(D39="Expired (verified)",D39="30-yr mark: notice window (est.)",D39="Year-15 window"),Scoring!$C$31,IF(D39="Expiring: 10-yr horizon (verified)",Scoring!$C$32,IF(D39="Past 30-yr mark (verify)",Scoring!$C$33,IF(OR(D39="Credit period",D39="Superseded record"),Scoring!$C$35,Scoring!$C$34)))))</f>
        <v>14</v>
      </c>
      <c r="AF39" s="22" t="n">
        <f aca="false">IF(T39="Y",0,IF(ISNUMBER(V39),IF(Scoring!$B$4-V39&gt;15,Scoring!$C$36,IF(Scoring!$B$4-V39&gt;=10,Scoring!$C$37,IF(Scoring!$B$4-V39&gt;=5,Scoring!$C$38,Scoring!$C$39))),IF(OR(N39="",D39="Out of program"),Scoring!$C$40,IF(O39&gt;15,Scoring!$C$36,IF(O39&gt;=10,Scoring!$C$37,IF(O39&gt;=5,Scoring!$C$38,Scoring!$C$39))))))</f>
        <v>15</v>
      </c>
      <c r="AG39" s="22" t="n">
        <f aca="false">IF(T39="Y",0,IF(Y39="Y",Scoring!$C$41,IF(ISNUMBER(O39),IF(O39&gt;=25,Scoring!$C$42,IF(O39&gt;=15,Scoring!$C$43,Scoring!$C$44)),Scoring!$C$44)))</f>
        <v>8</v>
      </c>
      <c r="AH39" s="22" t="n">
        <f aca="false">IF(T39="Y",0,IF(W39="",Scoring!$C$49,IFERROR(VLOOKUP(W39,Scoring!$B$45:$C$48,2,FALSE()),Scoring!$C$49)))</f>
        <v>5</v>
      </c>
      <c r="AI39" s="23" t="n">
        <f aca="false">C39+IF(ISNUMBER(J39),J39,0)/100000+(10000-ROW())/1000000000</f>
        <v>70.000649961</v>
      </c>
      <c r="AJ39" s="18"/>
      <c r="AK39" s="18"/>
      <c r="AL39" s="18"/>
      <c r="AM39" s="18"/>
    </row>
    <row r="40" customFormat="false" ht="15" hidden="false" customHeight="false" outlineLevel="0" collapsed="false">
      <c r="A40" s="15" t="n">
        <f aca="false">RANK(AI40,$AI$2:$AI$755)</f>
        <v>39</v>
      </c>
      <c r="B40" s="16" t="str">
        <f aca="false">IF(T40="Y","Superseded",IF(C40&gt;=Scoring!$B$16,"Immediate",IF(C40&gt;=Scoring!$B$17,"This week",IF(C40&gt;=Scoring!$B$18,"Nurture","Low"))))</f>
        <v>This week</v>
      </c>
      <c r="C40" s="3" t="n">
        <f aca="false">SUM(AC40:AH40)</f>
        <v>70</v>
      </c>
      <c r="D40" s="15" t="str">
        <f aca="false">IF(T40="Y","Superseded record",IF(AND(U40&lt;&gt;"",AA40&lt;0),"Expired (verified)",IF(AND(U40&lt;&gt;"",AA40&lt;=Scoring!$B$5),"Expiring: notice window (verified)",IF(AND(U40&lt;&gt;"",AA40&lt;=Scoring!$B$6),"Expiring: 10-yr horizon (verified)",IF(M40="No Longer Monitored","Out of program",IF(N40="","Unknown vintage",IF(N40&lt;Scoring!$B$12,"Pre-1990, still listed",IF(AND(U40="",AA40&lt;0),"Past 30-yr mark (verify)",IF(AND(U40="",AA40&lt;=Scoring!$B$5),"30-yr mark: notice window (est.)",IF(AND(O40&gt;=Scoring!$B$7,O40&lt;=Scoring!$B$8),"Year-15 window",IF(O40&gt;=Scoring!$B$9,"Recap window",IF(O40&gt;=11,"Late compliance","Credit period"))))))))))))</f>
        <v>30-yr mark: notice window (est.)</v>
      </c>
      <c r="E40" s="15" t="s">
        <v>257</v>
      </c>
      <c r="F40" s="15" t="s">
        <v>258</v>
      </c>
      <c r="G40" s="15" t="s">
        <v>259</v>
      </c>
      <c r="H40" s="15" t="s">
        <v>97</v>
      </c>
      <c r="I40" s="15" t="s">
        <v>260</v>
      </c>
      <c r="J40" s="15" t="n">
        <v>63</v>
      </c>
      <c r="K40" s="15" t="n">
        <v>63</v>
      </c>
      <c r="L40" s="15" t="n">
        <f aca="false">IF(OR(J40="",K40=""),"",MAX(J40-K40,0))</f>
        <v>0</v>
      </c>
      <c r="M40" s="15" t="s">
        <v>99</v>
      </c>
      <c r="N40" s="17" t="n">
        <v>1997</v>
      </c>
      <c r="O40" s="15" t="n">
        <f aca="false">IF(N40="","",Scoring!$B$4-N40)</f>
        <v>29</v>
      </c>
      <c r="P40" s="15" t="n">
        <f aca="false">IF(N40="","",N40+14)</f>
        <v>2011</v>
      </c>
      <c r="Q40" s="15" t="n">
        <f aca="false">IF(N40="","",IF(N40&lt;Scoring!$B$12,"n/a (pre-1990)",N40+Scoring!$B$13))</f>
        <v>2026</v>
      </c>
      <c r="R40" s="15" t="str">
        <f aca="false">IF(J40="","Unknown",IF(J40&gt;=5,"Yes","No (under 5 units)"))</f>
        <v>Yes</v>
      </c>
      <c r="S40" s="15"/>
      <c r="T40" s="18"/>
      <c r="U40" s="19"/>
      <c r="V40" s="18"/>
      <c r="W40" s="18"/>
      <c r="X40" s="20"/>
      <c r="Y40" s="18"/>
      <c r="Z40" s="18"/>
      <c r="AA40" s="21" t="n">
        <f aca="false">IF(U40&lt;&gt;"",(U40-Scoring!$B$3)/365.25,IF(N40="","",IF(N40&lt;Scoring!$B$12,"",(DATE(N40+Scoring!$B$13,12,31)-Scoring!$B$3)/365.25)))</f>
        <v>0.246406570841889</v>
      </c>
      <c r="AB40" s="22" t="n">
        <f aca="false">IF(T40="Y",0,IF(OR(D40="Expired (verified)",D40="Expiring: notice window (verified)",D40="Expiring: 10-yr horizon (verified)",D40="Past 30-yr mark (verify)",D40="30-yr mark: notice window (est.)",D40="Year-15 window"),1,0)+IF(ISNUMBER(O40),IF(O40&gt;=Scoring!$B$10,1,0),0)+IF(AND(ISNUMBER(L40),ISNUMBER(J40)),IF(J40&gt;0,IF(L40/J40&gt;=Scoring!$B$11,1,0),0),0)+IF(ISNUMBER(Z40),MIN(Z40,3),0))</f>
        <v>2</v>
      </c>
      <c r="AC40" s="22" t="n">
        <f aca="false">IF(AB40&gt;=3,Scoring!$C$24,IF(AB40=2,Scoring!$C$23,IF(AB40=1,Scoring!$C$22,0)))</f>
        <v>18</v>
      </c>
      <c r="AD40" s="22" t="n">
        <f aca="false">IF(T40="Y",0,IF(ISNUMBER(X40),IF(X40&gt;0.7,Scoring!$C$25,IF(X40&gt;=0.5,Scoring!$C$26,IF(X40&gt;=0.3,Scoring!$C$27,Scoring!$C$28))),Scoring!$C$29))</f>
        <v>10</v>
      </c>
      <c r="AE40" s="22" t="n">
        <f aca="false">IF(D40="Expiring: notice window (verified)",Scoring!$C$30,IF(OR(D40="Expired (verified)",D40="30-yr mark: notice window (est.)",D40="Year-15 window"),Scoring!$C$31,IF(D40="Expiring: 10-yr horizon (verified)",Scoring!$C$32,IF(D40="Past 30-yr mark (verify)",Scoring!$C$33,IF(OR(D40="Credit period",D40="Superseded record"),Scoring!$C$35,Scoring!$C$34)))))</f>
        <v>14</v>
      </c>
      <c r="AF40" s="22" t="n">
        <f aca="false">IF(T40="Y",0,IF(ISNUMBER(V40),IF(Scoring!$B$4-V40&gt;15,Scoring!$C$36,IF(Scoring!$B$4-V40&gt;=10,Scoring!$C$37,IF(Scoring!$B$4-V40&gt;=5,Scoring!$C$38,Scoring!$C$39))),IF(OR(N40="",D40="Out of program"),Scoring!$C$40,IF(O40&gt;15,Scoring!$C$36,IF(O40&gt;=10,Scoring!$C$37,IF(O40&gt;=5,Scoring!$C$38,Scoring!$C$39))))))</f>
        <v>15</v>
      </c>
      <c r="AG40" s="22" t="n">
        <f aca="false">IF(T40="Y",0,IF(Y40="Y",Scoring!$C$41,IF(ISNUMBER(O40),IF(O40&gt;=25,Scoring!$C$42,IF(O40&gt;=15,Scoring!$C$43,Scoring!$C$44)),Scoring!$C$44)))</f>
        <v>8</v>
      </c>
      <c r="AH40" s="22" t="n">
        <f aca="false">IF(T40="Y",0,IF(W40="",Scoring!$C$49,IFERROR(VLOOKUP(W40,Scoring!$B$45:$C$48,2,FALSE()),Scoring!$C$49)))</f>
        <v>5</v>
      </c>
      <c r="AI40" s="23" t="n">
        <f aca="false">C40+IF(ISNUMBER(J40),J40,0)/100000+(10000-ROW())/1000000000</f>
        <v>70.00063996</v>
      </c>
      <c r="AJ40" s="18"/>
      <c r="AK40" s="18"/>
      <c r="AL40" s="18"/>
      <c r="AM40" s="18"/>
    </row>
    <row r="41" customFormat="false" ht="15" hidden="false" customHeight="false" outlineLevel="0" collapsed="false">
      <c r="A41" s="15" t="n">
        <f aca="false">RANK(AI41,$AI$2:$AI$755)</f>
        <v>40</v>
      </c>
      <c r="B41" s="16" t="str">
        <f aca="false">IF(T41="Y","Superseded",IF(C41&gt;=Scoring!$B$16,"Immediate",IF(C41&gt;=Scoring!$B$17,"This week",IF(C41&gt;=Scoring!$B$18,"Nurture","Low"))))</f>
        <v>This week</v>
      </c>
      <c r="C41" s="3" t="n">
        <f aca="false">SUM(AC41:AH41)</f>
        <v>70</v>
      </c>
      <c r="D41" s="15" t="str">
        <f aca="false">IF(T41="Y","Superseded record",IF(AND(U41&lt;&gt;"",AA41&lt;0),"Expired (verified)",IF(AND(U41&lt;&gt;"",AA41&lt;=Scoring!$B$5),"Expiring: notice window (verified)",IF(AND(U41&lt;&gt;"",AA41&lt;=Scoring!$B$6),"Expiring: 10-yr horizon (verified)",IF(M41="No Longer Monitored","Out of program",IF(N41="","Unknown vintage",IF(N41&lt;Scoring!$B$12,"Pre-1990, still listed",IF(AND(U41="",AA41&lt;0),"Past 30-yr mark (verify)",IF(AND(U41="",AA41&lt;=Scoring!$B$5),"30-yr mark: notice window (est.)",IF(AND(O41&gt;=Scoring!$B$7,O41&lt;=Scoring!$B$8),"Year-15 window",IF(O41&gt;=Scoring!$B$9,"Recap window",IF(O41&gt;=11,"Late compliance","Credit period"))))))))))))</f>
        <v>30-yr mark: notice window (est.)</v>
      </c>
      <c r="E41" s="15" t="s">
        <v>261</v>
      </c>
      <c r="F41" s="15" t="s">
        <v>262</v>
      </c>
      <c r="G41" s="15" t="s">
        <v>263</v>
      </c>
      <c r="H41" s="15" t="s">
        <v>232</v>
      </c>
      <c r="I41" s="15" t="s">
        <v>233</v>
      </c>
      <c r="J41" s="15" t="n">
        <v>63</v>
      </c>
      <c r="K41" s="15" t="n">
        <v>63</v>
      </c>
      <c r="L41" s="15" t="n">
        <f aca="false">IF(OR(J41="",K41=""),"",MAX(J41-K41,0))</f>
        <v>0</v>
      </c>
      <c r="M41" s="15" t="s">
        <v>99</v>
      </c>
      <c r="N41" s="17" t="n">
        <v>1999</v>
      </c>
      <c r="O41" s="15" t="n">
        <f aca="false">IF(N41="","",Scoring!$B$4-N41)</f>
        <v>27</v>
      </c>
      <c r="P41" s="15" t="n">
        <f aca="false">IF(N41="","",N41+14)</f>
        <v>2013</v>
      </c>
      <c r="Q41" s="15" t="n">
        <f aca="false">IF(N41="","",IF(N41&lt;Scoring!$B$12,"n/a (pre-1990)",N41+Scoring!$B$13))</f>
        <v>2028</v>
      </c>
      <c r="R41" s="15" t="str">
        <f aca="false">IF(J41="","Unknown",IF(J41&gt;=5,"Yes","No (under 5 units)"))</f>
        <v>Yes</v>
      </c>
      <c r="S41" s="15"/>
      <c r="T41" s="18"/>
      <c r="U41" s="19"/>
      <c r="V41" s="18"/>
      <c r="W41" s="18"/>
      <c r="X41" s="20"/>
      <c r="Y41" s="18"/>
      <c r="Z41" s="18"/>
      <c r="AA41" s="21" t="n">
        <f aca="false">IF(U41&lt;&gt;"",(U41-Scoring!$B$3)/365.25,IF(N41="","",IF(N41&lt;Scoring!$B$12,"",(DATE(N41+Scoring!$B$13,12,31)-Scoring!$B$3)/365.25)))</f>
        <v>2.24777549623546</v>
      </c>
      <c r="AB41" s="22" t="n">
        <f aca="false">IF(T41="Y",0,IF(OR(D41="Expired (verified)",D41="Expiring: notice window (verified)",D41="Expiring: 10-yr horizon (verified)",D41="Past 30-yr mark (verify)",D41="30-yr mark: notice window (est.)",D41="Year-15 window"),1,0)+IF(ISNUMBER(O41),IF(O41&gt;=Scoring!$B$10,1,0),0)+IF(AND(ISNUMBER(L41),ISNUMBER(J41)),IF(J41&gt;0,IF(L41/J41&gt;=Scoring!$B$11,1,0),0),0)+IF(ISNUMBER(Z41),MIN(Z41,3),0))</f>
        <v>2</v>
      </c>
      <c r="AC41" s="22" t="n">
        <f aca="false">IF(AB41&gt;=3,Scoring!$C$24,IF(AB41=2,Scoring!$C$23,IF(AB41=1,Scoring!$C$22,0)))</f>
        <v>18</v>
      </c>
      <c r="AD41" s="22" t="n">
        <f aca="false">IF(T41="Y",0,IF(ISNUMBER(X41),IF(X41&gt;0.7,Scoring!$C$25,IF(X41&gt;=0.5,Scoring!$C$26,IF(X41&gt;=0.3,Scoring!$C$27,Scoring!$C$28))),Scoring!$C$29))</f>
        <v>10</v>
      </c>
      <c r="AE41" s="22" t="n">
        <f aca="false">IF(D41="Expiring: notice window (verified)",Scoring!$C$30,IF(OR(D41="Expired (verified)",D41="30-yr mark: notice window (est.)",D41="Year-15 window"),Scoring!$C$31,IF(D41="Expiring: 10-yr horizon (verified)",Scoring!$C$32,IF(D41="Past 30-yr mark (verify)",Scoring!$C$33,IF(OR(D41="Credit period",D41="Superseded record"),Scoring!$C$35,Scoring!$C$34)))))</f>
        <v>14</v>
      </c>
      <c r="AF41" s="22" t="n">
        <f aca="false">IF(T41="Y",0,IF(ISNUMBER(V41),IF(Scoring!$B$4-V41&gt;15,Scoring!$C$36,IF(Scoring!$B$4-V41&gt;=10,Scoring!$C$37,IF(Scoring!$B$4-V41&gt;=5,Scoring!$C$38,Scoring!$C$39))),IF(OR(N41="",D41="Out of program"),Scoring!$C$40,IF(O41&gt;15,Scoring!$C$36,IF(O41&gt;=10,Scoring!$C$37,IF(O41&gt;=5,Scoring!$C$38,Scoring!$C$39))))))</f>
        <v>15</v>
      </c>
      <c r="AG41" s="22" t="n">
        <f aca="false">IF(T41="Y",0,IF(Y41="Y",Scoring!$C$41,IF(ISNUMBER(O41),IF(O41&gt;=25,Scoring!$C$42,IF(O41&gt;=15,Scoring!$C$43,Scoring!$C$44)),Scoring!$C$44)))</f>
        <v>8</v>
      </c>
      <c r="AH41" s="22" t="n">
        <f aca="false">IF(T41="Y",0,IF(W41="",Scoring!$C$49,IFERROR(VLOOKUP(W41,Scoring!$B$45:$C$48,2,FALSE()),Scoring!$C$49)))</f>
        <v>5</v>
      </c>
      <c r="AI41" s="23" t="n">
        <f aca="false">C41+IF(ISNUMBER(J41),J41,0)/100000+(10000-ROW())/1000000000</f>
        <v>70.000639959</v>
      </c>
      <c r="AJ41" s="18"/>
      <c r="AK41" s="18"/>
      <c r="AL41" s="18"/>
      <c r="AM41" s="18"/>
    </row>
    <row r="42" customFormat="false" ht="15" hidden="false" customHeight="false" outlineLevel="0" collapsed="false">
      <c r="A42" s="15" t="n">
        <f aca="false">RANK(AI42,$AI$2:$AI$755)</f>
        <v>41</v>
      </c>
      <c r="B42" s="16" t="str">
        <f aca="false">IF(T42="Y","Superseded",IF(C42&gt;=Scoring!$B$16,"Immediate",IF(C42&gt;=Scoring!$B$17,"This week",IF(C42&gt;=Scoring!$B$18,"Nurture","Low"))))</f>
        <v>This week</v>
      </c>
      <c r="C42" s="3" t="n">
        <f aca="false">SUM(AC42:AH42)</f>
        <v>70</v>
      </c>
      <c r="D42" s="15" t="str">
        <f aca="false">IF(T42="Y","Superseded record",IF(AND(U42&lt;&gt;"",AA42&lt;0),"Expired (verified)",IF(AND(U42&lt;&gt;"",AA42&lt;=Scoring!$B$5),"Expiring: notice window (verified)",IF(AND(U42&lt;&gt;"",AA42&lt;=Scoring!$B$6),"Expiring: 10-yr horizon (verified)",IF(M42="No Longer Monitored","Out of program",IF(N42="","Unknown vintage",IF(N42&lt;Scoring!$B$12,"Pre-1990, still listed",IF(AND(U42="",AA42&lt;0),"Past 30-yr mark (verify)",IF(AND(U42="",AA42&lt;=Scoring!$B$5),"30-yr mark: notice window (est.)",IF(AND(O42&gt;=Scoring!$B$7,O42&lt;=Scoring!$B$8),"Year-15 window",IF(O42&gt;=Scoring!$B$9,"Recap window",IF(O42&gt;=11,"Late compliance","Credit period"))))))))))))</f>
        <v>30-yr mark: notice window (est.)</v>
      </c>
      <c r="E42" s="15" t="s">
        <v>264</v>
      </c>
      <c r="F42" s="15" t="s">
        <v>265</v>
      </c>
      <c r="G42" s="15" t="s">
        <v>266</v>
      </c>
      <c r="H42" s="15" t="s">
        <v>232</v>
      </c>
      <c r="I42" s="15" t="s">
        <v>267</v>
      </c>
      <c r="J42" s="15" t="n">
        <v>60</v>
      </c>
      <c r="K42" s="15" t="n">
        <v>60</v>
      </c>
      <c r="L42" s="15" t="n">
        <f aca="false">IF(OR(J42="",K42=""),"",MAX(J42-K42,0))</f>
        <v>0</v>
      </c>
      <c r="M42" s="15" t="s">
        <v>99</v>
      </c>
      <c r="N42" s="17" t="n">
        <v>1998</v>
      </c>
      <c r="O42" s="15" t="n">
        <f aca="false">IF(N42="","",Scoring!$B$4-N42)</f>
        <v>28</v>
      </c>
      <c r="P42" s="15" t="n">
        <f aca="false">IF(N42="","",N42+14)</f>
        <v>2012</v>
      </c>
      <c r="Q42" s="15" t="n">
        <f aca="false">IF(N42="","",IF(N42&lt;Scoring!$B$12,"n/a (pre-1990)",N42+Scoring!$B$13))</f>
        <v>2027</v>
      </c>
      <c r="R42" s="15" t="str">
        <f aca="false">IF(J42="","Unknown",IF(J42&gt;=5,"Yes","No (under 5 units)"))</f>
        <v>Yes</v>
      </c>
      <c r="S42" s="15"/>
      <c r="T42" s="18"/>
      <c r="U42" s="19"/>
      <c r="V42" s="18"/>
      <c r="W42" s="18"/>
      <c r="X42" s="20"/>
      <c r="Y42" s="18"/>
      <c r="Z42" s="18"/>
      <c r="AA42" s="21" t="n">
        <f aca="false">IF(U42&lt;&gt;"",(U42-Scoring!$B$3)/365.25,IF(N42="","",IF(N42&lt;Scoring!$B$12,"",(DATE(N42+Scoring!$B$13,12,31)-Scoring!$B$3)/365.25)))</f>
        <v>1.24572210814511</v>
      </c>
      <c r="AB42" s="22" t="n">
        <f aca="false">IF(T42="Y",0,IF(OR(D42="Expired (verified)",D42="Expiring: notice window (verified)",D42="Expiring: 10-yr horizon (verified)",D42="Past 30-yr mark (verify)",D42="30-yr mark: notice window (est.)",D42="Year-15 window"),1,0)+IF(ISNUMBER(O42),IF(O42&gt;=Scoring!$B$10,1,0),0)+IF(AND(ISNUMBER(L42),ISNUMBER(J42)),IF(J42&gt;0,IF(L42/J42&gt;=Scoring!$B$11,1,0),0),0)+IF(ISNUMBER(Z42),MIN(Z42,3),0))</f>
        <v>2</v>
      </c>
      <c r="AC42" s="22" t="n">
        <f aca="false">IF(AB42&gt;=3,Scoring!$C$24,IF(AB42=2,Scoring!$C$23,IF(AB42=1,Scoring!$C$22,0)))</f>
        <v>18</v>
      </c>
      <c r="AD42" s="22" t="n">
        <f aca="false">IF(T42="Y",0,IF(ISNUMBER(X42),IF(X42&gt;0.7,Scoring!$C$25,IF(X42&gt;=0.5,Scoring!$C$26,IF(X42&gt;=0.3,Scoring!$C$27,Scoring!$C$28))),Scoring!$C$29))</f>
        <v>10</v>
      </c>
      <c r="AE42" s="22" t="n">
        <f aca="false">IF(D42="Expiring: notice window (verified)",Scoring!$C$30,IF(OR(D42="Expired (verified)",D42="30-yr mark: notice window (est.)",D42="Year-15 window"),Scoring!$C$31,IF(D42="Expiring: 10-yr horizon (verified)",Scoring!$C$32,IF(D42="Past 30-yr mark (verify)",Scoring!$C$33,IF(OR(D42="Credit period",D42="Superseded record"),Scoring!$C$35,Scoring!$C$34)))))</f>
        <v>14</v>
      </c>
      <c r="AF42" s="22" t="n">
        <f aca="false">IF(T42="Y",0,IF(ISNUMBER(V42),IF(Scoring!$B$4-V42&gt;15,Scoring!$C$36,IF(Scoring!$B$4-V42&gt;=10,Scoring!$C$37,IF(Scoring!$B$4-V42&gt;=5,Scoring!$C$38,Scoring!$C$39))),IF(OR(N42="",D42="Out of program"),Scoring!$C$40,IF(O42&gt;15,Scoring!$C$36,IF(O42&gt;=10,Scoring!$C$37,IF(O42&gt;=5,Scoring!$C$38,Scoring!$C$39))))))</f>
        <v>15</v>
      </c>
      <c r="AG42" s="22" t="n">
        <f aca="false">IF(T42="Y",0,IF(Y42="Y",Scoring!$C$41,IF(ISNUMBER(O42),IF(O42&gt;=25,Scoring!$C$42,IF(O42&gt;=15,Scoring!$C$43,Scoring!$C$44)),Scoring!$C$44)))</f>
        <v>8</v>
      </c>
      <c r="AH42" s="22" t="n">
        <f aca="false">IF(T42="Y",0,IF(W42="",Scoring!$C$49,IFERROR(VLOOKUP(W42,Scoring!$B$45:$C$48,2,FALSE()),Scoring!$C$49)))</f>
        <v>5</v>
      </c>
      <c r="AI42" s="23" t="n">
        <f aca="false">C42+IF(ISNUMBER(J42),J42,0)/100000+(10000-ROW())/1000000000</f>
        <v>70.000609958</v>
      </c>
      <c r="AJ42" s="18"/>
      <c r="AK42" s="18"/>
      <c r="AL42" s="18"/>
      <c r="AM42" s="18"/>
    </row>
    <row r="43" customFormat="false" ht="15" hidden="false" customHeight="false" outlineLevel="0" collapsed="false">
      <c r="A43" s="15" t="n">
        <f aca="false">RANK(AI43,$AI$2:$AI$755)</f>
        <v>42</v>
      </c>
      <c r="B43" s="16" t="str">
        <f aca="false">IF(T43="Y","Superseded",IF(C43&gt;=Scoring!$B$16,"Immediate",IF(C43&gt;=Scoring!$B$17,"This week",IF(C43&gt;=Scoring!$B$18,"Nurture","Low"))))</f>
        <v>This week</v>
      </c>
      <c r="C43" s="3" t="n">
        <f aca="false">SUM(AC43:AH43)</f>
        <v>70</v>
      </c>
      <c r="D43" s="15" t="str">
        <f aca="false">IF(T43="Y","Superseded record",IF(AND(U43&lt;&gt;"",AA43&lt;0),"Expired (verified)",IF(AND(U43&lt;&gt;"",AA43&lt;=Scoring!$B$5),"Expiring: notice window (verified)",IF(AND(U43&lt;&gt;"",AA43&lt;=Scoring!$B$6),"Expiring: 10-yr horizon (verified)",IF(M43="No Longer Monitored","Out of program",IF(N43="","Unknown vintage",IF(N43&lt;Scoring!$B$12,"Pre-1990, still listed",IF(AND(U43="",AA43&lt;0),"Past 30-yr mark (verify)",IF(AND(U43="",AA43&lt;=Scoring!$B$5),"30-yr mark: notice window (est.)",IF(AND(O43&gt;=Scoring!$B$7,O43&lt;=Scoring!$B$8),"Year-15 window",IF(O43&gt;=Scoring!$B$9,"Recap window",IF(O43&gt;=11,"Late compliance","Credit period"))))))))))))</f>
        <v>30-yr mark: notice window (est.)</v>
      </c>
      <c r="E43" s="15" t="s">
        <v>268</v>
      </c>
      <c r="F43" s="15" t="s">
        <v>269</v>
      </c>
      <c r="G43" s="15" t="s">
        <v>270</v>
      </c>
      <c r="H43" s="15" t="s">
        <v>97</v>
      </c>
      <c r="I43" s="15" t="s">
        <v>271</v>
      </c>
      <c r="J43" s="15" t="n">
        <v>59</v>
      </c>
      <c r="K43" s="15" t="n">
        <v>59</v>
      </c>
      <c r="L43" s="15" t="n">
        <f aca="false">IF(OR(J43="",K43=""),"",MAX(J43-K43,0))</f>
        <v>0</v>
      </c>
      <c r="M43" s="15" t="s">
        <v>99</v>
      </c>
      <c r="N43" s="17" t="n">
        <v>1999</v>
      </c>
      <c r="O43" s="15" t="n">
        <f aca="false">IF(N43="","",Scoring!$B$4-N43)</f>
        <v>27</v>
      </c>
      <c r="P43" s="15" t="n">
        <f aca="false">IF(N43="","",N43+14)</f>
        <v>2013</v>
      </c>
      <c r="Q43" s="15" t="n">
        <f aca="false">IF(N43="","",IF(N43&lt;Scoring!$B$12,"n/a (pre-1990)",N43+Scoring!$B$13))</f>
        <v>2028</v>
      </c>
      <c r="R43" s="15" t="str">
        <f aca="false">IF(J43="","Unknown",IF(J43&gt;=5,"Yes","No (under 5 units)"))</f>
        <v>Yes</v>
      </c>
      <c r="S43" s="15"/>
      <c r="T43" s="18"/>
      <c r="U43" s="19"/>
      <c r="V43" s="18"/>
      <c r="W43" s="18"/>
      <c r="X43" s="20"/>
      <c r="Y43" s="18"/>
      <c r="Z43" s="18"/>
      <c r="AA43" s="21" t="n">
        <f aca="false">IF(U43&lt;&gt;"",(U43-Scoring!$B$3)/365.25,IF(N43="","",IF(N43&lt;Scoring!$B$12,"",(DATE(N43+Scoring!$B$13,12,31)-Scoring!$B$3)/365.25)))</f>
        <v>2.24777549623546</v>
      </c>
      <c r="AB43" s="22" t="n">
        <f aca="false">IF(T43="Y",0,IF(OR(D43="Expired (verified)",D43="Expiring: notice window (verified)",D43="Expiring: 10-yr horizon (verified)",D43="Past 30-yr mark (verify)",D43="30-yr mark: notice window (est.)",D43="Year-15 window"),1,0)+IF(ISNUMBER(O43),IF(O43&gt;=Scoring!$B$10,1,0),0)+IF(AND(ISNUMBER(L43),ISNUMBER(J43)),IF(J43&gt;0,IF(L43/J43&gt;=Scoring!$B$11,1,0),0),0)+IF(ISNUMBER(Z43),MIN(Z43,3),0))</f>
        <v>2</v>
      </c>
      <c r="AC43" s="22" t="n">
        <f aca="false">IF(AB43&gt;=3,Scoring!$C$24,IF(AB43=2,Scoring!$C$23,IF(AB43=1,Scoring!$C$22,0)))</f>
        <v>18</v>
      </c>
      <c r="AD43" s="22" t="n">
        <f aca="false">IF(T43="Y",0,IF(ISNUMBER(X43),IF(X43&gt;0.7,Scoring!$C$25,IF(X43&gt;=0.5,Scoring!$C$26,IF(X43&gt;=0.3,Scoring!$C$27,Scoring!$C$28))),Scoring!$C$29))</f>
        <v>10</v>
      </c>
      <c r="AE43" s="22" t="n">
        <f aca="false">IF(D43="Expiring: notice window (verified)",Scoring!$C$30,IF(OR(D43="Expired (verified)",D43="30-yr mark: notice window (est.)",D43="Year-15 window"),Scoring!$C$31,IF(D43="Expiring: 10-yr horizon (verified)",Scoring!$C$32,IF(D43="Past 30-yr mark (verify)",Scoring!$C$33,IF(OR(D43="Credit period",D43="Superseded record"),Scoring!$C$35,Scoring!$C$34)))))</f>
        <v>14</v>
      </c>
      <c r="AF43" s="22" t="n">
        <f aca="false">IF(T43="Y",0,IF(ISNUMBER(V43),IF(Scoring!$B$4-V43&gt;15,Scoring!$C$36,IF(Scoring!$B$4-V43&gt;=10,Scoring!$C$37,IF(Scoring!$B$4-V43&gt;=5,Scoring!$C$38,Scoring!$C$39))),IF(OR(N43="",D43="Out of program"),Scoring!$C$40,IF(O43&gt;15,Scoring!$C$36,IF(O43&gt;=10,Scoring!$C$37,IF(O43&gt;=5,Scoring!$C$38,Scoring!$C$39))))))</f>
        <v>15</v>
      </c>
      <c r="AG43" s="22" t="n">
        <f aca="false">IF(T43="Y",0,IF(Y43="Y",Scoring!$C$41,IF(ISNUMBER(O43),IF(O43&gt;=25,Scoring!$C$42,IF(O43&gt;=15,Scoring!$C$43,Scoring!$C$44)),Scoring!$C$44)))</f>
        <v>8</v>
      </c>
      <c r="AH43" s="22" t="n">
        <f aca="false">IF(T43="Y",0,IF(W43="",Scoring!$C$49,IFERROR(VLOOKUP(W43,Scoring!$B$45:$C$48,2,FALSE()),Scoring!$C$49)))</f>
        <v>5</v>
      </c>
      <c r="AI43" s="23" t="n">
        <f aca="false">C43+IF(ISNUMBER(J43),J43,0)/100000+(10000-ROW())/1000000000</f>
        <v>70.000599957</v>
      </c>
      <c r="AJ43" s="18"/>
      <c r="AK43" s="18"/>
      <c r="AL43" s="18"/>
      <c r="AM43" s="18"/>
    </row>
    <row r="44" customFormat="false" ht="15" hidden="false" customHeight="false" outlineLevel="0" collapsed="false">
      <c r="A44" s="15" t="n">
        <f aca="false">RANK(AI44,$AI$2:$AI$755)</f>
        <v>43</v>
      </c>
      <c r="B44" s="16" t="str">
        <f aca="false">IF(T44="Y","Superseded",IF(C44&gt;=Scoring!$B$16,"Immediate",IF(C44&gt;=Scoring!$B$17,"This week",IF(C44&gt;=Scoring!$B$18,"Nurture","Low"))))</f>
        <v>This week</v>
      </c>
      <c r="C44" s="3" t="n">
        <f aca="false">SUM(AC44:AH44)</f>
        <v>70</v>
      </c>
      <c r="D44" s="15" t="str">
        <f aca="false">IF(T44="Y","Superseded record",IF(AND(U44&lt;&gt;"",AA44&lt;0),"Expired (verified)",IF(AND(U44&lt;&gt;"",AA44&lt;=Scoring!$B$5),"Expiring: notice window (verified)",IF(AND(U44&lt;&gt;"",AA44&lt;=Scoring!$B$6),"Expiring: 10-yr horizon (verified)",IF(M44="No Longer Monitored","Out of program",IF(N44="","Unknown vintage",IF(N44&lt;Scoring!$B$12,"Pre-1990, still listed",IF(AND(U44="",AA44&lt;0),"Past 30-yr mark (verify)",IF(AND(U44="",AA44&lt;=Scoring!$B$5),"30-yr mark: notice window (est.)",IF(AND(O44&gt;=Scoring!$B$7,O44&lt;=Scoring!$B$8),"Year-15 window",IF(O44&gt;=Scoring!$B$9,"Recap window",IF(O44&gt;=11,"Late compliance","Credit period"))))))))))))</f>
        <v>30-yr mark: notice window (est.)</v>
      </c>
      <c r="E44" s="15" t="s">
        <v>272</v>
      </c>
      <c r="F44" s="15" t="s">
        <v>273</v>
      </c>
      <c r="G44" s="15" t="s">
        <v>274</v>
      </c>
      <c r="H44" s="15" t="s">
        <v>275</v>
      </c>
      <c r="I44" s="15" t="s">
        <v>276</v>
      </c>
      <c r="J44" s="15" t="n">
        <v>58</v>
      </c>
      <c r="K44" s="15" t="n">
        <v>58</v>
      </c>
      <c r="L44" s="15" t="n">
        <f aca="false">IF(OR(J44="",K44=""),"",MAX(J44-K44,0))</f>
        <v>0</v>
      </c>
      <c r="M44" s="15" t="s">
        <v>99</v>
      </c>
      <c r="N44" s="17" t="n">
        <v>1997</v>
      </c>
      <c r="O44" s="15" t="n">
        <f aca="false">IF(N44="","",Scoring!$B$4-N44)</f>
        <v>29</v>
      </c>
      <c r="P44" s="15" t="n">
        <f aca="false">IF(N44="","",N44+14)</f>
        <v>2011</v>
      </c>
      <c r="Q44" s="15" t="n">
        <f aca="false">IF(N44="","",IF(N44&lt;Scoring!$B$12,"n/a (pre-1990)",N44+Scoring!$B$13))</f>
        <v>2026</v>
      </c>
      <c r="R44" s="15" t="str">
        <f aca="false">IF(J44="","Unknown",IF(J44&gt;=5,"Yes","No (under 5 units)"))</f>
        <v>Yes</v>
      </c>
      <c r="S44" s="15"/>
      <c r="T44" s="18"/>
      <c r="U44" s="19"/>
      <c r="V44" s="18"/>
      <c r="W44" s="18"/>
      <c r="X44" s="20"/>
      <c r="Y44" s="18"/>
      <c r="Z44" s="18"/>
      <c r="AA44" s="21" t="n">
        <f aca="false">IF(U44&lt;&gt;"",(U44-Scoring!$B$3)/365.25,IF(N44="","",IF(N44&lt;Scoring!$B$12,"",(DATE(N44+Scoring!$B$13,12,31)-Scoring!$B$3)/365.25)))</f>
        <v>0.246406570841889</v>
      </c>
      <c r="AB44" s="22" t="n">
        <f aca="false">IF(T44="Y",0,IF(OR(D44="Expired (verified)",D44="Expiring: notice window (verified)",D44="Expiring: 10-yr horizon (verified)",D44="Past 30-yr mark (verify)",D44="30-yr mark: notice window (est.)",D44="Year-15 window"),1,0)+IF(ISNUMBER(O44),IF(O44&gt;=Scoring!$B$10,1,0),0)+IF(AND(ISNUMBER(L44),ISNUMBER(J44)),IF(J44&gt;0,IF(L44/J44&gt;=Scoring!$B$11,1,0),0),0)+IF(ISNUMBER(Z44),MIN(Z44,3),0))</f>
        <v>2</v>
      </c>
      <c r="AC44" s="22" t="n">
        <f aca="false">IF(AB44&gt;=3,Scoring!$C$24,IF(AB44=2,Scoring!$C$23,IF(AB44=1,Scoring!$C$22,0)))</f>
        <v>18</v>
      </c>
      <c r="AD44" s="22" t="n">
        <f aca="false">IF(T44="Y",0,IF(ISNUMBER(X44),IF(X44&gt;0.7,Scoring!$C$25,IF(X44&gt;=0.5,Scoring!$C$26,IF(X44&gt;=0.3,Scoring!$C$27,Scoring!$C$28))),Scoring!$C$29))</f>
        <v>10</v>
      </c>
      <c r="AE44" s="22" t="n">
        <f aca="false">IF(D44="Expiring: notice window (verified)",Scoring!$C$30,IF(OR(D44="Expired (verified)",D44="30-yr mark: notice window (est.)",D44="Year-15 window"),Scoring!$C$31,IF(D44="Expiring: 10-yr horizon (verified)",Scoring!$C$32,IF(D44="Past 30-yr mark (verify)",Scoring!$C$33,IF(OR(D44="Credit period",D44="Superseded record"),Scoring!$C$35,Scoring!$C$34)))))</f>
        <v>14</v>
      </c>
      <c r="AF44" s="22" t="n">
        <f aca="false">IF(T44="Y",0,IF(ISNUMBER(V44),IF(Scoring!$B$4-V44&gt;15,Scoring!$C$36,IF(Scoring!$B$4-V44&gt;=10,Scoring!$C$37,IF(Scoring!$B$4-V44&gt;=5,Scoring!$C$38,Scoring!$C$39))),IF(OR(N44="",D44="Out of program"),Scoring!$C$40,IF(O44&gt;15,Scoring!$C$36,IF(O44&gt;=10,Scoring!$C$37,IF(O44&gt;=5,Scoring!$C$38,Scoring!$C$39))))))</f>
        <v>15</v>
      </c>
      <c r="AG44" s="22" t="n">
        <f aca="false">IF(T44="Y",0,IF(Y44="Y",Scoring!$C$41,IF(ISNUMBER(O44),IF(O44&gt;=25,Scoring!$C$42,IF(O44&gt;=15,Scoring!$C$43,Scoring!$C$44)),Scoring!$C$44)))</f>
        <v>8</v>
      </c>
      <c r="AH44" s="22" t="n">
        <f aca="false">IF(T44="Y",0,IF(W44="",Scoring!$C$49,IFERROR(VLOOKUP(W44,Scoring!$B$45:$C$48,2,FALSE()),Scoring!$C$49)))</f>
        <v>5</v>
      </c>
      <c r="AI44" s="23" t="n">
        <f aca="false">C44+IF(ISNUMBER(J44),J44,0)/100000+(10000-ROW())/1000000000</f>
        <v>70.000589956</v>
      </c>
      <c r="AJ44" s="18"/>
      <c r="AK44" s="18"/>
      <c r="AL44" s="18"/>
      <c r="AM44" s="18"/>
    </row>
    <row r="45" customFormat="false" ht="15" hidden="false" customHeight="false" outlineLevel="0" collapsed="false">
      <c r="A45" s="15" t="n">
        <f aca="false">RANK(AI45,$AI$2:$AI$755)</f>
        <v>44</v>
      </c>
      <c r="B45" s="16" t="str">
        <f aca="false">IF(T45="Y","Superseded",IF(C45&gt;=Scoring!$B$16,"Immediate",IF(C45&gt;=Scoring!$B$17,"This week",IF(C45&gt;=Scoring!$B$18,"Nurture","Low"))))</f>
        <v>This week</v>
      </c>
      <c r="C45" s="3" t="n">
        <f aca="false">SUM(AC45:AH45)</f>
        <v>70</v>
      </c>
      <c r="D45" s="15" t="str">
        <f aca="false">IF(T45="Y","Superseded record",IF(AND(U45&lt;&gt;"",AA45&lt;0),"Expired (verified)",IF(AND(U45&lt;&gt;"",AA45&lt;=Scoring!$B$5),"Expiring: notice window (verified)",IF(AND(U45&lt;&gt;"",AA45&lt;=Scoring!$B$6),"Expiring: 10-yr horizon (verified)",IF(M45="No Longer Monitored","Out of program",IF(N45="","Unknown vintage",IF(N45&lt;Scoring!$B$12,"Pre-1990, still listed",IF(AND(U45="",AA45&lt;0),"Past 30-yr mark (verify)",IF(AND(U45="",AA45&lt;=Scoring!$B$5),"30-yr mark: notice window (est.)",IF(AND(O45&gt;=Scoring!$B$7,O45&lt;=Scoring!$B$8),"Year-15 window",IF(O45&gt;=Scoring!$B$9,"Recap window",IF(O45&gt;=11,"Late compliance","Credit period"))))))))))))</f>
        <v>30-yr mark: notice window (est.)</v>
      </c>
      <c r="E45" s="15" t="s">
        <v>277</v>
      </c>
      <c r="F45" s="15" t="s">
        <v>278</v>
      </c>
      <c r="G45" s="15" t="s">
        <v>279</v>
      </c>
      <c r="H45" s="15" t="s">
        <v>151</v>
      </c>
      <c r="I45" s="15" t="s">
        <v>280</v>
      </c>
      <c r="J45" s="15" t="n">
        <v>56</v>
      </c>
      <c r="K45" s="15" t="n">
        <v>55</v>
      </c>
      <c r="L45" s="15" t="n">
        <f aca="false">IF(OR(J45="",K45=""),"",MAX(J45-K45,0))</f>
        <v>1</v>
      </c>
      <c r="M45" s="15" t="s">
        <v>99</v>
      </c>
      <c r="N45" s="17" t="n">
        <v>1998</v>
      </c>
      <c r="O45" s="15" t="n">
        <f aca="false">IF(N45="","",Scoring!$B$4-N45)</f>
        <v>28</v>
      </c>
      <c r="P45" s="15" t="n">
        <f aca="false">IF(N45="","",N45+14)</f>
        <v>2012</v>
      </c>
      <c r="Q45" s="15" t="n">
        <f aca="false">IF(N45="","",IF(N45&lt;Scoring!$B$12,"n/a (pre-1990)",N45+Scoring!$B$13))</f>
        <v>2027</v>
      </c>
      <c r="R45" s="15" t="str">
        <f aca="false">IF(J45="","Unknown",IF(J45&gt;=5,"Yes","No (under 5 units)"))</f>
        <v>Yes</v>
      </c>
      <c r="S45" s="15"/>
      <c r="T45" s="18"/>
      <c r="U45" s="19"/>
      <c r="V45" s="18"/>
      <c r="W45" s="18"/>
      <c r="X45" s="20"/>
      <c r="Y45" s="18"/>
      <c r="Z45" s="18"/>
      <c r="AA45" s="21" t="n">
        <f aca="false">IF(U45&lt;&gt;"",(U45-Scoring!$B$3)/365.25,IF(N45="","",IF(N45&lt;Scoring!$B$12,"",(DATE(N45+Scoring!$B$13,12,31)-Scoring!$B$3)/365.25)))</f>
        <v>1.24572210814511</v>
      </c>
      <c r="AB45" s="22" t="n">
        <f aca="false">IF(T45="Y",0,IF(OR(D45="Expired (verified)",D45="Expiring: notice window (verified)",D45="Expiring: 10-yr horizon (verified)",D45="Past 30-yr mark (verify)",D45="30-yr mark: notice window (est.)",D45="Year-15 window"),1,0)+IF(ISNUMBER(O45),IF(O45&gt;=Scoring!$B$10,1,0),0)+IF(AND(ISNUMBER(L45),ISNUMBER(J45)),IF(J45&gt;0,IF(L45/J45&gt;=Scoring!$B$11,1,0),0),0)+IF(ISNUMBER(Z45),MIN(Z45,3),0))</f>
        <v>2</v>
      </c>
      <c r="AC45" s="22" t="n">
        <f aca="false">IF(AB45&gt;=3,Scoring!$C$24,IF(AB45=2,Scoring!$C$23,IF(AB45=1,Scoring!$C$22,0)))</f>
        <v>18</v>
      </c>
      <c r="AD45" s="22" t="n">
        <f aca="false">IF(T45="Y",0,IF(ISNUMBER(X45),IF(X45&gt;0.7,Scoring!$C$25,IF(X45&gt;=0.5,Scoring!$C$26,IF(X45&gt;=0.3,Scoring!$C$27,Scoring!$C$28))),Scoring!$C$29))</f>
        <v>10</v>
      </c>
      <c r="AE45" s="22" t="n">
        <f aca="false">IF(D45="Expiring: notice window (verified)",Scoring!$C$30,IF(OR(D45="Expired (verified)",D45="30-yr mark: notice window (est.)",D45="Year-15 window"),Scoring!$C$31,IF(D45="Expiring: 10-yr horizon (verified)",Scoring!$C$32,IF(D45="Past 30-yr mark (verify)",Scoring!$C$33,IF(OR(D45="Credit period",D45="Superseded record"),Scoring!$C$35,Scoring!$C$34)))))</f>
        <v>14</v>
      </c>
      <c r="AF45" s="22" t="n">
        <f aca="false">IF(T45="Y",0,IF(ISNUMBER(V45),IF(Scoring!$B$4-V45&gt;15,Scoring!$C$36,IF(Scoring!$B$4-V45&gt;=10,Scoring!$C$37,IF(Scoring!$B$4-V45&gt;=5,Scoring!$C$38,Scoring!$C$39))),IF(OR(N45="",D45="Out of program"),Scoring!$C$40,IF(O45&gt;15,Scoring!$C$36,IF(O45&gt;=10,Scoring!$C$37,IF(O45&gt;=5,Scoring!$C$38,Scoring!$C$39))))))</f>
        <v>15</v>
      </c>
      <c r="AG45" s="22" t="n">
        <f aca="false">IF(T45="Y",0,IF(Y45="Y",Scoring!$C$41,IF(ISNUMBER(O45),IF(O45&gt;=25,Scoring!$C$42,IF(O45&gt;=15,Scoring!$C$43,Scoring!$C$44)),Scoring!$C$44)))</f>
        <v>8</v>
      </c>
      <c r="AH45" s="22" t="n">
        <f aca="false">IF(T45="Y",0,IF(W45="",Scoring!$C$49,IFERROR(VLOOKUP(W45,Scoring!$B$45:$C$48,2,FALSE()),Scoring!$C$49)))</f>
        <v>5</v>
      </c>
      <c r="AI45" s="23" t="n">
        <f aca="false">C45+IF(ISNUMBER(J45),J45,0)/100000+(10000-ROW())/1000000000</f>
        <v>70.000569955</v>
      </c>
      <c r="AJ45" s="18"/>
      <c r="AK45" s="18"/>
      <c r="AL45" s="18"/>
      <c r="AM45" s="18"/>
    </row>
    <row r="46" customFormat="false" ht="15" hidden="false" customHeight="false" outlineLevel="0" collapsed="false">
      <c r="A46" s="15" t="n">
        <f aca="false">RANK(AI46,$AI$2:$AI$755)</f>
        <v>45</v>
      </c>
      <c r="B46" s="16" t="str">
        <f aca="false">IF(T46="Y","Superseded",IF(C46&gt;=Scoring!$B$16,"Immediate",IF(C46&gt;=Scoring!$B$17,"This week",IF(C46&gt;=Scoring!$B$18,"Nurture","Low"))))</f>
        <v>This week</v>
      </c>
      <c r="C46" s="3" t="n">
        <f aca="false">SUM(AC46:AH46)</f>
        <v>70</v>
      </c>
      <c r="D46" s="15" t="str">
        <f aca="false">IF(T46="Y","Superseded record",IF(AND(U46&lt;&gt;"",AA46&lt;0),"Expired (verified)",IF(AND(U46&lt;&gt;"",AA46&lt;=Scoring!$B$5),"Expiring: notice window (verified)",IF(AND(U46&lt;&gt;"",AA46&lt;=Scoring!$B$6),"Expiring: 10-yr horizon (verified)",IF(M46="No Longer Monitored","Out of program",IF(N46="","Unknown vintage",IF(N46&lt;Scoring!$B$12,"Pre-1990, still listed",IF(AND(U46="",AA46&lt;0),"Past 30-yr mark (verify)",IF(AND(U46="",AA46&lt;=Scoring!$B$5),"30-yr mark: notice window (est.)",IF(AND(O46&gt;=Scoring!$B$7,O46&lt;=Scoring!$B$8),"Year-15 window",IF(O46&gt;=Scoring!$B$9,"Recap window",IF(O46&gt;=11,"Late compliance","Credit period"))))))))))))</f>
        <v>30-yr mark: notice window (est.)</v>
      </c>
      <c r="E46" s="15" t="s">
        <v>281</v>
      </c>
      <c r="F46" s="15" t="s">
        <v>282</v>
      </c>
      <c r="G46" s="15" t="s">
        <v>283</v>
      </c>
      <c r="H46" s="15" t="s">
        <v>97</v>
      </c>
      <c r="I46" s="15" t="s">
        <v>160</v>
      </c>
      <c r="J46" s="15" t="n">
        <v>54</v>
      </c>
      <c r="K46" s="15" t="n">
        <v>54</v>
      </c>
      <c r="L46" s="15" t="n">
        <f aca="false">IF(OR(J46="",K46=""),"",MAX(J46-K46,0))</f>
        <v>0</v>
      </c>
      <c r="M46" s="15" t="s">
        <v>99</v>
      </c>
      <c r="N46" s="17" t="n">
        <v>1999</v>
      </c>
      <c r="O46" s="15" t="n">
        <f aca="false">IF(N46="","",Scoring!$B$4-N46)</f>
        <v>27</v>
      </c>
      <c r="P46" s="15" t="n">
        <f aca="false">IF(N46="","",N46+14)</f>
        <v>2013</v>
      </c>
      <c r="Q46" s="15" t="n">
        <f aca="false">IF(N46="","",IF(N46&lt;Scoring!$B$12,"n/a (pre-1990)",N46+Scoring!$B$13))</f>
        <v>2028</v>
      </c>
      <c r="R46" s="15" t="str">
        <f aca="false">IF(J46="","Unknown",IF(J46&gt;=5,"Yes","No (under 5 units)"))</f>
        <v>Yes</v>
      </c>
      <c r="S46" s="15"/>
      <c r="T46" s="18"/>
      <c r="U46" s="19"/>
      <c r="V46" s="18"/>
      <c r="W46" s="18"/>
      <c r="X46" s="20"/>
      <c r="Y46" s="18"/>
      <c r="Z46" s="18"/>
      <c r="AA46" s="21" t="n">
        <f aca="false">IF(U46&lt;&gt;"",(U46-Scoring!$B$3)/365.25,IF(N46="","",IF(N46&lt;Scoring!$B$12,"",(DATE(N46+Scoring!$B$13,12,31)-Scoring!$B$3)/365.25)))</f>
        <v>2.24777549623546</v>
      </c>
      <c r="AB46" s="22" t="n">
        <f aca="false">IF(T46="Y",0,IF(OR(D46="Expired (verified)",D46="Expiring: notice window (verified)",D46="Expiring: 10-yr horizon (verified)",D46="Past 30-yr mark (verify)",D46="30-yr mark: notice window (est.)",D46="Year-15 window"),1,0)+IF(ISNUMBER(O46),IF(O46&gt;=Scoring!$B$10,1,0),0)+IF(AND(ISNUMBER(L46),ISNUMBER(J46)),IF(J46&gt;0,IF(L46/J46&gt;=Scoring!$B$11,1,0),0),0)+IF(ISNUMBER(Z46),MIN(Z46,3),0))</f>
        <v>2</v>
      </c>
      <c r="AC46" s="22" t="n">
        <f aca="false">IF(AB46&gt;=3,Scoring!$C$24,IF(AB46=2,Scoring!$C$23,IF(AB46=1,Scoring!$C$22,0)))</f>
        <v>18</v>
      </c>
      <c r="AD46" s="22" t="n">
        <f aca="false">IF(T46="Y",0,IF(ISNUMBER(X46),IF(X46&gt;0.7,Scoring!$C$25,IF(X46&gt;=0.5,Scoring!$C$26,IF(X46&gt;=0.3,Scoring!$C$27,Scoring!$C$28))),Scoring!$C$29))</f>
        <v>10</v>
      </c>
      <c r="AE46" s="22" t="n">
        <f aca="false">IF(D46="Expiring: notice window (verified)",Scoring!$C$30,IF(OR(D46="Expired (verified)",D46="30-yr mark: notice window (est.)",D46="Year-15 window"),Scoring!$C$31,IF(D46="Expiring: 10-yr horizon (verified)",Scoring!$C$32,IF(D46="Past 30-yr mark (verify)",Scoring!$C$33,IF(OR(D46="Credit period",D46="Superseded record"),Scoring!$C$35,Scoring!$C$34)))))</f>
        <v>14</v>
      </c>
      <c r="AF46" s="22" t="n">
        <f aca="false">IF(T46="Y",0,IF(ISNUMBER(V46),IF(Scoring!$B$4-V46&gt;15,Scoring!$C$36,IF(Scoring!$B$4-V46&gt;=10,Scoring!$C$37,IF(Scoring!$B$4-V46&gt;=5,Scoring!$C$38,Scoring!$C$39))),IF(OR(N46="",D46="Out of program"),Scoring!$C$40,IF(O46&gt;15,Scoring!$C$36,IF(O46&gt;=10,Scoring!$C$37,IF(O46&gt;=5,Scoring!$C$38,Scoring!$C$39))))))</f>
        <v>15</v>
      </c>
      <c r="AG46" s="22" t="n">
        <f aca="false">IF(T46="Y",0,IF(Y46="Y",Scoring!$C$41,IF(ISNUMBER(O46),IF(O46&gt;=25,Scoring!$C$42,IF(O46&gt;=15,Scoring!$C$43,Scoring!$C$44)),Scoring!$C$44)))</f>
        <v>8</v>
      </c>
      <c r="AH46" s="22" t="n">
        <f aca="false">IF(T46="Y",0,IF(W46="",Scoring!$C$49,IFERROR(VLOOKUP(W46,Scoring!$B$45:$C$48,2,FALSE()),Scoring!$C$49)))</f>
        <v>5</v>
      </c>
      <c r="AI46" s="23" t="n">
        <f aca="false">C46+IF(ISNUMBER(J46),J46,0)/100000+(10000-ROW())/1000000000</f>
        <v>70.000549954</v>
      </c>
      <c r="AJ46" s="18"/>
      <c r="AK46" s="18"/>
      <c r="AL46" s="18"/>
      <c r="AM46" s="18"/>
    </row>
    <row r="47" customFormat="false" ht="15" hidden="false" customHeight="false" outlineLevel="0" collapsed="false">
      <c r="A47" s="15" t="n">
        <f aca="false">RANK(AI47,$AI$2:$AI$755)</f>
        <v>46</v>
      </c>
      <c r="B47" s="16" t="str">
        <f aca="false">IF(T47="Y","Superseded",IF(C47&gt;=Scoring!$B$16,"Immediate",IF(C47&gt;=Scoring!$B$17,"This week",IF(C47&gt;=Scoring!$B$18,"Nurture","Low"))))</f>
        <v>This week</v>
      </c>
      <c r="C47" s="3" t="n">
        <f aca="false">SUM(AC47:AH47)</f>
        <v>70</v>
      </c>
      <c r="D47" s="15" t="str">
        <f aca="false">IF(T47="Y","Superseded record",IF(AND(U47&lt;&gt;"",AA47&lt;0),"Expired (verified)",IF(AND(U47&lt;&gt;"",AA47&lt;=Scoring!$B$5),"Expiring: notice window (verified)",IF(AND(U47&lt;&gt;"",AA47&lt;=Scoring!$B$6),"Expiring: 10-yr horizon (verified)",IF(M47="No Longer Monitored","Out of program",IF(N47="","Unknown vintage",IF(N47&lt;Scoring!$B$12,"Pre-1990, still listed",IF(AND(U47="",AA47&lt;0),"Past 30-yr mark (verify)",IF(AND(U47="",AA47&lt;=Scoring!$B$5),"30-yr mark: notice window (est.)",IF(AND(O47&gt;=Scoring!$B$7,O47&lt;=Scoring!$B$8),"Year-15 window",IF(O47&gt;=Scoring!$B$9,"Recap window",IF(O47&gt;=11,"Late compliance","Credit period"))))))))))))</f>
        <v>30-yr mark: notice window (est.)</v>
      </c>
      <c r="E47" s="15" t="s">
        <v>284</v>
      </c>
      <c r="F47" s="15" t="s">
        <v>285</v>
      </c>
      <c r="G47" s="15" t="s">
        <v>286</v>
      </c>
      <c r="H47" s="15" t="s">
        <v>287</v>
      </c>
      <c r="I47" s="15" t="s">
        <v>288</v>
      </c>
      <c r="J47" s="15" t="n">
        <v>52</v>
      </c>
      <c r="K47" s="15" t="n">
        <v>51</v>
      </c>
      <c r="L47" s="15" t="n">
        <f aca="false">IF(OR(J47="",K47=""),"",MAX(J47-K47,0))</f>
        <v>1</v>
      </c>
      <c r="M47" s="15" t="s">
        <v>99</v>
      </c>
      <c r="N47" s="17" t="n">
        <v>1999</v>
      </c>
      <c r="O47" s="15" t="n">
        <f aca="false">IF(N47="","",Scoring!$B$4-N47)</f>
        <v>27</v>
      </c>
      <c r="P47" s="15" t="n">
        <f aca="false">IF(N47="","",N47+14)</f>
        <v>2013</v>
      </c>
      <c r="Q47" s="15" t="n">
        <f aca="false">IF(N47="","",IF(N47&lt;Scoring!$B$12,"n/a (pre-1990)",N47+Scoring!$B$13))</f>
        <v>2028</v>
      </c>
      <c r="R47" s="15" t="str">
        <f aca="false">IF(J47="","Unknown",IF(J47&gt;=5,"Yes","No (under 5 units)"))</f>
        <v>Yes</v>
      </c>
      <c r="S47" s="15"/>
      <c r="T47" s="18"/>
      <c r="U47" s="19"/>
      <c r="V47" s="18"/>
      <c r="W47" s="18"/>
      <c r="X47" s="20"/>
      <c r="Y47" s="18"/>
      <c r="Z47" s="18"/>
      <c r="AA47" s="21" t="n">
        <f aca="false">IF(U47&lt;&gt;"",(U47-Scoring!$B$3)/365.25,IF(N47="","",IF(N47&lt;Scoring!$B$12,"",(DATE(N47+Scoring!$B$13,12,31)-Scoring!$B$3)/365.25)))</f>
        <v>2.24777549623546</v>
      </c>
      <c r="AB47" s="22" t="n">
        <f aca="false">IF(T47="Y",0,IF(OR(D47="Expired (verified)",D47="Expiring: notice window (verified)",D47="Expiring: 10-yr horizon (verified)",D47="Past 30-yr mark (verify)",D47="30-yr mark: notice window (est.)",D47="Year-15 window"),1,0)+IF(ISNUMBER(O47),IF(O47&gt;=Scoring!$B$10,1,0),0)+IF(AND(ISNUMBER(L47),ISNUMBER(J47)),IF(J47&gt;0,IF(L47/J47&gt;=Scoring!$B$11,1,0),0),0)+IF(ISNUMBER(Z47),MIN(Z47,3),0))</f>
        <v>2</v>
      </c>
      <c r="AC47" s="22" t="n">
        <f aca="false">IF(AB47&gt;=3,Scoring!$C$24,IF(AB47=2,Scoring!$C$23,IF(AB47=1,Scoring!$C$22,0)))</f>
        <v>18</v>
      </c>
      <c r="AD47" s="22" t="n">
        <f aca="false">IF(T47="Y",0,IF(ISNUMBER(X47),IF(X47&gt;0.7,Scoring!$C$25,IF(X47&gt;=0.5,Scoring!$C$26,IF(X47&gt;=0.3,Scoring!$C$27,Scoring!$C$28))),Scoring!$C$29))</f>
        <v>10</v>
      </c>
      <c r="AE47" s="22" t="n">
        <f aca="false">IF(D47="Expiring: notice window (verified)",Scoring!$C$30,IF(OR(D47="Expired (verified)",D47="30-yr mark: notice window (est.)",D47="Year-15 window"),Scoring!$C$31,IF(D47="Expiring: 10-yr horizon (verified)",Scoring!$C$32,IF(D47="Past 30-yr mark (verify)",Scoring!$C$33,IF(OR(D47="Credit period",D47="Superseded record"),Scoring!$C$35,Scoring!$C$34)))))</f>
        <v>14</v>
      </c>
      <c r="AF47" s="22" t="n">
        <f aca="false">IF(T47="Y",0,IF(ISNUMBER(V47),IF(Scoring!$B$4-V47&gt;15,Scoring!$C$36,IF(Scoring!$B$4-V47&gt;=10,Scoring!$C$37,IF(Scoring!$B$4-V47&gt;=5,Scoring!$C$38,Scoring!$C$39))),IF(OR(N47="",D47="Out of program"),Scoring!$C$40,IF(O47&gt;15,Scoring!$C$36,IF(O47&gt;=10,Scoring!$C$37,IF(O47&gt;=5,Scoring!$C$38,Scoring!$C$39))))))</f>
        <v>15</v>
      </c>
      <c r="AG47" s="22" t="n">
        <f aca="false">IF(T47="Y",0,IF(Y47="Y",Scoring!$C$41,IF(ISNUMBER(O47),IF(O47&gt;=25,Scoring!$C$42,IF(O47&gt;=15,Scoring!$C$43,Scoring!$C$44)),Scoring!$C$44)))</f>
        <v>8</v>
      </c>
      <c r="AH47" s="22" t="n">
        <f aca="false">IF(T47="Y",0,IF(W47="",Scoring!$C$49,IFERROR(VLOOKUP(W47,Scoring!$B$45:$C$48,2,FALSE()),Scoring!$C$49)))</f>
        <v>5</v>
      </c>
      <c r="AI47" s="23" t="n">
        <f aca="false">C47+IF(ISNUMBER(J47),J47,0)/100000+(10000-ROW())/1000000000</f>
        <v>70.000529953</v>
      </c>
      <c r="AJ47" s="18"/>
      <c r="AK47" s="18"/>
      <c r="AL47" s="18"/>
      <c r="AM47" s="18"/>
    </row>
    <row r="48" customFormat="false" ht="15" hidden="false" customHeight="false" outlineLevel="0" collapsed="false">
      <c r="A48" s="15" t="n">
        <f aca="false">RANK(AI48,$AI$2:$AI$755)</f>
        <v>47</v>
      </c>
      <c r="B48" s="16" t="str">
        <f aca="false">IF(T48="Y","Superseded",IF(C48&gt;=Scoring!$B$16,"Immediate",IF(C48&gt;=Scoring!$B$17,"This week",IF(C48&gt;=Scoring!$B$18,"Nurture","Low"))))</f>
        <v>This week</v>
      </c>
      <c r="C48" s="3" t="n">
        <f aca="false">SUM(AC48:AH48)</f>
        <v>70</v>
      </c>
      <c r="D48" s="15" t="str">
        <f aca="false">IF(T48="Y","Superseded record",IF(AND(U48&lt;&gt;"",AA48&lt;0),"Expired (verified)",IF(AND(U48&lt;&gt;"",AA48&lt;=Scoring!$B$5),"Expiring: notice window (verified)",IF(AND(U48&lt;&gt;"",AA48&lt;=Scoring!$B$6),"Expiring: 10-yr horizon (verified)",IF(M48="No Longer Monitored","Out of program",IF(N48="","Unknown vintage",IF(N48&lt;Scoring!$B$12,"Pre-1990, still listed",IF(AND(U48="",AA48&lt;0),"Past 30-yr mark (verify)",IF(AND(U48="",AA48&lt;=Scoring!$B$5),"30-yr mark: notice window (est.)",IF(AND(O48&gt;=Scoring!$B$7,O48&lt;=Scoring!$B$8),"Year-15 window",IF(O48&gt;=Scoring!$B$9,"Recap window",IF(O48&gt;=11,"Late compliance","Credit period"))))))))))))</f>
        <v>30-yr mark: notice window (est.)</v>
      </c>
      <c r="E48" s="15" t="s">
        <v>289</v>
      </c>
      <c r="F48" s="15" t="s">
        <v>290</v>
      </c>
      <c r="G48" s="15" t="s">
        <v>291</v>
      </c>
      <c r="H48" s="15" t="s">
        <v>292</v>
      </c>
      <c r="I48" s="15" t="s">
        <v>293</v>
      </c>
      <c r="J48" s="15" t="n">
        <v>51</v>
      </c>
      <c r="K48" s="15" t="n">
        <v>51</v>
      </c>
      <c r="L48" s="15" t="n">
        <f aca="false">IF(OR(J48="",K48=""),"",MAX(J48-K48,0))</f>
        <v>0</v>
      </c>
      <c r="M48" s="15" t="s">
        <v>99</v>
      </c>
      <c r="N48" s="17" t="n">
        <v>1998</v>
      </c>
      <c r="O48" s="15" t="n">
        <f aca="false">IF(N48="","",Scoring!$B$4-N48)</f>
        <v>28</v>
      </c>
      <c r="P48" s="15" t="n">
        <f aca="false">IF(N48="","",N48+14)</f>
        <v>2012</v>
      </c>
      <c r="Q48" s="15" t="n">
        <f aca="false">IF(N48="","",IF(N48&lt;Scoring!$B$12,"n/a (pre-1990)",N48+Scoring!$B$13))</f>
        <v>2027</v>
      </c>
      <c r="R48" s="15" t="str">
        <f aca="false">IF(J48="","Unknown",IF(J48&gt;=5,"Yes","No (under 5 units)"))</f>
        <v>Yes</v>
      </c>
      <c r="S48" s="15"/>
      <c r="T48" s="18"/>
      <c r="U48" s="19"/>
      <c r="V48" s="18"/>
      <c r="W48" s="18"/>
      <c r="X48" s="20"/>
      <c r="Y48" s="18"/>
      <c r="Z48" s="18"/>
      <c r="AA48" s="21" t="n">
        <f aca="false">IF(U48&lt;&gt;"",(U48-Scoring!$B$3)/365.25,IF(N48="","",IF(N48&lt;Scoring!$B$12,"",(DATE(N48+Scoring!$B$13,12,31)-Scoring!$B$3)/365.25)))</f>
        <v>1.24572210814511</v>
      </c>
      <c r="AB48" s="22" t="n">
        <f aca="false">IF(T48="Y",0,IF(OR(D48="Expired (verified)",D48="Expiring: notice window (verified)",D48="Expiring: 10-yr horizon (verified)",D48="Past 30-yr mark (verify)",D48="30-yr mark: notice window (est.)",D48="Year-15 window"),1,0)+IF(ISNUMBER(O48),IF(O48&gt;=Scoring!$B$10,1,0),0)+IF(AND(ISNUMBER(L48),ISNUMBER(J48)),IF(J48&gt;0,IF(L48/J48&gt;=Scoring!$B$11,1,0),0),0)+IF(ISNUMBER(Z48),MIN(Z48,3),0))</f>
        <v>2</v>
      </c>
      <c r="AC48" s="22" t="n">
        <f aca="false">IF(AB48&gt;=3,Scoring!$C$24,IF(AB48=2,Scoring!$C$23,IF(AB48=1,Scoring!$C$22,0)))</f>
        <v>18</v>
      </c>
      <c r="AD48" s="22" t="n">
        <f aca="false">IF(T48="Y",0,IF(ISNUMBER(X48),IF(X48&gt;0.7,Scoring!$C$25,IF(X48&gt;=0.5,Scoring!$C$26,IF(X48&gt;=0.3,Scoring!$C$27,Scoring!$C$28))),Scoring!$C$29))</f>
        <v>10</v>
      </c>
      <c r="AE48" s="22" t="n">
        <f aca="false">IF(D48="Expiring: notice window (verified)",Scoring!$C$30,IF(OR(D48="Expired (verified)",D48="30-yr mark: notice window (est.)",D48="Year-15 window"),Scoring!$C$31,IF(D48="Expiring: 10-yr horizon (verified)",Scoring!$C$32,IF(D48="Past 30-yr mark (verify)",Scoring!$C$33,IF(OR(D48="Credit period",D48="Superseded record"),Scoring!$C$35,Scoring!$C$34)))))</f>
        <v>14</v>
      </c>
      <c r="AF48" s="22" t="n">
        <f aca="false">IF(T48="Y",0,IF(ISNUMBER(V48),IF(Scoring!$B$4-V48&gt;15,Scoring!$C$36,IF(Scoring!$B$4-V48&gt;=10,Scoring!$C$37,IF(Scoring!$B$4-V48&gt;=5,Scoring!$C$38,Scoring!$C$39))),IF(OR(N48="",D48="Out of program"),Scoring!$C$40,IF(O48&gt;15,Scoring!$C$36,IF(O48&gt;=10,Scoring!$C$37,IF(O48&gt;=5,Scoring!$C$38,Scoring!$C$39))))))</f>
        <v>15</v>
      </c>
      <c r="AG48" s="22" t="n">
        <f aca="false">IF(T48="Y",0,IF(Y48="Y",Scoring!$C$41,IF(ISNUMBER(O48),IF(O48&gt;=25,Scoring!$C$42,IF(O48&gt;=15,Scoring!$C$43,Scoring!$C$44)),Scoring!$C$44)))</f>
        <v>8</v>
      </c>
      <c r="AH48" s="22" t="n">
        <f aca="false">IF(T48="Y",0,IF(W48="",Scoring!$C$49,IFERROR(VLOOKUP(W48,Scoring!$B$45:$C$48,2,FALSE()),Scoring!$C$49)))</f>
        <v>5</v>
      </c>
      <c r="AI48" s="23" t="n">
        <f aca="false">C48+IF(ISNUMBER(J48),J48,0)/100000+(10000-ROW())/1000000000</f>
        <v>70.000519952</v>
      </c>
      <c r="AJ48" s="18"/>
      <c r="AK48" s="18"/>
      <c r="AL48" s="18"/>
      <c r="AM48" s="18"/>
    </row>
    <row r="49" customFormat="false" ht="15" hidden="false" customHeight="false" outlineLevel="0" collapsed="false">
      <c r="A49" s="15" t="n">
        <f aca="false">RANK(AI49,$AI$2:$AI$755)</f>
        <v>48</v>
      </c>
      <c r="B49" s="16" t="str">
        <f aca="false">IF(T49="Y","Superseded",IF(C49&gt;=Scoring!$B$16,"Immediate",IF(C49&gt;=Scoring!$B$17,"This week",IF(C49&gt;=Scoring!$B$18,"Nurture","Low"))))</f>
        <v>This week</v>
      </c>
      <c r="C49" s="3" t="n">
        <f aca="false">SUM(AC49:AH49)</f>
        <v>70</v>
      </c>
      <c r="D49" s="15" t="str">
        <f aca="false">IF(T49="Y","Superseded record",IF(AND(U49&lt;&gt;"",AA49&lt;0),"Expired (verified)",IF(AND(U49&lt;&gt;"",AA49&lt;=Scoring!$B$5),"Expiring: notice window (verified)",IF(AND(U49&lt;&gt;"",AA49&lt;=Scoring!$B$6),"Expiring: 10-yr horizon (verified)",IF(M49="No Longer Monitored","Out of program",IF(N49="","Unknown vintage",IF(N49&lt;Scoring!$B$12,"Pre-1990, still listed",IF(AND(U49="",AA49&lt;0),"Past 30-yr mark (verify)",IF(AND(U49="",AA49&lt;=Scoring!$B$5),"30-yr mark: notice window (est.)",IF(AND(O49&gt;=Scoring!$B$7,O49&lt;=Scoring!$B$8),"Year-15 window",IF(O49&gt;=Scoring!$B$9,"Recap window",IF(O49&gt;=11,"Late compliance","Credit period"))))))))))))</f>
        <v>30-yr mark: notice window (est.)</v>
      </c>
      <c r="E49" s="15" t="s">
        <v>294</v>
      </c>
      <c r="F49" s="15" t="s">
        <v>295</v>
      </c>
      <c r="G49" s="15" t="s">
        <v>296</v>
      </c>
      <c r="H49" s="15" t="s">
        <v>212</v>
      </c>
      <c r="I49" s="15" t="s">
        <v>213</v>
      </c>
      <c r="J49" s="15" t="n">
        <v>50</v>
      </c>
      <c r="K49" s="15" t="n">
        <v>50</v>
      </c>
      <c r="L49" s="15" t="n">
        <f aca="false">IF(OR(J49="",K49=""),"",MAX(J49-K49,0))</f>
        <v>0</v>
      </c>
      <c r="M49" s="15" t="s">
        <v>99</v>
      </c>
      <c r="N49" s="17" t="n">
        <v>1998</v>
      </c>
      <c r="O49" s="15" t="n">
        <f aca="false">IF(N49="","",Scoring!$B$4-N49)</f>
        <v>28</v>
      </c>
      <c r="P49" s="15" t="n">
        <f aca="false">IF(N49="","",N49+14)</f>
        <v>2012</v>
      </c>
      <c r="Q49" s="15" t="n">
        <f aca="false">IF(N49="","",IF(N49&lt;Scoring!$B$12,"n/a (pre-1990)",N49+Scoring!$B$13))</f>
        <v>2027</v>
      </c>
      <c r="R49" s="15" t="str">
        <f aca="false">IF(J49="","Unknown",IF(J49&gt;=5,"Yes","No (under 5 units)"))</f>
        <v>Yes</v>
      </c>
      <c r="S49" s="15"/>
      <c r="T49" s="18"/>
      <c r="U49" s="19"/>
      <c r="V49" s="18"/>
      <c r="W49" s="18"/>
      <c r="X49" s="20"/>
      <c r="Y49" s="18"/>
      <c r="Z49" s="18"/>
      <c r="AA49" s="21" t="n">
        <f aca="false">IF(U49&lt;&gt;"",(U49-Scoring!$B$3)/365.25,IF(N49="","",IF(N49&lt;Scoring!$B$12,"",(DATE(N49+Scoring!$B$13,12,31)-Scoring!$B$3)/365.25)))</f>
        <v>1.24572210814511</v>
      </c>
      <c r="AB49" s="22" t="n">
        <f aca="false">IF(T49="Y",0,IF(OR(D49="Expired (verified)",D49="Expiring: notice window (verified)",D49="Expiring: 10-yr horizon (verified)",D49="Past 30-yr mark (verify)",D49="30-yr mark: notice window (est.)",D49="Year-15 window"),1,0)+IF(ISNUMBER(O49),IF(O49&gt;=Scoring!$B$10,1,0),0)+IF(AND(ISNUMBER(L49),ISNUMBER(J49)),IF(J49&gt;0,IF(L49/J49&gt;=Scoring!$B$11,1,0),0),0)+IF(ISNUMBER(Z49),MIN(Z49,3),0))</f>
        <v>2</v>
      </c>
      <c r="AC49" s="22" t="n">
        <f aca="false">IF(AB49&gt;=3,Scoring!$C$24,IF(AB49=2,Scoring!$C$23,IF(AB49=1,Scoring!$C$22,0)))</f>
        <v>18</v>
      </c>
      <c r="AD49" s="22" t="n">
        <f aca="false">IF(T49="Y",0,IF(ISNUMBER(X49),IF(X49&gt;0.7,Scoring!$C$25,IF(X49&gt;=0.5,Scoring!$C$26,IF(X49&gt;=0.3,Scoring!$C$27,Scoring!$C$28))),Scoring!$C$29))</f>
        <v>10</v>
      </c>
      <c r="AE49" s="22" t="n">
        <f aca="false">IF(D49="Expiring: notice window (verified)",Scoring!$C$30,IF(OR(D49="Expired (verified)",D49="30-yr mark: notice window (est.)",D49="Year-15 window"),Scoring!$C$31,IF(D49="Expiring: 10-yr horizon (verified)",Scoring!$C$32,IF(D49="Past 30-yr mark (verify)",Scoring!$C$33,IF(OR(D49="Credit period",D49="Superseded record"),Scoring!$C$35,Scoring!$C$34)))))</f>
        <v>14</v>
      </c>
      <c r="AF49" s="22" t="n">
        <f aca="false">IF(T49="Y",0,IF(ISNUMBER(V49),IF(Scoring!$B$4-V49&gt;15,Scoring!$C$36,IF(Scoring!$B$4-V49&gt;=10,Scoring!$C$37,IF(Scoring!$B$4-V49&gt;=5,Scoring!$C$38,Scoring!$C$39))),IF(OR(N49="",D49="Out of program"),Scoring!$C$40,IF(O49&gt;15,Scoring!$C$36,IF(O49&gt;=10,Scoring!$C$37,IF(O49&gt;=5,Scoring!$C$38,Scoring!$C$39))))))</f>
        <v>15</v>
      </c>
      <c r="AG49" s="22" t="n">
        <f aca="false">IF(T49="Y",0,IF(Y49="Y",Scoring!$C$41,IF(ISNUMBER(O49),IF(O49&gt;=25,Scoring!$C$42,IF(O49&gt;=15,Scoring!$C$43,Scoring!$C$44)),Scoring!$C$44)))</f>
        <v>8</v>
      </c>
      <c r="AH49" s="22" t="n">
        <f aca="false">IF(T49="Y",0,IF(W49="",Scoring!$C$49,IFERROR(VLOOKUP(W49,Scoring!$B$45:$C$48,2,FALSE()),Scoring!$C$49)))</f>
        <v>5</v>
      </c>
      <c r="AI49" s="23" t="n">
        <f aca="false">C49+IF(ISNUMBER(J49),J49,0)/100000+(10000-ROW())/1000000000</f>
        <v>70.000509951</v>
      </c>
      <c r="AJ49" s="18"/>
      <c r="AK49" s="18"/>
      <c r="AL49" s="18"/>
      <c r="AM49" s="18"/>
    </row>
    <row r="50" customFormat="false" ht="15" hidden="false" customHeight="false" outlineLevel="0" collapsed="false">
      <c r="A50" s="15" t="n">
        <f aca="false">RANK(AI50,$AI$2:$AI$755)</f>
        <v>49</v>
      </c>
      <c r="B50" s="16" t="str">
        <f aca="false">IF(T50="Y","Superseded",IF(C50&gt;=Scoring!$B$16,"Immediate",IF(C50&gt;=Scoring!$B$17,"This week",IF(C50&gt;=Scoring!$B$18,"Nurture","Low"))))</f>
        <v>This week</v>
      </c>
      <c r="C50" s="3" t="n">
        <f aca="false">SUM(AC50:AH50)</f>
        <v>70</v>
      </c>
      <c r="D50" s="15" t="str">
        <f aca="false">IF(T50="Y","Superseded record",IF(AND(U50&lt;&gt;"",AA50&lt;0),"Expired (verified)",IF(AND(U50&lt;&gt;"",AA50&lt;=Scoring!$B$5),"Expiring: notice window (verified)",IF(AND(U50&lt;&gt;"",AA50&lt;=Scoring!$B$6),"Expiring: 10-yr horizon (verified)",IF(M50="No Longer Monitored","Out of program",IF(N50="","Unknown vintage",IF(N50&lt;Scoring!$B$12,"Pre-1990, still listed",IF(AND(U50="",AA50&lt;0),"Past 30-yr mark (verify)",IF(AND(U50="",AA50&lt;=Scoring!$B$5),"30-yr mark: notice window (est.)",IF(AND(O50&gt;=Scoring!$B$7,O50&lt;=Scoring!$B$8),"Year-15 window",IF(O50&gt;=Scoring!$B$9,"Recap window",IF(O50&gt;=11,"Late compliance","Credit period"))))))))))))</f>
        <v>30-yr mark: notice window (est.)</v>
      </c>
      <c r="E50" s="15" t="s">
        <v>297</v>
      </c>
      <c r="F50" s="15" t="s">
        <v>298</v>
      </c>
      <c r="G50" s="15" t="s">
        <v>299</v>
      </c>
      <c r="H50" s="15" t="s">
        <v>275</v>
      </c>
      <c r="I50" s="15" t="s">
        <v>276</v>
      </c>
      <c r="J50" s="15" t="n">
        <v>48</v>
      </c>
      <c r="K50" s="15" t="n">
        <v>48</v>
      </c>
      <c r="L50" s="15" t="n">
        <f aca="false">IF(OR(J50="",K50=""),"",MAX(J50-K50,0))</f>
        <v>0</v>
      </c>
      <c r="M50" s="15" t="s">
        <v>99</v>
      </c>
      <c r="N50" s="17" t="n">
        <v>1997</v>
      </c>
      <c r="O50" s="15" t="n">
        <f aca="false">IF(N50="","",Scoring!$B$4-N50)</f>
        <v>29</v>
      </c>
      <c r="P50" s="15" t="n">
        <f aca="false">IF(N50="","",N50+14)</f>
        <v>2011</v>
      </c>
      <c r="Q50" s="15" t="n">
        <f aca="false">IF(N50="","",IF(N50&lt;Scoring!$B$12,"n/a (pre-1990)",N50+Scoring!$B$13))</f>
        <v>2026</v>
      </c>
      <c r="R50" s="15" t="str">
        <f aca="false">IF(J50="","Unknown",IF(J50&gt;=5,"Yes","No (under 5 units)"))</f>
        <v>Yes</v>
      </c>
      <c r="S50" s="15"/>
      <c r="T50" s="18"/>
      <c r="U50" s="19"/>
      <c r="V50" s="18"/>
      <c r="W50" s="18"/>
      <c r="X50" s="20"/>
      <c r="Y50" s="18"/>
      <c r="Z50" s="18"/>
      <c r="AA50" s="21" t="n">
        <f aca="false">IF(U50&lt;&gt;"",(U50-Scoring!$B$3)/365.25,IF(N50="","",IF(N50&lt;Scoring!$B$12,"",(DATE(N50+Scoring!$B$13,12,31)-Scoring!$B$3)/365.25)))</f>
        <v>0.246406570841889</v>
      </c>
      <c r="AB50" s="22" t="n">
        <f aca="false">IF(T50="Y",0,IF(OR(D50="Expired (verified)",D50="Expiring: notice window (verified)",D50="Expiring: 10-yr horizon (verified)",D50="Past 30-yr mark (verify)",D50="30-yr mark: notice window (est.)",D50="Year-15 window"),1,0)+IF(ISNUMBER(O50),IF(O50&gt;=Scoring!$B$10,1,0),0)+IF(AND(ISNUMBER(L50),ISNUMBER(J50)),IF(J50&gt;0,IF(L50/J50&gt;=Scoring!$B$11,1,0),0),0)+IF(ISNUMBER(Z50),MIN(Z50,3),0))</f>
        <v>2</v>
      </c>
      <c r="AC50" s="22" t="n">
        <f aca="false">IF(AB50&gt;=3,Scoring!$C$24,IF(AB50=2,Scoring!$C$23,IF(AB50=1,Scoring!$C$22,0)))</f>
        <v>18</v>
      </c>
      <c r="AD50" s="22" t="n">
        <f aca="false">IF(T50="Y",0,IF(ISNUMBER(X50),IF(X50&gt;0.7,Scoring!$C$25,IF(X50&gt;=0.5,Scoring!$C$26,IF(X50&gt;=0.3,Scoring!$C$27,Scoring!$C$28))),Scoring!$C$29))</f>
        <v>10</v>
      </c>
      <c r="AE50" s="22" t="n">
        <f aca="false">IF(D50="Expiring: notice window (verified)",Scoring!$C$30,IF(OR(D50="Expired (verified)",D50="30-yr mark: notice window (est.)",D50="Year-15 window"),Scoring!$C$31,IF(D50="Expiring: 10-yr horizon (verified)",Scoring!$C$32,IF(D50="Past 30-yr mark (verify)",Scoring!$C$33,IF(OR(D50="Credit period",D50="Superseded record"),Scoring!$C$35,Scoring!$C$34)))))</f>
        <v>14</v>
      </c>
      <c r="AF50" s="22" t="n">
        <f aca="false">IF(T50="Y",0,IF(ISNUMBER(V50),IF(Scoring!$B$4-V50&gt;15,Scoring!$C$36,IF(Scoring!$B$4-V50&gt;=10,Scoring!$C$37,IF(Scoring!$B$4-V50&gt;=5,Scoring!$C$38,Scoring!$C$39))),IF(OR(N50="",D50="Out of program"),Scoring!$C$40,IF(O50&gt;15,Scoring!$C$36,IF(O50&gt;=10,Scoring!$C$37,IF(O50&gt;=5,Scoring!$C$38,Scoring!$C$39))))))</f>
        <v>15</v>
      </c>
      <c r="AG50" s="22" t="n">
        <f aca="false">IF(T50="Y",0,IF(Y50="Y",Scoring!$C$41,IF(ISNUMBER(O50),IF(O50&gt;=25,Scoring!$C$42,IF(O50&gt;=15,Scoring!$C$43,Scoring!$C$44)),Scoring!$C$44)))</f>
        <v>8</v>
      </c>
      <c r="AH50" s="22" t="n">
        <f aca="false">IF(T50="Y",0,IF(W50="",Scoring!$C$49,IFERROR(VLOOKUP(W50,Scoring!$B$45:$C$48,2,FALSE()),Scoring!$C$49)))</f>
        <v>5</v>
      </c>
      <c r="AI50" s="23" t="n">
        <f aca="false">C50+IF(ISNUMBER(J50),J50,0)/100000+(10000-ROW())/1000000000</f>
        <v>70.00048995</v>
      </c>
      <c r="AJ50" s="18"/>
      <c r="AK50" s="18"/>
      <c r="AL50" s="18"/>
      <c r="AM50" s="18"/>
    </row>
    <row r="51" customFormat="false" ht="15" hidden="false" customHeight="false" outlineLevel="0" collapsed="false">
      <c r="A51" s="15" t="n">
        <f aca="false">RANK(AI51,$AI$2:$AI$755)</f>
        <v>50</v>
      </c>
      <c r="B51" s="16" t="str">
        <f aca="false">IF(T51="Y","Superseded",IF(C51&gt;=Scoring!$B$16,"Immediate",IF(C51&gt;=Scoring!$B$17,"This week",IF(C51&gt;=Scoring!$B$18,"Nurture","Low"))))</f>
        <v>This week</v>
      </c>
      <c r="C51" s="3" t="n">
        <f aca="false">SUM(AC51:AH51)</f>
        <v>70</v>
      </c>
      <c r="D51" s="15" t="str">
        <f aca="false">IF(T51="Y","Superseded record",IF(AND(U51&lt;&gt;"",AA51&lt;0),"Expired (verified)",IF(AND(U51&lt;&gt;"",AA51&lt;=Scoring!$B$5),"Expiring: notice window (verified)",IF(AND(U51&lt;&gt;"",AA51&lt;=Scoring!$B$6),"Expiring: 10-yr horizon (verified)",IF(M51="No Longer Monitored","Out of program",IF(N51="","Unknown vintage",IF(N51&lt;Scoring!$B$12,"Pre-1990, still listed",IF(AND(U51="",AA51&lt;0),"Past 30-yr mark (verify)",IF(AND(U51="",AA51&lt;=Scoring!$B$5),"30-yr mark: notice window (est.)",IF(AND(O51&gt;=Scoring!$B$7,O51&lt;=Scoring!$B$8),"Year-15 window",IF(O51&gt;=Scoring!$B$9,"Recap window",IF(O51&gt;=11,"Late compliance","Credit period"))))))))))))</f>
        <v>30-yr mark: notice window (est.)</v>
      </c>
      <c r="E51" s="15" t="s">
        <v>300</v>
      </c>
      <c r="F51" s="15" t="s">
        <v>301</v>
      </c>
      <c r="G51" s="15" t="s">
        <v>302</v>
      </c>
      <c r="H51" s="15" t="s">
        <v>303</v>
      </c>
      <c r="I51" s="15" t="s">
        <v>304</v>
      </c>
      <c r="J51" s="15" t="n">
        <v>48</v>
      </c>
      <c r="K51" s="15" t="n">
        <v>48</v>
      </c>
      <c r="L51" s="15" t="n">
        <f aca="false">IF(OR(J51="",K51=""),"",MAX(J51-K51,0))</f>
        <v>0</v>
      </c>
      <c r="M51" s="15" t="s">
        <v>99</v>
      </c>
      <c r="N51" s="17" t="n">
        <v>1997</v>
      </c>
      <c r="O51" s="15" t="n">
        <f aca="false">IF(N51="","",Scoring!$B$4-N51)</f>
        <v>29</v>
      </c>
      <c r="P51" s="15" t="n">
        <f aca="false">IF(N51="","",N51+14)</f>
        <v>2011</v>
      </c>
      <c r="Q51" s="15" t="n">
        <f aca="false">IF(N51="","",IF(N51&lt;Scoring!$B$12,"n/a (pre-1990)",N51+Scoring!$B$13))</f>
        <v>2026</v>
      </c>
      <c r="R51" s="15" t="str">
        <f aca="false">IF(J51="","Unknown",IF(J51&gt;=5,"Yes","No (under 5 units)"))</f>
        <v>Yes</v>
      </c>
      <c r="S51" s="15"/>
      <c r="T51" s="18"/>
      <c r="U51" s="19"/>
      <c r="V51" s="18"/>
      <c r="W51" s="18"/>
      <c r="X51" s="20"/>
      <c r="Y51" s="18"/>
      <c r="Z51" s="18"/>
      <c r="AA51" s="21" t="n">
        <f aca="false">IF(U51&lt;&gt;"",(U51-Scoring!$B$3)/365.25,IF(N51="","",IF(N51&lt;Scoring!$B$12,"",(DATE(N51+Scoring!$B$13,12,31)-Scoring!$B$3)/365.25)))</f>
        <v>0.246406570841889</v>
      </c>
      <c r="AB51" s="22" t="n">
        <f aca="false">IF(T51="Y",0,IF(OR(D51="Expired (verified)",D51="Expiring: notice window (verified)",D51="Expiring: 10-yr horizon (verified)",D51="Past 30-yr mark (verify)",D51="30-yr mark: notice window (est.)",D51="Year-15 window"),1,0)+IF(ISNUMBER(O51),IF(O51&gt;=Scoring!$B$10,1,0),0)+IF(AND(ISNUMBER(L51),ISNUMBER(J51)),IF(J51&gt;0,IF(L51/J51&gt;=Scoring!$B$11,1,0),0),0)+IF(ISNUMBER(Z51),MIN(Z51,3),0))</f>
        <v>2</v>
      </c>
      <c r="AC51" s="22" t="n">
        <f aca="false">IF(AB51&gt;=3,Scoring!$C$24,IF(AB51=2,Scoring!$C$23,IF(AB51=1,Scoring!$C$22,0)))</f>
        <v>18</v>
      </c>
      <c r="AD51" s="22" t="n">
        <f aca="false">IF(T51="Y",0,IF(ISNUMBER(X51),IF(X51&gt;0.7,Scoring!$C$25,IF(X51&gt;=0.5,Scoring!$C$26,IF(X51&gt;=0.3,Scoring!$C$27,Scoring!$C$28))),Scoring!$C$29))</f>
        <v>10</v>
      </c>
      <c r="AE51" s="22" t="n">
        <f aca="false">IF(D51="Expiring: notice window (verified)",Scoring!$C$30,IF(OR(D51="Expired (verified)",D51="30-yr mark: notice window (est.)",D51="Year-15 window"),Scoring!$C$31,IF(D51="Expiring: 10-yr horizon (verified)",Scoring!$C$32,IF(D51="Past 30-yr mark (verify)",Scoring!$C$33,IF(OR(D51="Credit period",D51="Superseded record"),Scoring!$C$35,Scoring!$C$34)))))</f>
        <v>14</v>
      </c>
      <c r="AF51" s="22" t="n">
        <f aca="false">IF(T51="Y",0,IF(ISNUMBER(V51),IF(Scoring!$B$4-V51&gt;15,Scoring!$C$36,IF(Scoring!$B$4-V51&gt;=10,Scoring!$C$37,IF(Scoring!$B$4-V51&gt;=5,Scoring!$C$38,Scoring!$C$39))),IF(OR(N51="",D51="Out of program"),Scoring!$C$40,IF(O51&gt;15,Scoring!$C$36,IF(O51&gt;=10,Scoring!$C$37,IF(O51&gt;=5,Scoring!$C$38,Scoring!$C$39))))))</f>
        <v>15</v>
      </c>
      <c r="AG51" s="22" t="n">
        <f aca="false">IF(T51="Y",0,IF(Y51="Y",Scoring!$C$41,IF(ISNUMBER(O51),IF(O51&gt;=25,Scoring!$C$42,IF(O51&gt;=15,Scoring!$C$43,Scoring!$C$44)),Scoring!$C$44)))</f>
        <v>8</v>
      </c>
      <c r="AH51" s="22" t="n">
        <f aca="false">IF(T51="Y",0,IF(W51="",Scoring!$C$49,IFERROR(VLOOKUP(W51,Scoring!$B$45:$C$48,2,FALSE()),Scoring!$C$49)))</f>
        <v>5</v>
      </c>
      <c r="AI51" s="23" t="n">
        <f aca="false">C51+IF(ISNUMBER(J51),J51,0)/100000+(10000-ROW())/1000000000</f>
        <v>70.000489949</v>
      </c>
      <c r="AJ51" s="18"/>
      <c r="AK51" s="18"/>
      <c r="AL51" s="18"/>
      <c r="AM51" s="18"/>
    </row>
    <row r="52" customFormat="false" ht="15" hidden="false" customHeight="false" outlineLevel="0" collapsed="false">
      <c r="A52" s="15" t="n">
        <f aca="false">RANK(AI52,$AI$2:$AI$755)</f>
        <v>51</v>
      </c>
      <c r="B52" s="16" t="str">
        <f aca="false">IF(T52="Y","Superseded",IF(C52&gt;=Scoring!$B$16,"Immediate",IF(C52&gt;=Scoring!$B$17,"This week",IF(C52&gt;=Scoring!$B$18,"Nurture","Low"))))</f>
        <v>This week</v>
      </c>
      <c r="C52" s="3" t="n">
        <f aca="false">SUM(AC52:AH52)</f>
        <v>70</v>
      </c>
      <c r="D52" s="15" t="str">
        <f aca="false">IF(T52="Y","Superseded record",IF(AND(U52&lt;&gt;"",AA52&lt;0),"Expired (verified)",IF(AND(U52&lt;&gt;"",AA52&lt;=Scoring!$B$5),"Expiring: notice window (verified)",IF(AND(U52&lt;&gt;"",AA52&lt;=Scoring!$B$6),"Expiring: 10-yr horizon (verified)",IF(M52="No Longer Monitored","Out of program",IF(N52="","Unknown vintage",IF(N52&lt;Scoring!$B$12,"Pre-1990, still listed",IF(AND(U52="",AA52&lt;0),"Past 30-yr mark (verify)",IF(AND(U52="",AA52&lt;=Scoring!$B$5),"30-yr mark: notice window (est.)",IF(AND(O52&gt;=Scoring!$B$7,O52&lt;=Scoring!$B$8),"Year-15 window",IF(O52&gt;=Scoring!$B$9,"Recap window",IF(O52&gt;=11,"Late compliance","Credit period"))))))))))))</f>
        <v>30-yr mark: notice window (est.)</v>
      </c>
      <c r="E52" s="15" t="s">
        <v>305</v>
      </c>
      <c r="F52" s="15" t="s">
        <v>306</v>
      </c>
      <c r="G52" s="15" t="s">
        <v>307</v>
      </c>
      <c r="H52" s="15" t="s">
        <v>97</v>
      </c>
      <c r="I52" s="15" t="s">
        <v>260</v>
      </c>
      <c r="J52" s="15" t="n">
        <v>48</v>
      </c>
      <c r="K52" s="15" t="n">
        <v>48</v>
      </c>
      <c r="L52" s="15" t="n">
        <f aca="false">IF(OR(J52="",K52=""),"",MAX(J52-K52,0))</f>
        <v>0</v>
      </c>
      <c r="M52" s="15" t="s">
        <v>99</v>
      </c>
      <c r="N52" s="17" t="n">
        <v>1998</v>
      </c>
      <c r="O52" s="15" t="n">
        <f aca="false">IF(N52="","",Scoring!$B$4-N52)</f>
        <v>28</v>
      </c>
      <c r="P52" s="15" t="n">
        <f aca="false">IF(N52="","",N52+14)</f>
        <v>2012</v>
      </c>
      <c r="Q52" s="15" t="n">
        <f aca="false">IF(N52="","",IF(N52&lt;Scoring!$B$12,"n/a (pre-1990)",N52+Scoring!$B$13))</f>
        <v>2027</v>
      </c>
      <c r="R52" s="15" t="str">
        <f aca="false">IF(J52="","Unknown",IF(J52&gt;=5,"Yes","No (under 5 units)"))</f>
        <v>Yes</v>
      </c>
      <c r="S52" s="15"/>
      <c r="T52" s="18"/>
      <c r="U52" s="19"/>
      <c r="V52" s="18"/>
      <c r="W52" s="18"/>
      <c r="X52" s="20"/>
      <c r="Y52" s="18"/>
      <c r="Z52" s="18"/>
      <c r="AA52" s="21" t="n">
        <f aca="false">IF(U52&lt;&gt;"",(U52-Scoring!$B$3)/365.25,IF(N52="","",IF(N52&lt;Scoring!$B$12,"",(DATE(N52+Scoring!$B$13,12,31)-Scoring!$B$3)/365.25)))</f>
        <v>1.24572210814511</v>
      </c>
      <c r="AB52" s="22" t="n">
        <f aca="false">IF(T52="Y",0,IF(OR(D52="Expired (verified)",D52="Expiring: notice window (verified)",D52="Expiring: 10-yr horizon (verified)",D52="Past 30-yr mark (verify)",D52="30-yr mark: notice window (est.)",D52="Year-15 window"),1,0)+IF(ISNUMBER(O52),IF(O52&gt;=Scoring!$B$10,1,0),0)+IF(AND(ISNUMBER(L52),ISNUMBER(J52)),IF(J52&gt;0,IF(L52/J52&gt;=Scoring!$B$11,1,0),0),0)+IF(ISNUMBER(Z52),MIN(Z52,3),0))</f>
        <v>2</v>
      </c>
      <c r="AC52" s="22" t="n">
        <f aca="false">IF(AB52&gt;=3,Scoring!$C$24,IF(AB52=2,Scoring!$C$23,IF(AB52=1,Scoring!$C$22,0)))</f>
        <v>18</v>
      </c>
      <c r="AD52" s="22" t="n">
        <f aca="false">IF(T52="Y",0,IF(ISNUMBER(X52),IF(X52&gt;0.7,Scoring!$C$25,IF(X52&gt;=0.5,Scoring!$C$26,IF(X52&gt;=0.3,Scoring!$C$27,Scoring!$C$28))),Scoring!$C$29))</f>
        <v>10</v>
      </c>
      <c r="AE52" s="22" t="n">
        <f aca="false">IF(D52="Expiring: notice window (verified)",Scoring!$C$30,IF(OR(D52="Expired (verified)",D52="30-yr mark: notice window (est.)",D52="Year-15 window"),Scoring!$C$31,IF(D52="Expiring: 10-yr horizon (verified)",Scoring!$C$32,IF(D52="Past 30-yr mark (verify)",Scoring!$C$33,IF(OR(D52="Credit period",D52="Superseded record"),Scoring!$C$35,Scoring!$C$34)))))</f>
        <v>14</v>
      </c>
      <c r="AF52" s="22" t="n">
        <f aca="false">IF(T52="Y",0,IF(ISNUMBER(V52),IF(Scoring!$B$4-V52&gt;15,Scoring!$C$36,IF(Scoring!$B$4-V52&gt;=10,Scoring!$C$37,IF(Scoring!$B$4-V52&gt;=5,Scoring!$C$38,Scoring!$C$39))),IF(OR(N52="",D52="Out of program"),Scoring!$C$40,IF(O52&gt;15,Scoring!$C$36,IF(O52&gt;=10,Scoring!$C$37,IF(O52&gt;=5,Scoring!$C$38,Scoring!$C$39))))))</f>
        <v>15</v>
      </c>
      <c r="AG52" s="22" t="n">
        <f aca="false">IF(T52="Y",0,IF(Y52="Y",Scoring!$C$41,IF(ISNUMBER(O52),IF(O52&gt;=25,Scoring!$C$42,IF(O52&gt;=15,Scoring!$C$43,Scoring!$C$44)),Scoring!$C$44)))</f>
        <v>8</v>
      </c>
      <c r="AH52" s="22" t="n">
        <f aca="false">IF(T52="Y",0,IF(W52="",Scoring!$C$49,IFERROR(VLOOKUP(W52,Scoring!$B$45:$C$48,2,FALSE()),Scoring!$C$49)))</f>
        <v>5</v>
      </c>
      <c r="AI52" s="23" t="n">
        <f aca="false">C52+IF(ISNUMBER(J52),J52,0)/100000+(10000-ROW())/1000000000</f>
        <v>70.000489948</v>
      </c>
      <c r="AJ52" s="18"/>
      <c r="AK52" s="18"/>
      <c r="AL52" s="18"/>
      <c r="AM52" s="18"/>
    </row>
    <row r="53" customFormat="false" ht="15" hidden="false" customHeight="false" outlineLevel="0" collapsed="false">
      <c r="A53" s="15" t="n">
        <f aca="false">RANK(AI53,$AI$2:$AI$755)</f>
        <v>52</v>
      </c>
      <c r="B53" s="16" t="str">
        <f aca="false">IF(T53="Y","Superseded",IF(C53&gt;=Scoring!$B$16,"Immediate",IF(C53&gt;=Scoring!$B$17,"This week",IF(C53&gt;=Scoring!$B$18,"Nurture","Low"))))</f>
        <v>This week</v>
      </c>
      <c r="C53" s="3" t="n">
        <f aca="false">SUM(AC53:AH53)</f>
        <v>70</v>
      </c>
      <c r="D53" s="15" t="str">
        <f aca="false">IF(T53="Y","Superseded record",IF(AND(U53&lt;&gt;"",AA53&lt;0),"Expired (verified)",IF(AND(U53&lt;&gt;"",AA53&lt;=Scoring!$B$5),"Expiring: notice window (verified)",IF(AND(U53&lt;&gt;"",AA53&lt;=Scoring!$B$6),"Expiring: 10-yr horizon (verified)",IF(M53="No Longer Monitored","Out of program",IF(N53="","Unknown vintage",IF(N53&lt;Scoring!$B$12,"Pre-1990, still listed",IF(AND(U53="",AA53&lt;0),"Past 30-yr mark (verify)",IF(AND(U53="",AA53&lt;=Scoring!$B$5),"30-yr mark: notice window (est.)",IF(AND(O53&gt;=Scoring!$B$7,O53&lt;=Scoring!$B$8),"Year-15 window",IF(O53&gt;=Scoring!$B$9,"Recap window",IF(O53&gt;=11,"Late compliance","Credit period"))))))))))))</f>
        <v>30-yr mark: notice window (est.)</v>
      </c>
      <c r="E53" s="15" t="s">
        <v>308</v>
      </c>
      <c r="F53" s="15" t="s">
        <v>309</v>
      </c>
      <c r="G53" s="15" t="s">
        <v>310</v>
      </c>
      <c r="H53" s="15" t="s">
        <v>311</v>
      </c>
      <c r="I53" s="15" t="s">
        <v>312</v>
      </c>
      <c r="J53" s="15" t="n">
        <v>48</v>
      </c>
      <c r="K53" s="15" t="n">
        <v>48</v>
      </c>
      <c r="L53" s="15" t="n">
        <f aca="false">IF(OR(J53="",K53=""),"",MAX(J53-K53,0))</f>
        <v>0</v>
      </c>
      <c r="M53" s="15" t="s">
        <v>99</v>
      </c>
      <c r="N53" s="17" t="n">
        <v>1999</v>
      </c>
      <c r="O53" s="15" t="n">
        <f aca="false">IF(N53="","",Scoring!$B$4-N53)</f>
        <v>27</v>
      </c>
      <c r="P53" s="15" t="n">
        <f aca="false">IF(N53="","",N53+14)</f>
        <v>2013</v>
      </c>
      <c r="Q53" s="15" t="n">
        <f aca="false">IF(N53="","",IF(N53&lt;Scoring!$B$12,"n/a (pre-1990)",N53+Scoring!$B$13))</f>
        <v>2028</v>
      </c>
      <c r="R53" s="15" t="str">
        <f aca="false">IF(J53="","Unknown",IF(J53&gt;=5,"Yes","No (under 5 units)"))</f>
        <v>Yes</v>
      </c>
      <c r="S53" s="15"/>
      <c r="T53" s="18"/>
      <c r="U53" s="19"/>
      <c r="V53" s="18"/>
      <c r="W53" s="18"/>
      <c r="X53" s="20"/>
      <c r="Y53" s="18"/>
      <c r="Z53" s="18"/>
      <c r="AA53" s="21" t="n">
        <f aca="false">IF(U53&lt;&gt;"",(U53-Scoring!$B$3)/365.25,IF(N53="","",IF(N53&lt;Scoring!$B$12,"",(DATE(N53+Scoring!$B$13,12,31)-Scoring!$B$3)/365.25)))</f>
        <v>2.24777549623546</v>
      </c>
      <c r="AB53" s="22" t="n">
        <f aca="false">IF(T53="Y",0,IF(OR(D53="Expired (verified)",D53="Expiring: notice window (verified)",D53="Expiring: 10-yr horizon (verified)",D53="Past 30-yr mark (verify)",D53="30-yr mark: notice window (est.)",D53="Year-15 window"),1,0)+IF(ISNUMBER(O53),IF(O53&gt;=Scoring!$B$10,1,0),0)+IF(AND(ISNUMBER(L53),ISNUMBER(J53)),IF(J53&gt;0,IF(L53/J53&gt;=Scoring!$B$11,1,0),0),0)+IF(ISNUMBER(Z53),MIN(Z53,3),0))</f>
        <v>2</v>
      </c>
      <c r="AC53" s="22" t="n">
        <f aca="false">IF(AB53&gt;=3,Scoring!$C$24,IF(AB53=2,Scoring!$C$23,IF(AB53=1,Scoring!$C$22,0)))</f>
        <v>18</v>
      </c>
      <c r="AD53" s="22" t="n">
        <f aca="false">IF(T53="Y",0,IF(ISNUMBER(X53),IF(X53&gt;0.7,Scoring!$C$25,IF(X53&gt;=0.5,Scoring!$C$26,IF(X53&gt;=0.3,Scoring!$C$27,Scoring!$C$28))),Scoring!$C$29))</f>
        <v>10</v>
      </c>
      <c r="AE53" s="22" t="n">
        <f aca="false">IF(D53="Expiring: notice window (verified)",Scoring!$C$30,IF(OR(D53="Expired (verified)",D53="30-yr mark: notice window (est.)",D53="Year-15 window"),Scoring!$C$31,IF(D53="Expiring: 10-yr horizon (verified)",Scoring!$C$32,IF(D53="Past 30-yr mark (verify)",Scoring!$C$33,IF(OR(D53="Credit period",D53="Superseded record"),Scoring!$C$35,Scoring!$C$34)))))</f>
        <v>14</v>
      </c>
      <c r="AF53" s="22" t="n">
        <f aca="false">IF(T53="Y",0,IF(ISNUMBER(V53),IF(Scoring!$B$4-V53&gt;15,Scoring!$C$36,IF(Scoring!$B$4-V53&gt;=10,Scoring!$C$37,IF(Scoring!$B$4-V53&gt;=5,Scoring!$C$38,Scoring!$C$39))),IF(OR(N53="",D53="Out of program"),Scoring!$C$40,IF(O53&gt;15,Scoring!$C$36,IF(O53&gt;=10,Scoring!$C$37,IF(O53&gt;=5,Scoring!$C$38,Scoring!$C$39))))))</f>
        <v>15</v>
      </c>
      <c r="AG53" s="22" t="n">
        <f aca="false">IF(T53="Y",0,IF(Y53="Y",Scoring!$C$41,IF(ISNUMBER(O53),IF(O53&gt;=25,Scoring!$C$42,IF(O53&gt;=15,Scoring!$C$43,Scoring!$C$44)),Scoring!$C$44)))</f>
        <v>8</v>
      </c>
      <c r="AH53" s="22" t="n">
        <f aca="false">IF(T53="Y",0,IF(W53="",Scoring!$C$49,IFERROR(VLOOKUP(W53,Scoring!$B$45:$C$48,2,FALSE()),Scoring!$C$49)))</f>
        <v>5</v>
      </c>
      <c r="AI53" s="23" t="n">
        <f aca="false">C53+IF(ISNUMBER(J53),J53,0)/100000+(10000-ROW())/1000000000</f>
        <v>70.000489947</v>
      </c>
      <c r="AJ53" s="18"/>
      <c r="AK53" s="18"/>
      <c r="AL53" s="18"/>
      <c r="AM53" s="18"/>
    </row>
    <row r="54" customFormat="false" ht="15" hidden="false" customHeight="false" outlineLevel="0" collapsed="false">
      <c r="A54" s="15" t="n">
        <f aca="false">RANK(AI54,$AI$2:$AI$755)</f>
        <v>53</v>
      </c>
      <c r="B54" s="16" t="str">
        <f aca="false">IF(T54="Y","Superseded",IF(C54&gt;=Scoring!$B$16,"Immediate",IF(C54&gt;=Scoring!$B$17,"This week",IF(C54&gt;=Scoring!$B$18,"Nurture","Low"))))</f>
        <v>This week</v>
      </c>
      <c r="C54" s="3" t="n">
        <f aca="false">SUM(AC54:AH54)</f>
        <v>70</v>
      </c>
      <c r="D54" s="15" t="str">
        <f aca="false">IF(T54="Y","Superseded record",IF(AND(U54&lt;&gt;"",AA54&lt;0),"Expired (verified)",IF(AND(U54&lt;&gt;"",AA54&lt;=Scoring!$B$5),"Expiring: notice window (verified)",IF(AND(U54&lt;&gt;"",AA54&lt;=Scoring!$B$6),"Expiring: 10-yr horizon (verified)",IF(M54="No Longer Monitored","Out of program",IF(N54="","Unknown vintage",IF(N54&lt;Scoring!$B$12,"Pre-1990, still listed",IF(AND(U54="",AA54&lt;0),"Past 30-yr mark (verify)",IF(AND(U54="",AA54&lt;=Scoring!$B$5),"30-yr mark: notice window (est.)",IF(AND(O54&gt;=Scoring!$B$7,O54&lt;=Scoring!$B$8),"Year-15 window",IF(O54&gt;=Scoring!$B$9,"Recap window",IF(O54&gt;=11,"Late compliance","Credit period"))))))))))))</f>
        <v>30-yr mark: notice window (est.)</v>
      </c>
      <c r="E54" s="15" t="s">
        <v>313</v>
      </c>
      <c r="F54" s="15" t="s">
        <v>314</v>
      </c>
      <c r="G54" s="15" t="s">
        <v>315</v>
      </c>
      <c r="H54" s="15" t="s">
        <v>97</v>
      </c>
      <c r="I54" s="15" t="s">
        <v>260</v>
      </c>
      <c r="J54" s="15" t="n">
        <v>48</v>
      </c>
      <c r="K54" s="15" t="n">
        <v>48</v>
      </c>
      <c r="L54" s="15" t="n">
        <f aca="false">IF(OR(J54="",K54=""),"",MAX(J54-K54,0))</f>
        <v>0</v>
      </c>
      <c r="M54" s="15" t="s">
        <v>99</v>
      </c>
      <c r="N54" s="17" t="n">
        <v>1999</v>
      </c>
      <c r="O54" s="15" t="n">
        <f aca="false">IF(N54="","",Scoring!$B$4-N54)</f>
        <v>27</v>
      </c>
      <c r="P54" s="15" t="n">
        <f aca="false">IF(N54="","",N54+14)</f>
        <v>2013</v>
      </c>
      <c r="Q54" s="15" t="n">
        <f aca="false">IF(N54="","",IF(N54&lt;Scoring!$B$12,"n/a (pre-1990)",N54+Scoring!$B$13))</f>
        <v>2028</v>
      </c>
      <c r="R54" s="15" t="str">
        <f aca="false">IF(J54="","Unknown",IF(J54&gt;=5,"Yes","No (under 5 units)"))</f>
        <v>Yes</v>
      </c>
      <c r="S54" s="15"/>
      <c r="T54" s="18"/>
      <c r="U54" s="19"/>
      <c r="V54" s="18"/>
      <c r="W54" s="18"/>
      <c r="X54" s="20"/>
      <c r="Y54" s="18"/>
      <c r="Z54" s="18"/>
      <c r="AA54" s="21" t="n">
        <f aca="false">IF(U54&lt;&gt;"",(U54-Scoring!$B$3)/365.25,IF(N54="","",IF(N54&lt;Scoring!$B$12,"",(DATE(N54+Scoring!$B$13,12,31)-Scoring!$B$3)/365.25)))</f>
        <v>2.24777549623546</v>
      </c>
      <c r="AB54" s="22" t="n">
        <f aca="false">IF(T54="Y",0,IF(OR(D54="Expired (verified)",D54="Expiring: notice window (verified)",D54="Expiring: 10-yr horizon (verified)",D54="Past 30-yr mark (verify)",D54="30-yr mark: notice window (est.)",D54="Year-15 window"),1,0)+IF(ISNUMBER(O54),IF(O54&gt;=Scoring!$B$10,1,0),0)+IF(AND(ISNUMBER(L54),ISNUMBER(J54)),IF(J54&gt;0,IF(L54/J54&gt;=Scoring!$B$11,1,0),0),0)+IF(ISNUMBER(Z54),MIN(Z54,3),0))</f>
        <v>2</v>
      </c>
      <c r="AC54" s="22" t="n">
        <f aca="false">IF(AB54&gt;=3,Scoring!$C$24,IF(AB54=2,Scoring!$C$23,IF(AB54=1,Scoring!$C$22,0)))</f>
        <v>18</v>
      </c>
      <c r="AD54" s="22" t="n">
        <f aca="false">IF(T54="Y",0,IF(ISNUMBER(X54),IF(X54&gt;0.7,Scoring!$C$25,IF(X54&gt;=0.5,Scoring!$C$26,IF(X54&gt;=0.3,Scoring!$C$27,Scoring!$C$28))),Scoring!$C$29))</f>
        <v>10</v>
      </c>
      <c r="AE54" s="22" t="n">
        <f aca="false">IF(D54="Expiring: notice window (verified)",Scoring!$C$30,IF(OR(D54="Expired (verified)",D54="30-yr mark: notice window (est.)",D54="Year-15 window"),Scoring!$C$31,IF(D54="Expiring: 10-yr horizon (verified)",Scoring!$C$32,IF(D54="Past 30-yr mark (verify)",Scoring!$C$33,IF(OR(D54="Credit period",D54="Superseded record"),Scoring!$C$35,Scoring!$C$34)))))</f>
        <v>14</v>
      </c>
      <c r="AF54" s="22" t="n">
        <f aca="false">IF(T54="Y",0,IF(ISNUMBER(V54),IF(Scoring!$B$4-V54&gt;15,Scoring!$C$36,IF(Scoring!$B$4-V54&gt;=10,Scoring!$C$37,IF(Scoring!$B$4-V54&gt;=5,Scoring!$C$38,Scoring!$C$39))),IF(OR(N54="",D54="Out of program"),Scoring!$C$40,IF(O54&gt;15,Scoring!$C$36,IF(O54&gt;=10,Scoring!$C$37,IF(O54&gt;=5,Scoring!$C$38,Scoring!$C$39))))))</f>
        <v>15</v>
      </c>
      <c r="AG54" s="22" t="n">
        <f aca="false">IF(T54="Y",0,IF(Y54="Y",Scoring!$C$41,IF(ISNUMBER(O54),IF(O54&gt;=25,Scoring!$C$42,IF(O54&gt;=15,Scoring!$C$43,Scoring!$C$44)),Scoring!$C$44)))</f>
        <v>8</v>
      </c>
      <c r="AH54" s="22" t="n">
        <f aca="false">IF(T54="Y",0,IF(W54="",Scoring!$C$49,IFERROR(VLOOKUP(W54,Scoring!$B$45:$C$48,2,FALSE()),Scoring!$C$49)))</f>
        <v>5</v>
      </c>
      <c r="AI54" s="23" t="n">
        <f aca="false">C54+IF(ISNUMBER(J54),J54,0)/100000+(10000-ROW())/1000000000</f>
        <v>70.000489946</v>
      </c>
      <c r="AJ54" s="18"/>
      <c r="AK54" s="18"/>
      <c r="AL54" s="18"/>
      <c r="AM54" s="18"/>
    </row>
    <row r="55" customFormat="false" ht="15" hidden="false" customHeight="false" outlineLevel="0" collapsed="false">
      <c r="A55" s="15" t="n">
        <f aca="false">RANK(AI55,$AI$2:$AI$755)</f>
        <v>54</v>
      </c>
      <c r="B55" s="16" t="str">
        <f aca="false">IF(T55="Y","Superseded",IF(C55&gt;=Scoring!$B$16,"Immediate",IF(C55&gt;=Scoring!$B$17,"This week",IF(C55&gt;=Scoring!$B$18,"Nurture","Low"))))</f>
        <v>This week</v>
      </c>
      <c r="C55" s="3" t="n">
        <f aca="false">SUM(AC55:AH55)</f>
        <v>70</v>
      </c>
      <c r="D55" s="15" t="str">
        <f aca="false">IF(T55="Y","Superseded record",IF(AND(U55&lt;&gt;"",AA55&lt;0),"Expired (verified)",IF(AND(U55&lt;&gt;"",AA55&lt;=Scoring!$B$5),"Expiring: notice window (verified)",IF(AND(U55&lt;&gt;"",AA55&lt;=Scoring!$B$6),"Expiring: 10-yr horizon (verified)",IF(M55="No Longer Monitored","Out of program",IF(N55="","Unknown vintage",IF(N55&lt;Scoring!$B$12,"Pre-1990, still listed",IF(AND(U55="",AA55&lt;0),"Past 30-yr mark (verify)",IF(AND(U55="",AA55&lt;=Scoring!$B$5),"30-yr mark: notice window (est.)",IF(AND(O55&gt;=Scoring!$B$7,O55&lt;=Scoring!$B$8),"Year-15 window",IF(O55&gt;=Scoring!$B$9,"Recap window",IF(O55&gt;=11,"Late compliance","Credit period"))))))))))))</f>
        <v>30-yr mark: notice window (est.)</v>
      </c>
      <c r="E55" s="15" t="s">
        <v>316</v>
      </c>
      <c r="F55" s="15" t="s">
        <v>317</v>
      </c>
      <c r="G55" s="15" t="s">
        <v>318</v>
      </c>
      <c r="H55" s="15" t="s">
        <v>319</v>
      </c>
      <c r="I55" s="15" t="s">
        <v>320</v>
      </c>
      <c r="J55" s="15" t="n">
        <v>48</v>
      </c>
      <c r="K55" s="15" t="n">
        <v>48</v>
      </c>
      <c r="L55" s="15" t="n">
        <f aca="false">IF(OR(J55="",K55=""),"",MAX(J55-K55,0))</f>
        <v>0</v>
      </c>
      <c r="M55" s="15" t="s">
        <v>99</v>
      </c>
      <c r="N55" s="17" t="n">
        <v>1999</v>
      </c>
      <c r="O55" s="15" t="n">
        <f aca="false">IF(N55="","",Scoring!$B$4-N55)</f>
        <v>27</v>
      </c>
      <c r="P55" s="15" t="n">
        <f aca="false">IF(N55="","",N55+14)</f>
        <v>2013</v>
      </c>
      <c r="Q55" s="15" t="n">
        <f aca="false">IF(N55="","",IF(N55&lt;Scoring!$B$12,"n/a (pre-1990)",N55+Scoring!$B$13))</f>
        <v>2028</v>
      </c>
      <c r="R55" s="15" t="str">
        <f aca="false">IF(J55="","Unknown",IF(J55&gt;=5,"Yes","No (under 5 units)"))</f>
        <v>Yes</v>
      </c>
      <c r="S55" s="15"/>
      <c r="T55" s="18"/>
      <c r="U55" s="19"/>
      <c r="V55" s="18"/>
      <c r="W55" s="18"/>
      <c r="X55" s="20"/>
      <c r="Y55" s="18"/>
      <c r="Z55" s="18"/>
      <c r="AA55" s="21" t="n">
        <f aca="false">IF(U55&lt;&gt;"",(U55-Scoring!$B$3)/365.25,IF(N55="","",IF(N55&lt;Scoring!$B$12,"",(DATE(N55+Scoring!$B$13,12,31)-Scoring!$B$3)/365.25)))</f>
        <v>2.24777549623546</v>
      </c>
      <c r="AB55" s="22" t="n">
        <f aca="false">IF(T55="Y",0,IF(OR(D55="Expired (verified)",D55="Expiring: notice window (verified)",D55="Expiring: 10-yr horizon (verified)",D55="Past 30-yr mark (verify)",D55="30-yr mark: notice window (est.)",D55="Year-15 window"),1,0)+IF(ISNUMBER(O55),IF(O55&gt;=Scoring!$B$10,1,0),0)+IF(AND(ISNUMBER(L55),ISNUMBER(J55)),IF(J55&gt;0,IF(L55/J55&gt;=Scoring!$B$11,1,0),0),0)+IF(ISNUMBER(Z55),MIN(Z55,3),0))</f>
        <v>2</v>
      </c>
      <c r="AC55" s="22" t="n">
        <f aca="false">IF(AB55&gt;=3,Scoring!$C$24,IF(AB55=2,Scoring!$C$23,IF(AB55=1,Scoring!$C$22,0)))</f>
        <v>18</v>
      </c>
      <c r="AD55" s="22" t="n">
        <f aca="false">IF(T55="Y",0,IF(ISNUMBER(X55),IF(X55&gt;0.7,Scoring!$C$25,IF(X55&gt;=0.5,Scoring!$C$26,IF(X55&gt;=0.3,Scoring!$C$27,Scoring!$C$28))),Scoring!$C$29))</f>
        <v>10</v>
      </c>
      <c r="AE55" s="22" t="n">
        <f aca="false">IF(D55="Expiring: notice window (verified)",Scoring!$C$30,IF(OR(D55="Expired (verified)",D55="30-yr mark: notice window (est.)",D55="Year-15 window"),Scoring!$C$31,IF(D55="Expiring: 10-yr horizon (verified)",Scoring!$C$32,IF(D55="Past 30-yr mark (verify)",Scoring!$C$33,IF(OR(D55="Credit period",D55="Superseded record"),Scoring!$C$35,Scoring!$C$34)))))</f>
        <v>14</v>
      </c>
      <c r="AF55" s="22" t="n">
        <f aca="false">IF(T55="Y",0,IF(ISNUMBER(V55),IF(Scoring!$B$4-V55&gt;15,Scoring!$C$36,IF(Scoring!$B$4-V55&gt;=10,Scoring!$C$37,IF(Scoring!$B$4-V55&gt;=5,Scoring!$C$38,Scoring!$C$39))),IF(OR(N55="",D55="Out of program"),Scoring!$C$40,IF(O55&gt;15,Scoring!$C$36,IF(O55&gt;=10,Scoring!$C$37,IF(O55&gt;=5,Scoring!$C$38,Scoring!$C$39))))))</f>
        <v>15</v>
      </c>
      <c r="AG55" s="22" t="n">
        <f aca="false">IF(T55="Y",0,IF(Y55="Y",Scoring!$C$41,IF(ISNUMBER(O55),IF(O55&gt;=25,Scoring!$C$42,IF(O55&gt;=15,Scoring!$C$43,Scoring!$C$44)),Scoring!$C$44)))</f>
        <v>8</v>
      </c>
      <c r="AH55" s="22" t="n">
        <f aca="false">IF(T55="Y",0,IF(W55="",Scoring!$C$49,IFERROR(VLOOKUP(W55,Scoring!$B$45:$C$48,2,FALSE()),Scoring!$C$49)))</f>
        <v>5</v>
      </c>
      <c r="AI55" s="23" t="n">
        <f aca="false">C55+IF(ISNUMBER(J55),J55,0)/100000+(10000-ROW())/1000000000</f>
        <v>70.000489945</v>
      </c>
      <c r="AJ55" s="18"/>
      <c r="AK55" s="18"/>
      <c r="AL55" s="18"/>
      <c r="AM55" s="18"/>
    </row>
    <row r="56" customFormat="false" ht="15" hidden="false" customHeight="false" outlineLevel="0" collapsed="false">
      <c r="A56" s="15" t="n">
        <f aca="false">RANK(AI56,$AI$2:$AI$755)</f>
        <v>55</v>
      </c>
      <c r="B56" s="16" t="str">
        <f aca="false">IF(T56="Y","Superseded",IF(C56&gt;=Scoring!$B$16,"Immediate",IF(C56&gt;=Scoring!$B$17,"This week",IF(C56&gt;=Scoring!$B$18,"Nurture","Low"))))</f>
        <v>This week</v>
      </c>
      <c r="C56" s="3" t="n">
        <f aca="false">SUM(AC56:AH56)</f>
        <v>70</v>
      </c>
      <c r="D56" s="15" t="str">
        <f aca="false">IF(T56="Y","Superseded record",IF(AND(U56&lt;&gt;"",AA56&lt;0),"Expired (verified)",IF(AND(U56&lt;&gt;"",AA56&lt;=Scoring!$B$5),"Expiring: notice window (verified)",IF(AND(U56&lt;&gt;"",AA56&lt;=Scoring!$B$6),"Expiring: 10-yr horizon (verified)",IF(M56="No Longer Monitored","Out of program",IF(N56="","Unknown vintage",IF(N56&lt;Scoring!$B$12,"Pre-1990, still listed",IF(AND(U56="",AA56&lt;0),"Past 30-yr mark (verify)",IF(AND(U56="",AA56&lt;=Scoring!$B$5),"30-yr mark: notice window (est.)",IF(AND(O56&gt;=Scoring!$B$7,O56&lt;=Scoring!$B$8),"Year-15 window",IF(O56&gt;=Scoring!$B$9,"Recap window",IF(O56&gt;=11,"Late compliance","Credit period"))))))))))))</f>
        <v>30-yr mark: notice window (est.)</v>
      </c>
      <c r="E56" s="15" t="s">
        <v>321</v>
      </c>
      <c r="F56" s="15" t="s">
        <v>322</v>
      </c>
      <c r="G56" s="15" t="s">
        <v>323</v>
      </c>
      <c r="H56" s="15" t="s">
        <v>151</v>
      </c>
      <c r="I56" s="15" t="s">
        <v>280</v>
      </c>
      <c r="J56" s="15" t="n">
        <v>45</v>
      </c>
      <c r="K56" s="15" t="n">
        <v>45</v>
      </c>
      <c r="L56" s="15" t="n">
        <f aca="false">IF(OR(J56="",K56=""),"",MAX(J56-K56,0))</f>
        <v>0</v>
      </c>
      <c r="M56" s="15" t="s">
        <v>99</v>
      </c>
      <c r="N56" s="17" t="n">
        <v>1999</v>
      </c>
      <c r="O56" s="15" t="n">
        <f aca="false">IF(N56="","",Scoring!$B$4-N56)</f>
        <v>27</v>
      </c>
      <c r="P56" s="15" t="n">
        <f aca="false">IF(N56="","",N56+14)</f>
        <v>2013</v>
      </c>
      <c r="Q56" s="15" t="n">
        <f aca="false">IF(N56="","",IF(N56&lt;Scoring!$B$12,"n/a (pre-1990)",N56+Scoring!$B$13))</f>
        <v>2028</v>
      </c>
      <c r="R56" s="15" t="str">
        <f aca="false">IF(J56="","Unknown",IF(J56&gt;=5,"Yes","No (under 5 units)"))</f>
        <v>Yes</v>
      </c>
      <c r="S56" s="15"/>
      <c r="T56" s="18"/>
      <c r="U56" s="19"/>
      <c r="V56" s="18"/>
      <c r="W56" s="18"/>
      <c r="X56" s="20"/>
      <c r="Y56" s="18"/>
      <c r="Z56" s="18"/>
      <c r="AA56" s="21" t="n">
        <f aca="false">IF(U56&lt;&gt;"",(U56-Scoring!$B$3)/365.25,IF(N56="","",IF(N56&lt;Scoring!$B$12,"",(DATE(N56+Scoring!$B$13,12,31)-Scoring!$B$3)/365.25)))</f>
        <v>2.24777549623546</v>
      </c>
      <c r="AB56" s="22" t="n">
        <f aca="false">IF(T56="Y",0,IF(OR(D56="Expired (verified)",D56="Expiring: notice window (verified)",D56="Expiring: 10-yr horizon (verified)",D56="Past 30-yr mark (verify)",D56="30-yr mark: notice window (est.)",D56="Year-15 window"),1,0)+IF(ISNUMBER(O56),IF(O56&gt;=Scoring!$B$10,1,0),0)+IF(AND(ISNUMBER(L56),ISNUMBER(J56)),IF(J56&gt;0,IF(L56/J56&gt;=Scoring!$B$11,1,0),0),0)+IF(ISNUMBER(Z56),MIN(Z56,3),0))</f>
        <v>2</v>
      </c>
      <c r="AC56" s="22" t="n">
        <f aca="false">IF(AB56&gt;=3,Scoring!$C$24,IF(AB56=2,Scoring!$C$23,IF(AB56=1,Scoring!$C$22,0)))</f>
        <v>18</v>
      </c>
      <c r="AD56" s="22" t="n">
        <f aca="false">IF(T56="Y",0,IF(ISNUMBER(X56),IF(X56&gt;0.7,Scoring!$C$25,IF(X56&gt;=0.5,Scoring!$C$26,IF(X56&gt;=0.3,Scoring!$C$27,Scoring!$C$28))),Scoring!$C$29))</f>
        <v>10</v>
      </c>
      <c r="AE56" s="22" t="n">
        <f aca="false">IF(D56="Expiring: notice window (verified)",Scoring!$C$30,IF(OR(D56="Expired (verified)",D56="30-yr mark: notice window (est.)",D56="Year-15 window"),Scoring!$C$31,IF(D56="Expiring: 10-yr horizon (verified)",Scoring!$C$32,IF(D56="Past 30-yr mark (verify)",Scoring!$C$33,IF(OR(D56="Credit period",D56="Superseded record"),Scoring!$C$35,Scoring!$C$34)))))</f>
        <v>14</v>
      </c>
      <c r="AF56" s="22" t="n">
        <f aca="false">IF(T56="Y",0,IF(ISNUMBER(V56),IF(Scoring!$B$4-V56&gt;15,Scoring!$C$36,IF(Scoring!$B$4-V56&gt;=10,Scoring!$C$37,IF(Scoring!$B$4-V56&gt;=5,Scoring!$C$38,Scoring!$C$39))),IF(OR(N56="",D56="Out of program"),Scoring!$C$40,IF(O56&gt;15,Scoring!$C$36,IF(O56&gt;=10,Scoring!$C$37,IF(O56&gt;=5,Scoring!$C$38,Scoring!$C$39))))))</f>
        <v>15</v>
      </c>
      <c r="AG56" s="22" t="n">
        <f aca="false">IF(T56="Y",0,IF(Y56="Y",Scoring!$C$41,IF(ISNUMBER(O56),IF(O56&gt;=25,Scoring!$C$42,IF(O56&gt;=15,Scoring!$C$43,Scoring!$C$44)),Scoring!$C$44)))</f>
        <v>8</v>
      </c>
      <c r="AH56" s="22" t="n">
        <f aca="false">IF(T56="Y",0,IF(W56="",Scoring!$C$49,IFERROR(VLOOKUP(W56,Scoring!$B$45:$C$48,2,FALSE()),Scoring!$C$49)))</f>
        <v>5</v>
      </c>
      <c r="AI56" s="23" t="n">
        <f aca="false">C56+IF(ISNUMBER(J56),J56,0)/100000+(10000-ROW())/1000000000</f>
        <v>70.000459944</v>
      </c>
      <c r="AJ56" s="18"/>
      <c r="AK56" s="18"/>
      <c r="AL56" s="18"/>
      <c r="AM56" s="18"/>
    </row>
    <row r="57" customFormat="false" ht="15" hidden="false" customHeight="false" outlineLevel="0" collapsed="false">
      <c r="A57" s="15" t="n">
        <f aca="false">RANK(AI57,$AI$2:$AI$755)</f>
        <v>56</v>
      </c>
      <c r="B57" s="16" t="str">
        <f aca="false">IF(T57="Y","Superseded",IF(C57&gt;=Scoring!$B$16,"Immediate",IF(C57&gt;=Scoring!$B$17,"This week",IF(C57&gt;=Scoring!$B$18,"Nurture","Low"))))</f>
        <v>This week</v>
      </c>
      <c r="C57" s="3" t="n">
        <f aca="false">SUM(AC57:AH57)</f>
        <v>70</v>
      </c>
      <c r="D57" s="15" t="str">
        <f aca="false">IF(T57="Y","Superseded record",IF(AND(U57&lt;&gt;"",AA57&lt;0),"Expired (verified)",IF(AND(U57&lt;&gt;"",AA57&lt;=Scoring!$B$5),"Expiring: notice window (verified)",IF(AND(U57&lt;&gt;"",AA57&lt;=Scoring!$B$6),"Expiring: 10-yr horizon (verified)",IF(M57="No Longer Monitored","Out of program",IF(N57="","Unknown vintage",IF(N57&lt;Scoring!$B$12,"Pre-1990, still listed",IF(AND(U57="",AA57&lt;0),"Past 30-yr mark (verify)",IF(AND(U57="",AA57&lt;=Scoring!$B$5),"30-yr mark: notice window (est.)",IF(AND(O57&gt;=Scoring!$B$7,O57&lt;=Scoring!$B$8),"Year-15 window",IF(O57&gt;=Scoring!$B$9,"Recap window",IF(O57&gt;=11,"Late compliance","Credit period"))))))))))))</f>
        <v>30-yr mark: notice window (est.)</v>
      </c>
      <c r="E57" s="15" t="s">
        <v>324</v>
      </c>
      <c r="F57" s="15" t="s">
        <v>325</v>
      </c>
      <c r="G57" s="15" t="s">
        <v>326</v>
      </c>
      <c r="H57" s="15" t="s">
        <v>97</v>
      </c>
      <c r="I57" s="15" t="s">
        <v>116</v>
      </c>
      <c r="J57" s="15" t="n">
        <v>42</v>
      </c>
      <c r="K57" s="15" t="n">
        <v>42</v>
      </c>
      <c r="L57" s="15" t="n">
        <f aca="false">IF(OR(J57="",K57=""),"",MAX(J57-K57,0))</f>
        <v>0</v>
      </c>
      <c r="M57" s="15" t="s">
        <v>99</v>
      </c>
      <c r="N57" s="17" t="n">
        <v>1997</v>
      </c>
      <c r="O57" s="15" t="n">
        <f aca="false">IF(N57="","",Scoring!$B$4-N57)</f>
        <v>29</v>
      </c>
      <c r="P57" s="15" t="n">
        <f aca="false">IF(N57="","",N57+14)</f>
        <v>2011</v>
      </c>
      <c r="Q57" s="15" t="n">
        <f aca="false">IF(N57="","",IF(N57&lt;Scoring!$B$12,"n/a (pre-1990)",N57+Scoring!$B$13))</f>
        <v>2026</v>
      </c>
      <c r="R57" s="15" t="str">
        <f aca="false">IF(J57="","Unknown",IF(J57&gt;=5,"Yes","No (under 5 units)"))</f>
        <v>Yes</v>
      </c>
      <c r="S57" s="15"/>
      <c r="T57" s="18"/>
      <c r="U57" s="19"/>
      <c r="V57" s="18"/>
      <c r="W57" s="18"/>
      <c r="X57" s="20"/>
      <c r="Y57" s="18"/>
      <c r="Z57" s="18"/>
      <c r="AA57" s="21" t="n">
        <f aca="false">IF(U57&lt;&gt;"",(U57-Scoring!$B$3)/365.25,IF(N57="","",IF(N57&lt;Scoring!$B$12,"",(DATE(N57+Scoring!$B$13,12,31)-Scoring!$B$3)/365.25)))</f>
        <v>0.246406570841889</v>
      </c>
      <c r="AB57" s="22" t="n">
        <f aca="false">IF(T57="Y",0,IF(OR(D57="Expired (verified)",D57="Expiring: notice window (verified)",D57="Expiring: 10-yr horizon (verified)",D57="Past 30-yr mark (verify)",D57="30-yr mark: notice window (est.)",D57="Year-15 window"),1,0)+IF(ISNUMBER(O57),IF(O57&gt;=Scoring!$B$10,1,0),0)+IF(AND(ISNUMBER(L57),ISNUMBER(J57)),IF(J57&gt;0,IF(L57/J57&gt;=Scoring!$B$11,1,0),0),0)+IF(ISNUMBER(Z57),MIN(Z57,3),0))</f>
        <v>2</v>
      </c>
      <c r="AC57" s="22" t="n">
        <f aca="false">IF(AB57&gt;=3,Scoring!$C$24,IF(AB57=2,Scoring!$C$23,IF(AB57=1,Scoring!$C$22,0)))</f>
        <v>18</v>
      </c>
      <c r="AD57" s="22" t="n">
        <f aca="false">IF(T57="Y",0,IF(ISNUMBER(X57),IF(X57&gt;0.7,Scoring!$C$25,IF(X57&gt;=0.5,Scoring!$C$26,IF(X57&gt;=0.3,Scoring!$C$27,Scoring!$C$28))),Scoring!$C$29))</f>
        <v>10</v>
      </c>
      <c r="AE57" s="22" t="n">
        <f aca="false">IF(D57="Expiring: notice window (verified)",Scoring!$C$30,IF(OR(D57="Expired (verified)",D57="30-yr mark: notice window (est.)",D57="Year-15 window"),Scoring!$C$31,IF(D57="Expiring: 10-yr horizon (verified)",Scoring!$C$32,IF(D57="Past 30-yr mark (verify)",Scoring!$C$33,IF(OR(D57="Credit period",D57="Superseded record"),Scoring!$C$35,Scoring!$C$34)))))</f>
        <v>14</v>
      </c>
      <c r="AF57" s="22" t="n">
        <f aca="false">IF(T57="Y",0,IF(ISNUMBER(V57),IF(Scoring!$B$4-V57&gt;15,Scoring!$C$36,IF(Scoring!$B$4-V57&gt;=10,Scoring!$C$37,IF(Scoring!$B$4-V57&gt;=5,Scoring!$C$38,Scoring!$C$39))),IF(OR(N57="",D57="Out of program"),Scoring!$C$40,IF(O57&gt;15,Scoring!$C$36,IF(O57&gt;=10,Scoring!$C$37,IF(O57&gt;=5,Scoring!$C$38,Scoring!$C$39))))))</f>
        <v>15</v>
      </c>
      <c r="AG57" s="22" t="n">
        <f aca="false">IF(T57="Y",0,IF(Y57="Y",Scoring!$C$41,IF(ISNUMBER(O57),IF(O57&gt;=25,Scoring!$C$42,IF(O57&gt;=15,Scoring!$C$43,Scoring!$C$44)),Scoring!$C$44)))</f>
        <v>8</v>
      </c>
      <c r="AH57" s="22" t="n">
        <f aca="false">IF(T57="Y",0,IF(W57="",Scoring!$C$49,IFERROR(VLOOKUP(W57,Scoring!$B$45:$C$48,2,FALSE()),Scoring!$C$49)))</f>
        <v>5</v>
      </c>
      <c r="AI57" s="23" t="n">
        <f aca="false">C57+IF(ISNUMBER(J57),J57,0)/100000+(10000-ROW())/1000000000</f>
        <v>70.000429943</v>
      </c>
      <c r="AJ57" s="18"/>
      <c r="AK57" s="18"/>
      <c r="AL57" s="18"/>
      <c r="AM57" s="18"/>
    </row>
    <row r="58" customFormat="false" ht="15" hidden="false" customHeight="false" outlineLevel="0" collapsed="false">
      <c r="A58" s="15" t="n">
        <f aca="false">RANK(AI58,$AI$2:$AI$755)</f>
        <v>57</v>
      </c>
      <c r="B58" s="16" t="str">
        <f aca="false">IF(T58="Y","Superseded",IF(C58&gt;=Scoring!$B$16,"Immediate",IF(C58&gt;=Scoring!$B$17,"This week",IF(C58&gt;=Scoring!$B$18,"Nurture","Low"))))</f>
        <v>This week</v>
      </c>
      <c r="C58" s="3" t="n">
        <f aca="false">SUM(AC58:AH58)</f>
        <v>70</v>
      </c>
      <c r="D58" s="15" t="str">
        <f aca="false">IF(T58="Y","Superseded record",IF(AND(U58&lt;&gt;"",AA58&lt;0),"Expired (verified)",IF(AND(U58&lt;&gt;"",AA58&lt;=Scoring!$B$5),"Expiring: notice window (verified)",IF(AND(U58&lt;&gt;"",AA58&lt;=Scoring!$B$6),"Expiring: 10-yr horizon (verified)",IF(M58="No Longer Monitored","Out of program",IF(N58="","Unknown vintage",IF(N58&lt;Scoring!$B$12,"Pre-1990, still listed",IF(AND(U58="",AA58&lt;0),"Past 30-yr mark (verify)",IF(AND(U58="",AA58&lt;=Scoring!$B$5),"30-yr mark: notice window (est.)",IF(AND(O58&gt;=Scoring!$B$7,O58&lt;=Scoring!$B$8),"Year-15 window",IF(O58&gt;=Scoring!$B$9,"Recap window",IF(O58&gt;=11,"Late compliance","Credit period"))))))))))))</f>
        <v>30-yr mark: notice window (est.)</v>
      </c>
      <c r="E58" s="15" t="s">
        <v>327</v>
      </c>
      <c r="F58" s="15" t="s">
        <v>328</v>
      </c>
      <c r="G58" s="15" t="s">
        <v>329</v>
      </c>
      <c r="H58" s="15" t="s">
        <v>97</v>
      </c>
      <c r="I58" s="15" t="s">
        <v>330</v>
      </c>
      <c r="J58" s="15" t="n">
        <v>42</v>
      </c>
      <c r="K58" s="15" t="n">
        <v>42</v>
      </c>
      <c r="L58" s="15" t="n">
        <f aca="false">IF(OR(J58="",K58=""),"",MAX(J58-K58,0))</f>
        <v>0</v>
      </c>
      <c r="M58" s="15" t="s">
        <v>99</v>
      </c>
      <c r="N58" s="17" t="n">
        <v>1999</v>
      </c>
      <c r="O58" s="15" t="n">
        <f aca="false">IF(N58="","",Scoring!$B$4-N58)</f>
        <v>27</v>
      </c>
      <c r="P58" s="15" t="n">
        <f aca="false">IF(N58="","",N58+14)</f>
        <v>2013</v>
      </c>
      <c r="Q58" s="15" t="n">
        <f aca="false">IF(N58="","",IF(N58&lt;Scoring!$B$12,"n/a (pre-1990)",N58+Scoring!$B$13))</f>
        <v>2028</v>
      </c>
      <c r="R58" s="15" t="str">
        <f aca="false">IF(J58="","Unknown",IF(J58&gt;=5,"Yes","No (under 5 units)"))</f>
        <v>Yes</v>
      </c>
      <c r="S58" s="15"/>
      <c r="T58" s="18"/>
      <c r="U58" s="19"/>
      <c r="V58" s="18"/>
      <c r="W58" s="18"/>
      <c r="X58" s="20"/>
      <c r="Y58" s="18"/>
      <c r="Z58" s="18"/>
      <c r="AA58" s="21" t="n">
        <f aca="false">IF(U58&lt;&gt;"",(U58-Scoring!$B$3)/365.25,IF(N58="","",IF(N58&lt;Scoring!$B$12,"",(DATE(N58+Scoring!$B$13,12,31)-Scoring!$B$3)/365.25)))</f>
        <v>2.24777549623546</v>
      </c>
      <c r="AB58" s="22" t="n">
        <f aca="false">IF(T58="Y",0,IF(OR(D58="Expired (verified)",D58="Expiring: notice window (verified)",D58="Expiring: 10-yr horizon (verified)",D58="Past 30-yr mark (verify)",D58="30-yr mark: notice window (est.)",D58="Year-15 window"),1,0)+IF(ISNUMBER(O58),IF(O58&gt;=Scoring!$B$10,1,0),0)+IF(AND(ISNUMBER(L58),ISNUMBER(J58)),IF(J58&gt;0,IF(L58/J58&gt;=Scoring!$B$11,1,0),0),0)+IF(ISNUMBER(Z58),MIN(Z58,3),0))</f>
        <v>2</v>
      </c>
      <c r="AC58" s="22" t="n">
        <f aca="false">IF(AB58&gt;=3,Scoring!$C$24,IF(AB58=2,Scoring!$C$23,IF(AB58=1,Scoring!$C$22,0)))</f>
        <v>18</v>
      </c>
      <c r="AD58" s="22" t="n">
        <f aca="false">IF(T58="Y",0,IF(ISNUMBER(X58),IF(X58&gt;0.7,Scoring!$C$25,IF(X58&gt;=0.5,Scoring!$C$26,IF(X58&gt;=0.3,Scoring!$C$27,Scoring!$C$28))),Scoring!$C$29))</f>
        <v>10</v>
      </c>
      <c r="AE58" s="22" t="n">
        <f aca="false">IF(D58="Expiring: notice window (verified)",Scoring!$C$30,IF(OR(D58="Expired (verified)",D58="30-yr mark: notice window (est.)",D58="Year-15 window"),Scoring!$C$31,IF(D58="Expiring: 10-yr horizon (verified)",Scoring!$C$32,IF(D58="Past 30-yr mark (verify)",Scoring!$C$33,IF(OR(D58="Credit period",D58="Superseded record"),Scoring!$C$35,Scoring!$C$34)))))</f>
        <v>14</v>
      </c>
      <c r="AF58" s="22" t="n">
        <f aca="false">IF(T58="Y",0,IF(ISNUMBER(V58),IF(Scoring!$B$4-V58&gt;15,Scoring!$C$36,IF(Scoring!$B$4-V58&gt;=10,Scoring!$C$37,IF(Scoring!$B$4-V58&gt;=5,Scoring!$C$38,Scoring!$C$39))),IF(OR(N58="",D58="Out of program"),Scoring!$C$40,IF(O58&gt;15,Scoring!$C$36,IF(O58&gt;=10,Scoring!$C$37,IF(O58&gt;=5,Scoring!$C$38,Scoring!$C$39))))))</f>
        <v>15</v>
      </c>
      <c r="AG58" s="22" t="n">
        <f aca="false">IF(T58="Y",0,IF(Y58="Y",Scoring!$C$41,IF(ISNUMBER(O58),IF(O58&gt;=25,Scoring!$C$42,IF(O58&gt;=15,Scoring!$C$43,Scoring!$C$44)),Scoring!$C$44)))</f>
        <v>8</v>
      </c>
      <c r="AH58" s="22" t="n">
        <f aca="false">IF(T58="Y",0,IF(W58="",Scoring!$C$49,IFERROR(VLOOKUP(W58,Scoring!$B$45:$C$48,2,FALSE()),Scoring!$C$49)))</f>
        <v>5</v>
      </c>
      <c r="AI58" s="23" t="n">
        <f aca="false">C58+IF(ISNUMBER(J58),J58,0)/100000+(10000-ROW())/1000000000</f>
        <v>70.000429942</v>
      </c>
      <c r="AJ58" s="18"/>
      <c r="AK58" s="18"/>
      <c r="AL58" s="18"/>
      <c r="AM58" s="18"/>
    </row>
    <row r="59" customFormat="false" ht="15" hidden="false" customHeight="false" outlineLevel="0" collapsed="false">
      <c r="A59" s="15" t="n">
        <f aca="false">RANK(AI59,$AI$2:$AI$755)</f>
        <v>58</v>
      </c>
      <c r="B59" s="16" t="str">
        <f aca="false">IF(T59="Y","Superseded",IF(C59&gt;=Scoring!$B$16,"Immediate",IF(C59&gt;=Scoring!$B$17,"This week",IF(C59&gt;=Scoring!$B$18,"Nurture","Low"))))</f>
        <v>This week</v>
      </c>
      <c r="C59" s="3" t="n">
        <f aca="false">SUM(AC59:AH59)</f>
        <v>70</v>
      </c>
      <c r="D59" s="15" t="str">
        <f aca="false">IF(T59="Y","Superseded record",IF(AND(U59&lt;&gt;"",AA59&lt;0),"Expired (verified)",IF(AND(U59&lt;&gt;"",AA59&lt;=Scoring!$B$5),"Expiring: notice window (verified)",IF(AND(U59&lt;&gt;"",AA59&lt;=Scoring!$B$6),"Expiring: 10-yr horizon (verified)",IF(M59="No Longer Monitored","Out of program",IF(N59="","Unknown vintage",IF(N59&lt;Scoring!$B$12,"Pre-1990, still listed",IF(AND(U59="",AA59&lt;0),"Past 30-yr mark (verify)",IF(AND(U59="",AA59&lt;=Scoring!$B$5),"30-yr mark: notice window (est.)",IF(AND(O59&gt;=Scoring!$B$7,O59&lt;=Scoring!$B$8),"Year-15 window",IF(O59&gt;=Scoring!$B$9,"Recap window",IF(O59&gt;=11,"Late compliance","Credit period"))))))))))))</f>
        <v>30-yr mark: notice window (est.)</v>
      </c>
      <c r="E59" s="15" t="s">
        <v>331</v>
      </c>
      <c r="F59" s="15" t="s">
        <v>332</v>
      </c>
      <c r="G59" s="15" t="s">
        <v>333</v>
      </c>
      <c r="H59" s="15" t="s">
        <v>232</v>
      </c>
      <c r="I59" s="15" t="s">
        <v>233</v>
      </c>
      <c r="J59" s="15" t="n">
        <v>41</v>
      </c>
      <c r="K59" s="15" t="n">
        <v>41</v>
      </c>
      <c r="L59" s="15" t="n">
        <f aca="false">IF(OR(J59="",K59=""),"",MAX(J59-K59,0))</f>
        <v>0</v>
      </c>
      <c r="M59" s="15" t="s">
        <v>99</v>
      </c>
      <c r="N59" s="17" t="n">
        <v>1997</v>
      </c>
      <c r="O59" s="15" t="n">
        <f aca="false">IF(N59="","",Scoring!$B$4-N59)</f>
        <v>29</v>
      </c>
      <c r="P59" s="15" t="n">
        <f aca="false">IF(N59="","",N59+14)</f>
        <v>2011</v>
      </c>
      <c r="Q59" s="15" t="n">
        <f aca="false">IF(N59="","",IF(N59&lt;Scoring!$B$12,"n/a (pre-1990)",N59+Scoring!$B$13))</f>
        <v>2026</v>
      </c>
      <c r="R59" s="15" t="str">
        <f aca="false">IF(J59="","Unknown",IF(J59&gt;=5,"Yes","No (under 5 units)"))</f>
        <v>Yes</v>
      </c>
      <c r="S59" s="15"/>
      <c r="T59" s="18"/>
      <c r="U59" s="19"/>
      <c r="V59" s="18"/>
      <c r="W59" s="18"/>
      <c r="X59" s="20"/>
      <c r="Y59" s="18"/>
      <c r="Z59" s="18"/>
      <c r="AA59" s="21" t="n">
        <f aca="false">IF(U59&lt;&gt;"",(U59-Scoring!$B$3)/365.25,IF(N59="","",IF(N59&lt;Scoring!$B$12,"",(DATE(N59+Scoring!$B$13,12,31)-Scoring!$B$3)/365.25)))</f>
        <v>0.246406570841889</v>
      </c>
      <c r="AB59" s="22" t="n">
        <f aca="false">IF(T59="Y",0,IF(OR(D59="Expired (verified)",D59="Expiring: notice window (verified)",D59="Expiring: 10-yr horizon (verified)",D59="Past 30-yr mark (verify)",D59="30-yr mark: notice window (est.)",D59="Year-15 window"),1,0)+IF(ISNUMBER(O59),IF(O59&gt;=Scoring!$B$10,1,0),0)+IF(AND(ISNUMBER(L59),ISNUMBER(J59)),IF(J59&gt;0,IF(L59/J59&gt;=Scoring!$B$11,1,0),0),0)+IF(ISNUMBER(Z59),MIN(Z59,3),0))</f>
        <v>2</v>
      </c>
      <c r="AC59" s="22" t="n">
        <f aca="false">IF(AB59&gt;=3,Scoring!$C$24,IF(AB59=2,Scoring!$C$23,IF(AB59=1,Scoring!$C$22,0)))</f>
        <v>18</v>
      </c>
      <c r="AD59" s="22" t="n">
        <f aca="false">IF(T59="Y",0,IF(ISNUMBER(X59),IF(X59&gt;0.7,Scoring!$C$25,IF(X59&gt;=0.5,Scoring!$C$26,IF(X59&gt;=0.3,Scoring!$C$27,Scoring!$C$28))),Scoring!$C$29))</f>
        <v>10</v>
      </c>
      <c r="AE59" s="22" t="n">
        <f aca="false">IF(D59="Expiring: notice window (verified)",Scoring!$C$30,IF(OR(D59="Expired (verified)",D59="30-yr mark: notice window (est.)",D59="Year-15 window"),Scoring!$C$31,IF(D59="Expiring: 10-yr horizon (verified)",Scoring!$C$32,IF(D59="Past 30-yr mark (verify)",Scoring!$C$33,IF(OR(D59="Credit period",D59="Superseded record"),Scoring!$C$35,Scoring!$C$34)))))</f>
        <v>14</v>
      </c>
      <c r="AF59" s="22" t="n">
        <f aca="false">IF(T59="Y",0,IF(ISNUMBER(V59),IF(Scoring!$B$4-V59&gt;15,Scoring!$C$36,IF(Scoring!$B$4-V59&gt;=10,Scoring!$C$37,IF(Scoring!$B$4-V59&gt;=5,Scoring!$C$38,Scoring!$C$39))),IF(OR(N59="",D59="Out of program"),Scoring!$C$40,IF(O59&gt;15,Scoring!$C$36,IF(O59&gt;=10,Scoring!$C$37,IF(O59&gt;=5,Scoring!$C$38,Scoring!$C$39))))))</f>
        <v>15</v>
      </c>
      <c r="AG59" s="22" t="n">
        <f aca="false">IF(T59="Y",0,IF(Y59="Y",Scoring!$C$41,IF(ISNUMBER(O59),IF(O59&gt;=25,Scoring!$C$42,IF(O59&gt;=15,Scoring!$C$43,Scoring!$C$44)),Scoring!$C$44)))</f>
        <v>8</v>
      </c>
      <c r="AH59" s="22" t="n">
        <f aca="false">IF(T59="Y",0,IF(W59="",Scoring!$C$49,IFERROR(VLOOKUP(W59,Scoring!$B$45:$C$48,2,FALSE()),Scoring!$C$49)))</f>
        <v>5</v>
      </c>
      <c r="AI59" s="23" t="n">
        <f aca="false">C59+IF(ISNUMBER(J59),J59,0)/100000+(10000-ROW())/1000000000</f>
        <v>70.000419941</v>
      </c>
      <c r="AJ59" s="18"/>
      <c r="AK59" s="18"/>
      <c r="AL59" s="18"/>
      <c r="AM59" s="18"/>
    </row>
    <row r="60" customFormat="false" ht="15" hidden="false" customHeight="false" outlineLevel="0" collapsed="false">
      <c r="A60" s="15" t="n">
        <f aca="false">RANK(AI60,$AI$2:$AI$755)</f>
        <v>59</v>
      </c>
      <c r="B60" s="16" t="str">
        <f aca="false">IF(T60="Y","Superseded",IF(C60&gt;=Scoring!$B$16,"Immediate",IF(C60&gt;=Scoring!$B$17,"This week",IF(C60&gt;=Scoring!$B$18,"Nurture","Low"))))</f>
        <v>This week</v>
      </c>
      <c r="C60" s="3" t="n">
        <f aca="false">SUM(AC60:AH60)</f>
        <v>70</v>
      </c>
      <c r="D60" s="15" t="str">
        <f aca="false">IF(T60="Y","Superseded record",IF(AND(U60&lt;&gt;"",AA60&lt;0),"Expired (verified)",IF(AND(U60&lt;&gt;"",AA60&lt;=Scoring!$B$5),"Expiring: notice window (verified)",IF(AND(U60&lt;&gt;"",AA60&lt;=Scoring!$B$6),"Expiring: 10-yr horizon (verified)",IF(M60="No Longer Monitored","Out of program",IF(N60="","Unknown vintage",IF(N60&lt;Scoring!$B$12,"Pre-1990, still listed",IF(AND(U60="",AA60&lt;0),"Past 30-yr mark (verify)",IF(AND(U60="",AA60&lt;=Scoring!$B$5),"30-yr mark: notice window (est.)",IF(AND(O60&gt;=Scoring!$B$7,O60&lt;=Scoring!$B$8),"Year-15 window",IF(O60&gt;=Scoring!$B$9,"Recap window",IF(O60&gt;=11,"Late compliance","Credit period"))))))))))))</f>
        <v>30-yr mark: notice window (est.)</v>
      </c>
      <c r="E60" s="15" t="s">
        <v>334</v>
      </c>
      <c r="F60" s="15" t="s">
        <v>335</v>
      </c>
      <c r="G60" s="15" t="s">
        <v>336</v>
      </c>
      <c r="H60" s="15" t="s">
        <v>303</v>
      </c>
      <c r="I60" s="15" t="s">
        <v>304</v>
      </c>
      <c r="J60" s="15" t="n">
        <v>41</v>
      </c>
      <c r="K60" s="15" t="n">
        <v>40</v>
      </c>
      <c r="L60" s="15" t="n">
        <f aca="false">IF(OR(J60="",K60=""),"",MAX(J60-K60,0))</f>
        <v>1</v>
      </c>
      <c r="M60" s="15" t="s">
        <v>99</v>
      </c>
      <c r="N60" s="17" t="n">
        <v>1997</v>
      </c>
      <c r="O60" s="15" t="n">
        <f aca="false">IF(N60="","",Scoring!$B$4-N60)</f>
        <v>29</v>
      </c>
      <c r="P60" s="15" t="n">
        <f aca="false">IF(N60="","",N60+14)</f>
        <v>2011</v>
      </c>
      <c r="Q60" s="15" t="n">
        <f aca="false">IF(N60="","",IF(N60&lt;Scoring!$B$12,"n/a (pre-1990)",N60+Scoring!$B$13))</f>
        <v>2026</v>
      </c>
      <c r="R60" s="15" t="str">
        <f aca="false">IF(J60="","Unknown",IF(J60&gt;=5,"Yes","No (under 5 units)"))</f>
        <v>Yes</v>
      </c>
      <c r="S60" s="15"/>
      <c r="T60" s="18"/>
      <c r="U60" s="19"/>
      <c r="V60" s="18"/>
      <c r="W60" s="18"/>
      <c r="X60" s="20"/>
      <c r="Y60" s="18"/>
      <c r="Z60" s="18"/>
      <c r="AA60" s="21" t="n">
        <f aca="false">IF(U60&lt;&gt;"",(U60-Scoring!$B$3)/365.25,IF(N60="","",IF(N60&lt;Scoring!$B$12,"",(DATE(N60+Scoring!$B$13,12,31)-Scoring!$B$3)/365.25)))</f>
        <v>0.246406570841889</v>
      </c>
      <c r="AB60" s="22" t="n">
        <f aca="false">IF(T60="Y",0,IF(OR(D60="Expired (verified)",D60="Expiring: notice window (verified)",D60="Expiring: 10-yr horizon (verified)",D60="Past 30-yr mark (verify)",D60="30-yr mark: notice window (est.)",D60="Year-15 window"),1,0)+IF(ISNUMBER(O60),IF(O60&gt;=Scoring!$B$10,1,0),0)+IF(AND(ISNUMBER(L60),ISNUMBER(J60)),IF(J60&gt;0,IF(L60/J60&gt;=Scoring!$B$11,1,0),0),0)+IF(ISNUMBER(Z60),MIN(Z60,3),0))</f>
        <v>2</v>
      </c>
      <c r="AC60" s="22" t="n">
        <f aca="false">IF(AB60&gt;=3,Scoring!$C$24,IF(AB60=2,Scoring!$C$23,IF(AB60=1,Scoring!$C$22,0)))</f>
        <v>18</v>
      </c>
      <c r="AD60" s="22" t="n">
        <f aca="false">IF(T60="Y",0,IF(ISNUMBER(X60),IF(X60&gt;0.7,Scoring!$C$25,IF(X60&gt;=0.5,Scoring!$C$26,IF(X60&gt;=0.3,Scoring!$C$27,Scoring!$C$28))),Scoring!$C$29))</f>
        <v>10</v>
      </c>
      <c r="AE60" s="22" t="n">
        <f aca="false">IF(D60="Expiring: notice window (verified)",Scoring!$C$30,IF(OR(D60="Expired (verified)",D60="30-yr mark: notice window (est.)",D60="Year-15 window"),Scoring!$C$31,IF(D60="Expiring: 10-yr horizon (verified)",Scoring!$C$32,IF(D60="Past 30-yr mark (verify)",Scoring!$C$33,IF(OR(D60="Credit period",D60="Superseded record"),Scoring!$C$35,Scoring!$C$34)))))</f>
        <v>14</v>
      </c>
      <c r="AF60" s="22" t="n">
        <f aca="false">IF(T60="Y",0,IF(ISNUMBER(V60),IF(Scoring!$B$4-V60&gt;15,Scoring!$C$36,IF(Scoring!$B$4-V60&gt;=10,Scoring!$C$37,IF(Scoring!$B$4-V60&gt;=5,Scoring!$C$38,Scoring!$C$39))),IF(OR(N60="",D60="Out of program"),Scoring!$C$40,IF(O60&gt;15,Scoring!$C$36,IF(O60&gt;=10,Scoring!$C$37,IF(O60&gt;=5,Scoring!$C$38,Scoring!$C$39))))))</f>
        <v>15</v>
      </c>
      <c r="AG60" s="22" t="n">
        <f aca="false">IF(T60="Y",0,IF(Y60="Y",Scoring!$C$41,IF(ISNUMBER(O60),IF(O60&gt;=25,Scoring!$C$42,IF(O60&gt;=15,Scoring!$C$43,Scoring!$C$44)),Scoring!$C$44)))</f>
        <v>8</v>
      </c>
      <c r="AH60" s="22" t="n">
        <f aca="false">IF(T60="Y",0,IF(W60="",Scoring!$C$49,IFERROR(VLOOKUP(W60,Scoring!$B$45:$C$48,2,FALSE()),Scoring!$C$49)))</f>
        <v>5</v>
      </c>
      <c r="AI60" s="23" t="n">
        <f aca="false">C60+IF(ISNUMBER(J60),J60,0)/100000+(10000-ROW())/1000000000</f>
        <v>70.00041994</v>
      </c>
      <c r="AJ60" s="18"/>
      <c r="AK60" s="18"/>
      <c r="AL60" s="18"/>
      <c r="AM60" s="18"/>
    </row>
    <row r="61" customFormat="false" ht="15" hidden="false" customHeight="false" outlineLevel="0" collapsed="false">
      <c r="A61" s="15" t="n">
        <f aca="false">RANK(AI61,$AI$2:$AI$755)</f>
        <v>60</v>
      </c>
      <c r="B61" s="16" t="str">
        <f aca="false">IF(T61="Y","Superseded",IF(C61&gt;=Scoring!$B$16,"Immediate",IF(C61&gt;=Scoring!$B$17,"This week",IF(C61&gt;=Scoring!$B$18,"Nurture","Low"))))</f>
        <v>This week</v>
      </c>
      <c r="C61" s="3" t="n">
        <f aca="false">SUM(AC61:AH61)</f>
        <v>70</v>
      </c>
      <c r="D61" s="15" t="str">
        <f aca="false">IF(T61="Y","Superseded record",IF(AND(U61&lt;&gt;"",AA61&lt;0),"Expired (verified)",IF(AND(U61&lt;&gt;"",AA61&lt;=Scoring!$B$5),"Expiring: notice window (verified)",IF(AND(U61&lt;&gt;"",AA61&lt;=Scoring!$B$6),"Expiring: 10-yr horizon (verified)",IF(M61="No Longer Monitored","Out of program",IF(N61="","Unknown vintage",IF(N61&lt;Scoring!$B$12,"Pre-1990, still listed",IF(AND(U61="",AA61&lt;0),"Past 30-yr mark (verify)",IF(AND(U61="",AA61&lt;=Scoring!$B$5),"30-yr mark: notice window (est.)",IF(AND(O61&gt;=Scoring!$B$7,O61&lt;=Scoring!$B$8),"Year-15 window",IF(O61&gt;=Scoring!$B$9,"Recap window",IF(O61&gt;=11,"Late compliance","Credit period"))))))))))))</f>
        <v>30-yr mark: notice window (est.)</v>
      </c>
      <c r="E61" s="15" t="s">
        <v>337</v>
      </c>
      <c r="F61" s="15" t="s">
        <v>338</v>
      </c>
      <c r="G61" s="15" t="s">
        <v>339</v>
      </c>
      <c r="H61" s="15" t="s">
        <v>340</v>
      </c>
      <c r="I61" s="15" t="s">
        <v>341</v>
      </c>
      <c r="J61" s="15" t="n">
        <v>40</v>
      </c>
      <c r="K61" s="15" t="n">
        <v>40</v>
      </c>
      <c r="L61" s="15" t="n">
        <f aca="false">IF(OR(J61="",K61=""),"",MAX(J61-K61,0))</f>
        <v>0</v>
      </c>
      <c r="M61" s="15" t="s">
        <v>99</v>
      </c>
      <c r="N61" s="17" t="n">
        <v>1997</v>
      </c>
      <c r="O61" s="15" t="n">
        <f aca="false">IF(N61="","",Scoring!$B$4-N61)</f>
        <v>29</v>
      </c>
      <c r="P61" s="15" t="n">
        <f aca="false">IF(N61="","",N61+14)</f>
        <v>2011</v>
      </c>
      <c r="Q61" s="15" t="n">
        <f aca="false">IF(N61="","",IF(N61&lt;Scoring!$B$12,"n/a (pre-1990)",N61+Scoring!$B$13))</f>
        <v>2026</v>
      </c>
      <c r="R61" s="15" t="str">
        <f aca="false">IF(J61="","Unknown",IF(J61&gt;=5,"Yes","No (under 5 units)"))</f>
        <v>Yes</v>
      </c>
      <c r="S61" s="15"/>
      <c r="T61" s="18"/>
      <c r="U61" s="19"/>
      <c r="V61" s="18"/>
      <c r="W61" s="18"/>
      <c r="X61" s="20"/>
      <c r="Y61" s="18"/>
      <c r="Z61" s="18"/>
      <c r="AA61" s="21" t="n">
        <f aca="false">IF(U61&lt;&gt;"",(U61-Scoring!$B$3)/365.25,IF(N61="","",IF(N61&lt;Scoring!$B$12,"",(DATE(N61+Scoring!$B$13,12,31)-Scoring!$B$3)/365.25)))</f>
        <v>0.246406570841889</v>
      </c>
      <c r="AB61" s="22" t="n">
        <f aca="false">IF(T61="Y",0,IF(OR(D61="Expired (verified)",D61="Expiring: notice window (verified)",D61="Expiring: 10-yr horizon (verified)",D61="Past 30-yr mark (verify)",D61="30-yr mark: notice window (est.)",D61="Year-15 window"),1,0)+IF(ISNUMBER(O61),IF(O61&gt;=Scoring!$B$10,1,0),0)+IF(AND(ISNUMBER(L61),ISNUMBER(J61)),IF(J61&gt;0,IF(L61/J61&gt;=Scoring!$B$11,1,0),0),0)+IF(ISNUMBER(Z61),MIN(Z61,3),0))</f>
        <v>2</v>
      </c>
      <c r="AC61" s="22" t="n">
        <f aca="false">IF(AB61&gt;=3,Scoring!$C$24,IF(AB61=2,Scoring!$C$23,IF(AB61=1,Scoring!$C$22,0)))</f>
        <v>18</v>
      </c>
      <c r="AD61" s="22" t="n">
        <f aca="false">IF(T61="Y",0,IF(ISNUMBER(X61),IF(X61&gt;0.7,Scoring!$C$25,IF(X61&gt;=0.5,Scoring!$C$26,IF(X61&gt;=0.3,Scoring!$C$27,Scoring!$C$28))),Scoring!$C$29))</f>
        <v>10</v>
      </c>
      <c r="AE61" s="22" t="n">
        <f aca="false">IF(D61="Expiring: notice window (verified)",Scoring!$C$30,IF(OR(D61="Expired (verified)",D61="30-yr mark: notice window (est.)",D61="Year-15 window"),Scoring!$C$31,IF(D61="Expiring: 10-yr horizon (verified)",Scoring!$C$32,IF(D61="Past 30-yr mark (verify)",Scoring!$C$33,IF(OR(D61="Credit period",D61="Superseded record"),Scoring!$C$35,Scoring!$C$34)))))</f>
        <v>14</v>
      </c>
      <c r="AF61" s="22" t="n">
        <f aca="false">IF(T61="Y",0,IF(ISNUMBER(V61),IF(Scoring!$B$4-V61&gt;15,Scoring!$C$36,IF(Scoring!$B$4-V61&gt;=10,Scoring!$C$37,IF(Scoring!$B$4-V61&gt;=5,Scoring!$C$38,Scoring!$C$39))),IF(OR(N61="",D61="Out of program"),Scoring!$C$40,IF(O61&gt;15,Scoring!$C$36,IF(O61&gt;=10,Scoring!$C$37,IF(O61&gt;=5,Scoring!$C$38,Scoring!$C$39))))))</f>
        <v>15</v>
      </c>
      <c r="AG61" s="22" t="n">
        <f aca="false">IF(T61="Y",0,IF(Y61="Y",Scoring!$C$41,IF(ISNUMBER(O61),IF(O61&gt;=25,Scoring!$C$42,IF(O61&gt;=15,Scoring!$C$43,Scoring!$C$44)),Scoring!$C$44)))</f>
        <v>8</v>
      </c>
      <c r="AH61" s="22" t="n">
        <f aca="false">IF(T61="Y",0,IF(W61="",Scoring!$C$49,IFERROR(VLOOKUP(W61,Scoring!$B$45:$C$48,2,FALSE()),Scoring!$C$49)))</f>
        <v>5</v>
      </c>
      <c r="AI61" s="23" t="n">
        <f aca="false">C61+IF(ISNUMBER(J61),J61,0)/100000+(10000-ROW())/1000000000</f>
        <v>70.000409939</v>
      </c>
      <c r="AJ61" s="18"/>
      <c r="AK61" s="18"/>
      <c r="AL61" s="18"/>
      <c r="AM61" s="18"/>
    </row>
    <row r="62" customFormat="false" ht="15" hidden="false" customHeight="false" outlineLevel="0" collapsed="false">
      <c r="A62" s="15" t="n">
        <f aca="false">RANK(AI62,$AI$2:$AI$755)</f>
        <v>61</v>
      </c>
      <c r="B62" s="16" t="str">
        <f aca="false">IF(T62="Y","Superseded",IF(C62&gt;=Scoring!$B$16,"Immediate",IF(C62&gt;=Scoring!$B$17,"This week",IF(C62&gt;=Scoring!$B$18,"Nurture","Low"))))</f>
        <v>This week</v>
      </c>
      <c r="C62" s="3" t="n">
        <f aca="false">SUM(AC62:AH62)</f>
        <v>70</v>
      </c>
      <c r="D62" s="15" t="str">
        <f aca="false">IF(T62="Y","Superseded record",IF(AND(U62&lt;&gt;"",AA62&lt;0),"Expired (verified)",IF(AND(U62&lt;&gt;"",AA62&lt;=Scoring!$B$5),"Expiring: notice window (verified)",IF(AND(U62&lt;&gt;"",AA62&lt;=Scoring!$B$6),"Expiring: 10-yr horizon (verified)",IF(M62="No Longer Monitored","Out of program",IF(N62="","Unknown vintage",IF(N62&lt;Scoring!$B$12,"Pre-1990, still listed",IF(AND(U62="",AA62&lt;0),"Past 30-yr mark (verify)",IF(AND(U62="",AA62&lt;=Scoring!$B$5),"30-yr mark: notice window (est.)",IF(AND(O62&gt;=Scoring!$B$7,O62&lt;=Scoring!$B$8),"Year-15 window",IF(O62&gt;=Scoring!$B$9,"Recap window",IF(O62&gt;=11,"Late compliance","Credit period"))))))))))))</f>
        <v>30-yr mark: notice window (est.)</v>
      </c>
      <c r="E62" s="15" t="s">
        <v>342</v>
      </c>
      <c r="F62" s="15" t="s">
        <v>343</v>
      </c>
      <c r="G62" s="15" t="s">
        <v>344</v>
      </c>
      <c r="H62" s="15" t="s">
        <v>345</v>
      </c>
      <c r="I62" s="15" t="s">
        <v>346</v>
      </c>
      <c r="J62" s="15" t="n">
        <v>40</v>
      </c>
      <c r="K62" s="15" t="n">
        <v>40</v>
      </c>
      <c r="L62" s="15" t="n">
        <f aca="false">IF(OR(J62="",K62=""),"",MAX(J62-K62,0))</f>
        <v>0</v>
      </c>
      <c r="M62" s="15" t="s">
        <v>99</v>
      </c>
      <c r="N62" s="17" t="n">
        <v>1999</v>
      </c>
      <c r="O62" s="15" t="n">
        <f aca="false">IF(N62="","",Scoring!$B$4-N62)</f>
        <v>27</v>
      </c>
      <c r="P62" s="15" t="n">
        <f aca="false">IF(N62="","",N62+14)</f>
        <v>2013</v>
      </c>
      <c r="Q62" s="15" t="n">
        <f aca="false">IF(N62="","",IF(N62&lt;Scoring!$B$12,"n/a (pre-1990)",N62+Scoring!$B$13))</f>
        <v>2028</v>
      </c>
      <c r="R62" s="15" t="str">
        <f aca="false">IF(J62="","Unknown",IF(J62&gt;=5,"Yes","No (under 5 units)"))</f>
        <v>Yes</v>
      </c>
      <c r="S62" s="15"/>
      <c r="T62" s="18"/>
      <c r="U62" s="19"/>
      <c r="V62" s="18"/>
      <c r="W62" s="18"/>
      <c r="X62" s="20"/>
      <c r="Y62" s="18"/>
      <c r="Z62" s="18"/>
      <c r="AA62" s="21" t="n">
        <f aca="false">IF(U62&lt;&gt;"",(U62-Scoring!$B$3)/365.25,IF(N62="","",IF(N62&lt;Scoring!$B$12,"",(DATE(N62+Scoring!$B$13,12,31)-Scoring!$B$3)/365.25)))</f>
        <v>2.24777549623546</v>
      </c>
      <c r="AB62" s="22" t="n">
        <f aca="false">IF(T62="Y",0,IF(OR(D62="Expired (verified)",D62="Expiring: notice window (verified)",D62="Expiring: 10-yr horizon (verified)",D62="Past 30-yr mark (verify)",D62="30-yr mark: notice window (est.)",D62="Year-15 window"),1,0)+IF(ISNUMBER(O62),IF(O62&gt;=Scoring!$B$10,1,0),0)+IF(AND(ISNUMBER(L62),ISNUMBER(J62)),IF(J62&gt;0,IF(L62/J62&gt;=Scoring!$B$11,1,0),0),0)+IF(ISNUMBER(Z62),MIN(Z62,3),0))</f>
        <v>2</v>
      </c>
      <c r="AC62" s="22" t="n">
        <f aca="false">IF(AB62&gt;=3,Scoring!$C$24,IF(AB62=2,Scoring!$C$23,IF(AB62=1,Scoring!$C$22,0)))</f>
        <v>18</v>
      </c>
      <c r="AD62" s="22" t="n">
        <f aca="false">IF(T62="Y",0,IF(ISNUMBER(X62),IF(X62&gt;0.7,Scoring!$C$25,IF(X62&gt;=0.5,Scoring!$C$26,IF(X62&gt;=0.3,Scoring!$C$27,Scoring!$C$28))),Scoring!$C$29))</f>
        <v>10</v>
      </c>
      <c r="AE62" s="22" t="n">
        <f aca="false">IF(D62="Expiring: notice window (verified)",Scoring!$C$30,IF(OR(D62="Expired (verified)",D62="30-yr mark: notice window (est.)",D62="Year-15 window"),Scoring!$C$31,IF(D62="Expiring: 10-yr horizon (verified)",Scoring!$C$32,IF(D62="Past 30-yr mark (verify)",Scoring!$C$33,IF(OR(D62="Credit period",D62="Superseded record"),Scoring!$C$35,Scoring!$C$34)))))</f>
        <v>14</v>
      </c>
      <c r="AF62" s="22" t="n">
        <f aca="false">IF(T62="Y",0,IF(ISNUMBER(V62),IF(Scoring!$B$4-V62&gt;15,Scoring!$C$36,IF(Scoring!$B$4-V62&gt;=10,Scoring!$C$37,IF(Scoring!$B$4-V62&gt;=5,Scoring!$C$38,Scoring!$C$39))),IF(OR(N62="",D62="Out of program"),Scoring!$C$40,IF(O62&gt;15,Scoring!$C$36,IF(O62&gt;=10,Scoring!$C$37,IF(O62&gt;=5,Scoring!$C$38,Scoring!$C$39))))))</f>
        <v>15</v>
      </c>
      <c r="AG62" s="22" t="n">
        <f aca="false">IF(T62="Y",0,IF(Y62="Y",Scoring!$C$41,IF(ISNUMBER(O62),IF(O62&gt;=25,Scoring!$C$42,IF(O62&gt;=15,Scoring!$C$43,Scoring!$C$44)),Scoring!$C$44)))</f>
        <v>8</v>
      </c>
      <c r="AH62" s="22" t="n">
        <f aca="false">IF(T62="Y",0,IF(W62="",Scoring!$C$49,IFERROR(VLOOKUP(W62,Scoring!$B$45:$C$48,2,FALSE()),Scoring!$C$49)))</f>
        <v>5</v>
      </c>
      <c r="AI62" s="23" t="n">
        <f aca="false">C62+IF(ISNUMBER(J62),J62,0)/100000+(10000-ROW())/1000000000</f>
        <v>70.000409938</v>
      </c>
      <c r="AJ62" s="18"/>
      <c r="AK62" s="18"/>
      <c r="AL62" s="18"/>
      <c r="AM62" s="18"/>
    </row>
    <row r="63" customFormat="false" ht="15" hidden="false" customHeight="false" outlineLevel="0" collapsed="false">
      <c r="A63" s="15" t="n">
        <f aca="false">RANK(AI63,$AI$2:$AI$755)</f>
        <v>62</v>
      </c>
      <c r="B63" s="16" t="str">
        <f aca="false">IF(T63="Y","Superseded",IF(C63&gt;=Scoring!$B$16,"Immediate",IF(C63&gt;=Scoring!$B$17,"This week",IF(C63&gt;=Scoring!$B$18,"Nurture","Low"))))</f>
        <v>This week</v>
      </c>
      <c r="C63" s="3" t="n">
        <f aca="false">SUM(AC63:AH63)</f>
        <v>70</v>
      </c>
      <c r="D63" s="15" t="str">
        <f aca="false">IF(T63="Y","Superseded record",IF(AND(U63&lt;&gt;"",AA63&lt;0),"Expired (verified)",IF(AND(U63&lt;&gt;"",AA63&lt;=Scoring!$B$5),"Expiring: notice window (verified)",IF(AND(U63&lt;&gt;"",AA63&lt;=Scoring!$B$6),"Expiring: 10-yr horizon (verified)",IF(M63="No Longer Monitored","Out of program",IF(N63="","Unknown vintage",IF(N63&lt;Scoring!$B$12,"Pre-1990, still listed",IF(AND(U63="",AA63&lt;0),"Past 30-yr mark (verify)",IF(AND(U63="",AA63&lt;=Scoring!$B$5),"30-yr mark: notice window (est.)",IF(AND(O63&gt;=Scoring!$B$7,O63&lt;=Scoring!$B$8),"Year-15 window",IF(O63&gt;=Scoring!$B$9,"Recap window",IF(O63&gt;=11,"Late compliance","Credit period"))))))))))))</f>
        <v>30-yr mark: notice window (est.)</v>
      </c>
      <c r="E63" s="15" t="s">
        <v>347</v>
      </c>
      <c r="F63" s="15" t="s">
        <v>348</v>
      </c>
      <c r="G63" s="15" t="s">
        <v>349</v>
      </c>
      <c r="H63" s="15" t="s">
        <v>97</v>
      </c>
      <c r="I63" s="15" t="s">
        <v>103</v>
      </c>
      <c r="J63" s="15" t="n">
        <v>40</v>
      </c>
      <c r="K63" s="15" t="n">
        <v>40</v>
      </c>
      <c r="L63" s="15" t="n">
        <f aca="false">IF(OR(J63="",K63=""),"",MAX(J63-K63,0))</f>
        <v>0</v>
      </c>
      <c r="M63" s="15" t="s">
        <v>99</v>
      </c>
      <c r="N63" s="17" t="n">
        <v>1999</v>
      </c>
      <c r="O63" s="15" t="n">
        <f aca="false">IF(N63="","",Scoring!$B$4-N63)</f>
        <v>27</v>
      </c>
      <c r="P63" s="15" t="n">
        <f aca="false">IF(N63="","",N63+14)</f>
        <v>2013</v>
      </c>
      <c r="Q63" s="15" t="n">
        <f aca="false">IF(N63="","",IF(N63&lt;Scoring!$B$12,"n/a (pre-1990)",N63+Scoring!$B$13))</f>
        <v>2028</v>
      </c>
      <c r="R63" s="15" t="str">
        <f aca="false">IF(J63="","Unknown",IF(J63&gt;=5,"Yes","No (under 5 units)"))</f>
        <v>Yes</v>
      </c>
      <c r="S63" s="15"/>
      <c r="T63" s="18"/>
      <c r="U63" s="19"/>
      <c r="V63" s="18"/>
      <c r="W63" s="18"/>
      <c r="X63" s="20"/>
      <c r="Y63" s="18"/>
      <c r="Z63" s="18"/>
      <c r="AA63" s="21" t="n">
        <f aca="false">IF(U63&lt;&gt;"",(U63-Scoring!$B$3)/365.25,IF(N63="","",IF(N63&lt;Scoring!$B$12,"",(DATE(N63+Scoring!$B$13,12,31)-Scoring!$B$3)/365.25)))</f>
        <v>2.24777549623546</v>
      </c>
      <c r="AB63" s="22" t="n">
        <f aca="false">IF(T63="Y",0,IF(OR(D63="Expired (verified)",D63="Expiring: notice window (verified)",D63="Expiring: 10-yr horizon (verified)",D63="Past 30-yr mark (verify)",D63="30-yr mark: notice window (est.)",D63="Year-15 window"),1,0)+IF(ISNUMBER(O63),IF(O63&gt;=Scoring!$B$10,1,0),0)+IF(AND(ISNUMBER(L63),ISNUMBER(J63)),IF(J63&gt;0,IF(L63/J63&gt;=Scoring!$B$11,1,0),0),0)+IF(ISNUMBER(Z63),MIN(Z63,3),0))</f>
        <v>2</v>
      </c>
      <c r="AC63" s="22" t="n">
        <f aca="false">IF(AB63&gt;=3,Scoring!$C$24,IF(AB63=2,Scoring!$C$23,IF(AB63=1,Scoring!$C$22,0)))</f>
        <v>18</v>
      </c>
      <c r="AD63" s="22" t="n">
        <f aca="false">IF(T63="Y",0,IF(ISNUMBER(X63),IF(X63&gt;0.7,Scoring!$C$25,IF(X63&gt;=0.5,Scoring!$C$26,IF(X63&gt;=0.3,Scoring!$C$27,Scoring!$C$28))),Scoring!$C$29))</f>
        <v>10</v>
      </c>
      <c r="AE63" s="22" t="n">
        <f aca="false">IF(D63="Expiring: notice window (verified)",Scoring!$C$30,IF(OR(D63="Expired (verified)",D63="30-yr mark: notice window (est.)",D63="Year-15 window"),Scoring!$C$31,IF(D63="Expiring: 10-yr horizon (verified)",Scoring!$C$32,IF(D63="Past 30-yr mark (verify)",Scoring!$C$33,IF(OR(D63="Credit period",D63="Superseded record"),Scoring!$C$35,Scoring!$C$34)))))</f>
        <v>14</v>
      </c>
      <c r="AF63" s="22" t="n">
        <f aca="false">IF(T63="Y",0,IF(ISNUMBER(V63),IF(Scoring!$B$4-V63&gt;15,Scoring!$C$36,IF(Scoring!$B$4-V63&gt;=10,Scoring!$C$37,IF(Scoring!$B$4-V63&gt;=5,Scoring!$C$38,Scoring!$C$39))),IF(OR(N63="",D63="Out of program"),Scoring!$C$40,IF(O63&gt;15,Scoring!$C$36,IF(O63&gt;=10,Scoring!$C$37,IF(O63&gt;=5,Scoring!$C$38,Scoring!$C$39))))))</f>
        <v>15</v>
      </c>
      <c r="AG63" s="22" t="n">
        <f aca="false">IF(T63="Y",0,IF(Y63="Y",Scoring!$C$41,IF(ISNUMBER(O63),IF(O63&gt;=25,Scoring!$C$42,IF(O63&gt;=15,Scoring!$C$43,Scoring!$C$44)),Scoring!$C$44)))</f>
        <v>8</v>
      </c>
      <c r="AH63" s="22" t="n">
        <f aca="false">IF(T63="Y",0,IF(W63="",Scoring!$C$49,IFERROR(VLOOKUP(W63,Scoring!$B$45:$C$48,2,FALSE()),Scoring!$C$49)))</f>
        <v>5</v>
      </c>
      <c r="AI63" s="23" t="n">
        <f aca="false">C63+IF(ISNUMBER(J63),J63,0)/100000+(10000-ROW())/1000000000</f>
        <v>70.000409937</v>
      </c>
      <c r="AJ63" s="18"/>
      <c r="AK63" s="18"/>
      <c r="AL63" s="18"/>
      <c r="AM63" s="18"/>
    </row>
    <row r="64" customFormat="false" ht="15" hidden="false" customHeight="false" outlineLevel="0" collapsed="false">
      <c r="A64" s="15" t="n">
        <f aca="false">RANK(AI64,$AI$2:$AI$755)</f>
        <v>63</v>
      </c>
      <c r="B64" s="16" t="str">
        <f aca="false">IF(T64="Y","Superseded",IF(C64&gt;=Scoring!$B$16,"Immediate",IF(C64&gt;=Scoring!$B$17,"This week",IF(C64&gt;=Scoring!$B$18,"Nurture","Low"))))</f>
        <v>This week</v>
      </c>
      <c r="C64" s="3" t="n">
        <f aca="false">SUM(AC64:AH64)</f>
        <v>70</v>
      </c>
      <c r="D64" s="15" t="str">
        <f aca="false">IF(T64="Y","Superseded record",IF(AND(U64&lt;&gt;"",AA64&lt;0),"Expired (verified)",IF(AND(U64&lt;&gt;"",AA64&lt;=Scoring!$B$5),"Expiring: notice window (verified)",IF(AND(U64&lt;&gt;"",AA64&lt;=Scoring!$B$6),"Expiring: 10-yr horizon (verified)",IF(M64="No Longer Monitored","Out of program",IF(N64="","Unknown vintage",IF(N64&lt;Scoring!$B$12,"Pre-1990, still listed",IF(AND(U64="",AA64&lt;0),"Past 30-yr mark (verify)",IF(AND(U64="",AA64&lt;=Scoring!$B$5),"30-yr mark: notice window (est.)",IF(AND(O64&gt;=Scoring!$B$7,O64&lt;=Scoring!$B$8),"Year-15 window",IF(O64&gt;=Scoring!$B$9,"Recap window",IF(O64&gt;=11,"Late compliance","Credit period"))))))))))))</f>
        <v>30-yr mark: notice window (est.)</v>
      </c>
      <c r="E64" s="15" t="s">
        <v>350</v>
      </c>
      <c r="F64" s="15" t="s">
        <v>351</v>
      </c>
      <c r="G64" s="15" t="s">
        <v>352</v>
      </c>
      <c r="H64" s="15" t="s">
        <v>353</v>
      </c>
      <c r="I64" s="15" t="s">
        <v>354</v>
      </c>
      <c r="J64" s="15" t="n">
        <v>36</v>
      </c>
      <c r="K64" s="15" t="n">
        <v>36</v>
      </c>
      <c r="L64" s="15" t="n">
        <f aca="false">IF(OR(J64="",K64=""),"",MAX(J64-K64,0))</f>
        <v>0</v>
      </c>
      <c r="M64" s="15" t="s">
        <v>99</v>
      </c>
      <c r="N64" s="17" t="n">
        <v>1997</v>
      </c>
      <c r="O64" s="15" t="n">
        <f aca="false">IF(N64="","",Scoring!$B$4-N64)</f>
        <v>29</v>
      </c>
      <c r="P64" s="15" t="n">
        <f aca="false">IF(N64="","",N64+14)</f>
        <v>2011</v>
      </c>
      <c r="Q64" s="15" t="n">
        <f aca="false">IF(N64="","",IF(N64&lt;Scoring!$B$12,"n/a (pre-1990)",N64+Scoring!$B$13))</f>
        <v>2026</v>
      </c>
      <c r="R64" s="15" t="str">
        <f aca="false">IF(J64="","Unknown",IF(J64&gt;=5,"Yes","No (under 5 units)"))</f>
        <v>Yes</v>
      </c>
      <c r="S64" s="15"/>
      <c r="T64" s="18"/>
      <c r="U64" s="19"/>
      <c r="V64" s="18"/>
      <c r="W64" s="18"/>
      <c r="X64" s="20"/>
      <c r="Y64" s="18"/>
      <c r="Z64" s="18"/>
      <c r="AA64" s="21" t="n">
        <f aca="false">IF(U64&lt;&gt;"",(U64-Scoring!$B$3)/365.25,IF(N64="","",IF(N64&lt;Scoring!$B$12,"",(DATE(N64+Scoring!$B$13,12,31)-Scoring!$B$3)/365.25)))</f>
        <v>0.246406570841889</v>
      </c>
      <c r="AB64" s="22" t="n">
        <f aca="false">IF(T64="Y",0,IF(OR(D64="Expired (verified)",D64="Expiring: notice window (verified)",D64="Expiring: 10-yr horizon (verified)",D64="Past 30-yr mark (verify)",D64="30-yr mark: notice window (est.)",D64="Year-15 window"),1,0)+IF(ISNUMBER(O64),IF(O64&gt;=Scoring!$B$10,1,0),0)+IF(AND(ISNUMBER(L64),ISNUMBER(J64)),IF(J64&gt;0,IF(L64/J64&gt;=Scoring!$B$11,1,0),0),0)+IF(ISNUMBER(Z64),MIN(Z64,3),0))</f>
        <v>2</v>
      </c>
      <c r="AC64" s="22" t="n">
        <f aca="false">IF(AB64&gt;=3,Scoring!$C$24,IF(AB64=2,Scoring!$C$23,IF(AB64=1,Scoring!$C$22,0)))</f>
        <v>18</v>
      </c>
      <c r="AD64" s="22" t="n">
        <f aca="false">IF(T64="Y",0,IF(ISNUMBER(X64),IF(X64&gt;0.7,Scoring!$C$25,IF(X64&gt;=0.5,Scoring!$C$26,IF(X64&gt;=0.3,Scoring!$C$27,Scoring!$C$28))),Scoring!$C$29))</f>
        <v>10</v>
      </c>
      <c r="AE64" s="22" t="n">
        <f aca="false">IF(D64="Expiring: notice window (verified)",Scoring!$C$30,IF(OR(D64="Expired (verified)",D64="30-yr mark: notice window (est.)",D64="Year-15 window"),Scoring!$C$31,IF(D64="Expiring: 10-yr horizon (verified)",Scoring!$C$32,IF(D64="Past 30-yr mark (verify)",Scoring!$C$33,IF(OR(D64="Credit period",D64="Superseded record"),Scoring!$C$35,Scoring!$C$34)))))</f>
        <v>14</v>
      </c>
      <c r="AF64" s="22" t="n">
        <f aca="false">IF(T64="Y",0,IF(ISNUMBER(V64),IF(Scoring!$B$4-V64&gt;15,Scoring!$C$36,IF(Scoring!$B$4-V64&gt;=10,Scoring!$C$37,IF(Scoring!$B$4-V64&gt;=5,Scoring!$C$38,Scoring!$C$39))),IF(OR(N64="",D64="Out of program"),Scoring!$C$40,IF(O64&gt;15,Scoring!$C$36,IF(O64&gt;=10,Scoring!$C$37,IF(O64&gt;=5,Scoring!$C$38,Scoring!$C$39))))))</f>
        <v>15</v>
      </c>
      <c r="AG64" s="22" t="n">
        <f aca="false">IF(T64="Y",0,IF(Y64="Y",Scoring!$C$41,IF(ISNUMBER(O64),IF(O64&gt;=25,Scoring!$C$42,IF(O64&gt;=15,Scoring!$C$43,Scoring!$C$44)),Scoring!$C$44)))</f>
        <v>8</v>
      </c>
      <c r="AH64" s="22" t="n">
        <f aca="false">IF(T64="Y",0,IF(W64="",Scoring!$C$49,IFERROR(VLOOKUP(W64,Scoring!$B$45:$C$48,2,FALSE()),Scoring!$C$49)))</f>
        <v>5</v>
      </c>
      <c r="AI64" s="23" t="n">
        <f aca="false">C64+IF(ISNUMBER(J64),J64,0)/100000+(10000-ROW())/1000000000</f>
        <v>70.000369936</v>
      </c>
      <c r="AJ64" s="18"/>
      <c r="AK64" s="18"/>
      <c r="AL64" s="18"/>
      <c r="AM64" s="18"/>
    </row>
    <row r="65" customFormat="false" ht="15" hidden="false" customHeight="false" outlineLevel="0" collapsed="false">
      <c r="A65" s="15" t="n">
        <f aca="false">RANK(AI65,$AI$2:$AI$755)</f>
        <v>64</v>
      </c>
      <c r="B65" s="16" t="str">
        <f aca="false">IF(T65="Y","Superseded",IF(C65&gt;=Scoring!$B$16,"Immediate",IF(C65&gt;=Scoring!$B$17,"This week",IF(C65&gt;=Scoring!$B$18,"Nurture","Low"))))</f>
        <v>This week</v>
      </c>
      <c r="C65" s="3" t="n">
        <f aca="false">SUM(AC65:AH65)</f>
        <v>70</v>
      </c>
      <c r="D65" s="15" t="str">
        <f aca="false">IF(T65="Y","Superseded record",IF(AND(U65&lt;&gt;"",AA65&lt;0),"Expired (verified)",IF(AND(U65&lt;&gt;"",AA65&lt;=Scoring!$B$5),"Expiring: notice window (verified)",IF(AND(U65&lt;&gt;"",AA65&lt;=Scoring!$B$6),"Expiring: 10-yr horizon (verified)",IF(M65="No Longer Monitored","Out of program",IF(N65="","Unknown vintage",IF(N65&lt;Scoring!$B$12,"Pre-1990, still listed",IF(AND(U65="",AA65&lt;0),"Past 30-yr mark (verify)",IF(AND(U65="",AA65&lt;=Scoring!$B$5),"30-yr mark: notice window (est.)",IF(AND(O65&gt;=Scoring!$B$7,O65&lt;=Scoring!$B$8),"Year-15 window",IF(O65&gt;=Scoring!$B$9,"Recap window",IF(O65&gt;=11,"Late compliance","Credit period"))))))))))))</f>
        <v>30-yr mark: notice window (est.)</v>
      </c>
      <c r="E65" s="15" t="s">
        <v>355</v>
      </c>
      <c r="F65" s="15" t="s">
        <v>356</v>
      </c>
      <c r="G65" s="15" t="s">
        <v>357</v>
      </c>
      <c r="H65" s="15" t="s">
        <v>232</v>
      </c>
      <c r="I65" s="15" t="s">
        <v>358</v>
      </c>
      <c r="J65" s="15" t="n">
        <v>36</v>
      </c>
      <c r="K65" s="15" t="n">
        <v>36</v>
      </c>
      <c r="L65" s="15" t="n">
        <f aca="false">IF(OR(J65="",K65=""),"",MAX(J65-K65,0))</f>
        <v>0</v>
      </c>
      <c r="M65" s="15" t="s">
        <v>99</v>
      </c>
      <c r="N65" s="17" t="n">
        <v>1998</v>
      </c>
      <c r="O65" s="15" t="n">
        <f aca="false">IF(N65="","",Scoring!$B$4-N65)</f>
        <v>28</v>
      </c>
      <c r="P65" s="15" t="n">
        <f aca="false">IF(N65="","",N65+14)</f>
        <v>2012</v>
      </c>
      <c r="Q65" s="15" t="n">
        <f aca="false">IF(N65="","",IF(N65&lt;Scoring!$B$12,"n/a (pre-1990)",N65+Scoring!$B$13))</f>
        <v>2027</v>
      </c>
      <c r="R65" s="15" t="str">
        <f aca="false">IF(J65="","Unknown",IF(J65&gt;=5,"Yes","No (under 5 units)"))</f>
        <v>Yes</v>
      </c>
      <c r="S65" s="15"/>
      <c r="T65" s="18"/>
      <c r="U65" s="19"/>
      <c r="V65" s="18"/>
      <c r="W65" s="18"/>
      <c r="X65" s="20"/>
      <c r="Y65" s="18"/>
      <c r="Z65" s="18"/>
      <c r="AA65" s="21" t="n">
        <f aca="false">IF(U65&lt;&gt;"",(U65-Scoring!$B$3)/365.25,IF(N65="","",IF(N65&lt;Scoring!$B$12,"",(DATE(N65+Scoring!$B$13,12,31)-Scoring!$B$3)/365.25)))</f>
        <v>1.24572210814511</v>
      </c>
      <c r="AB65" s="22" t="n">
        <f aca="false">IF(T65="Y",0,IF(OR(D65="Expired (verified)",D65="Expiring: notice window (verified)",D65="Expiring: 10-yr horizon (verified)",D65="Past 30-yr mark (verify)",D65="30-yr mark: notice window (est.)",D65="Year-15 window"),1,0)+IF(ISNUMBER(O65),IF(O65&gt;=Scoring!$B$10,1,0),0)+IF(AND(ISNUMBER(L65),ISNUMBER(J65)),IF(J65&gt;0,IF(L65/J65&gt;=Scoring!$B$11,1,0),0),0)+IF(ISNUMBER(Z65),MIN(Z65,3),0))</f>
        <v>2</v>
      </c>
      <c r="AC65" s="22" t="n">
        <f aca="false">IF(AB65&gt;=3,Scoring!$C$24,IF(AB65=2,Scoring!$C$23,IF(AB65=1,Scoring!$C$22,0)))</f>
        <v>18</v>
      </c>
      <c r="AD65" s="22" t="n">
        <f aca="false">IF(T65="Y",0,IF(ISNUMBER(X65),IF(X65&gt;0.7,Scoring!$C$25,IF(X65&gt;=0.5,Scoring!$C$26,IF(X65&gt;=0.3,Scoring!$C$27,Scoring!$C$28))),Scoring!$C$29))</f>
        <v>10</v>
      </c>
      <c r="AE65" s="22" t="n">
        <f aca="false">IF(D65="Expiring: notice window (verified)",Scoring!$C$30,IF(OR(D65="Expired (verified)",D65="30-yr mark: notice window (est.)",D65="Year-15 window"),Scoring!$C$31,IF(D65="Expiring: 10-yr horizon (verified)",Scoring!$C$32,IF(D65="Past 30-yr mark (verify)",Scoring!$C$33,IF(OR(D65="Credit period",D65="Superseded record"),Scoring!$C$35,Scoring!$C$34)))))</f>
        <v>14</v>
      </c>
      <c r="AF65" s="22" t="n">
        <f aca="false">IF(T65="Y",0,IF(ISNUMBER(V65),IF(Scoring!$B$4-V65&gt;15,Scoring!$C$36,IF(Scoring!$B$4-V65&gt;=10,Scoring!$C$37,IF(Scoring!$B$4-V65&gt;=5,Scoring!$C$38,Scoring!$C$39))),IF(OR(N65="",D65="Out of program"),Scoring!$C$40,IF(O65&gt;15,Scoring!$C$36,IF(O65&gt;=10,Scoring!$C$37,IF(O65&gt;=5,Scoring!$C$38,Scoring!$C$39))))))</f>
        <v>15</v>
      </c>
      <c r="AG65" s="22" t="n">
        <f aca="false">IF(T65="Y",0,IF(Y65="Y",Scoring!$C$41,IF(ISNUMBER(O65),IF(O65&gt;=25,Scoring!$C$42,IF(O65&gt;=15,Scoring!$C$43,Scoring!$C$44)),Scoring!$C$44)))</f>
        <v>8</v>
      </c>
      <c r="AH65" s="22" t="n">
        <f aca="false">IF(T65="Y",0,IF(W65="",Scoring!$C$49,IFERROR(VLOOKUP(W65,Scoring!$B$45:$C$48,2,FALSE()),Scoring!$C$49)))</f>
        <v>5</v>
      </c>
      <c r="AI65" s="23" t="n">
        <f aca="false">C65+IF(ISNUMBER(J65),J65,0)/100000+(10000-ROW())/1000000000</f>
        <v>70.000369935</v>
      </c>
      <c r="AJ65" s="18"/>
      <c r="AK65" s="18"/>
      <c r="AL65" s="18"/>
      <c r="AM65" s="18"/>
    </row>
    <row r="66" customFormat="false" ht="15" hidden="false" customHeight="false" outlineLevel="0" collapsed="false">
      <c r="A66" s="15" t="n">
        <f aca="false">RANK(AI66,$AI$2:$AI$755)</f>
        <v>65</v>
      </c>
      <c r="B66" s="16" t="str">
        <f aca="false">IF(T66="Y","Superseded",IF(C66&gt;=Scoring!$B$16,"Immediate",IF(C66&gt;=Scoring!$B$17,"This week",IF(C66&gt;=Scoring!$B$18,"Nurture","Low"))))</f>
        <v>This week</v>
      </c>
      <c r="C66" s="3" t="n">
        <f aca="false">SUM(AC66:AH66)</f>
        <v>70</v>
      </c>
      <c r="D66" s="15" t="str">
        <f aca="false">IF(T66="Y","Superseded record",IF(AND(U66&lt;&gt;"",AA66&lt;0),"Expired (verified)",IF(AND(U66&lt;&gt;"",AA66&lt;=Scoring!$B$5),"Expiring: notice window (verified)",IF(AND(U66&lt;&gt;"",AA66&lt;=Scoring!$B$6),"Expiring: 10-yr horizon (verified)",IF(M66="No Longer Monitored","Out of program",IF(N66="","Unknown vintage",IF(N66&lt;Scoring!$B$12,"Pre-1990, still listed",IF(AND(U66="",AA66&lt;0),"Past 30-yr mark (verify)",IF(AND(U66="",AA66&lt;=Scoring!$B$5),"30-yr mark: notice window (est.)",IF(AND(O66&gt;=Scoring!$B$7,O66&lt;=Scoring!$B$8),"Year-15 window",IF(O66&gt;=Scoring!$B$9,"Recap window",IF(O66&gt;=11,"Late compliance","Credit period"))))))))))))</f>
        <v>30-yr mark: notice window (est.)</v>
      </c>
      <c r="E66" s="15" t="s">
        <v>359</v>
      </c>
      <c r="F66" s="15" t="s">
        <v>360</v>
      </c>
      <c r="G66" s="15" t="s">
        <v>361</v>
      </c>
      <c r="H66" s="15" t="s">
        <v>97</v>
      </c>
      <c r="I66" s="15" t="s">
        <v>362</v>
      </c>
      <c r="J66" s="15" t="n">
        <v>36</v>
      </c>
      <c r="K66" s="15" t="n">
        <v>35</v>
      </c>
      <c r="L66" s="15" t="n">
        <f aca="false">IF(OR(J66="",K66=""),"",MAX(J66-K66,0))</f>
        <v>1</v>
      </c>
      <c r="M66" s="15" t="s">
        <v>99</v>
      </c>
      <c r="N66" s="17" t="n">
        <v>1999</v>
      </c>
      <c r="O66" s="15" t="n">
        <f aca="false">IF(N66="","",Scoring!$B$4-N66)</f>
        <v>27</v>
      </c>
      <c r="P66" s="15" t="n">
        <f aca="false">IF(N66="","",N66+14)</f>
        <v>2013</v>
      </c>
      <c r="Q66" s="15" t="n">
        <f aca="false">IF(N66="","",IF(N66&lt;Scoring!$B$12,"n/a (pre-1990)",N66+Scoring!$B$13))</f>
        <v>2028</v>
      </c>
      <c r="R66" s="15" t="str">
        <f aca="false">IF(J66="","Unknown",IF(J66&gt;=5,"Yes","No (under 5 units)"))</f>
        <v>Yes</v>
      </c>
      <c r="S66" s="15"/>
      <c r="T66" s="18"/>
      <c r="U66" s="19"/>
      <c r="V66" s="18"/>
      <c r="W66" s="18"/>
      <c r="X66" s="20"/>
      <c r="Y66" s="18"/>
      <c r="Z66" s="18"/>
      <c r="AA66" s="21" t="n">
        <f aca="false">IF(U66&lt;&gt;"",(U66-Scoring!$B$3)/365.25,IF(N66="","",IF(N66&lt;Scoring!$B$12,"",(DATE(N66+Scoring!$B$13,12,31)-Scoring!$B$3)/365.25)))</f>
        <v>2.24777549623546</v>
      </c>
      <c r="AB66" s="22" t="n">
        <f aca="false">IF(T66="Y",0,IF(OR(D66="Expired (verified)",D66="Expiring: notice window (verified)",D66="Expiring: 10-yr horizon (verified)",D66="Past 30-yr mark (verify)",D66="30-yr mark: notice window (est.)",D66="Year-15 window"),1,0)+IF(ISNUMBER(O66),IF(O66&gt;=Scoring!$B$10,1,0),0)+IF(AND(ISNUMBER(L66),ISNUMBER(J66)),IF(J66&gt;0,IF(L66/J66&gt;=Scoring!$B$11,1,0),0),0)+IF(ISNUMBER(Z66),MIN(Z66,3),0))</f>
        <v>2</v>
      </c>
      <c r="AC66" s="22" t="n">
        <f aca="false">IF(AB66&gt;=3,Scoring!$C$24,IF(AB66=2,Scoring!$C$23,IF(AB66=1,Scoring!$C$22,0)))</f>
        <v>18</v>
      </c>
      <c r="AD66" s="22" t="n">
        <f aca="false">IF(T66="Y",0,IF(ISNUMBER(X66),IF(X66&gt;0.7,Scoring!$C$25,IF(X66&gt;=0.5,Scoring!$C$26,IF(X66&gt;=0.3,Scoring!$C$27,Scoring!$C$28))),Scoring!$C$29))</f>
        <v>10</v>
      </c>
      <c r="AE66" s="22" t="n">
        <f aca="false">IF(D66="Expiring: notice window (verified)",Scoring!$C$30,IF(OR(D66="Expired (verified)",D66="30-yr mark: notice window (est.)",D66="Year-15 window"),Scoring!$C$31,IF(D66="Expiring: 10-yr horizon (verified)",Scoring!$C$32,IF(D66="Past 30-yr mark (verify)",Scoring!$C$33,IF(OR(D66="Credit period",D66="Superseded record"),Scoring!$C$35,Scoring!$C$34)))))</f>
        <v>14</v>
      </c>
      <c r="AF66" s="22" t="n">
        <f aca="false">IF(T66="Y",0,IF(ISNUMBER(V66),IF(Scoring!$B$4-V66&gt;15,Scoring!$C$36,IF(Scoring!$B$4-V66&gt;=10,Scoring!$C$37,IF(Scoring!$B$4-V66&gt;=5,Scoring!$C$38,Scoring!$C$39))),IF(OR(N66="",D66="Out of program"),Scoring!$C$40,IF(O66&gt;15,Scoring!$C$36,IF(O66&gt;=10,Scoring!$C$37,IF(O66&gt;=5,Scoring!$C$38,Scoring!$C$39))))))</f>
        <v>15</v>
      </c>
      <c r="AG66" s="22" t="n">
        <f aca="false">IF(T66="Y",0,IF(Y66="Y",Scoring!$C$41,IF(ISNUMBER(O66),IF(O66&gt;=25,Scoring!$C$42,IF(O66&gt;=15,Scoring!$C$43,Scoring!$C$44)),Scoring!$C$44)))</f>
        <v>8</v>
      </c>
      <c r="AH66" s="22" t="n">
        <f aca="false">IF(T66="Y",0,IF(W66="",Scoring!$C$49,IFERROR(VLOOKUP(W66,Scoring!$B$45:$C$48,2,FALSE()),Scoring!$C$49)))</f>
        <v>5</v>
      </c>
      <c r="AI66" s="23" t="n">
        <f aca="false">C66+IF(ISNUMBER(J66),J66,0)/100000+(10000-ROW())/1000000000</f>
        <v>70.000369934</v>
      </c>
      <c r="AJ66" s="18"/>
      <c r="AK66" s="18"/>
      <c r="AL66" s="18"/>
      <c r="AM66" s="18"/>
    </row>
    <row r="67" customFormat="false" ht="15" hidden="false" customHeight="false" outlineLevel="0" collapsed="false">
      <c r="A67" s="15" t="n">
        <f aca="false">RANK(AI67,$AI$2:$AI$755)</f>
        <v>66</v>
      </c>
      <c r="B67" s="16" t="str">
        <f aca="false">IF(T67="Y","Superseded",IF(C67&gt;=Scoring!$B$16,"Immediate",IF(C67&gt;=Scoring!$B$17,"This week",IF(C67&gt;=Scoring!$B$18,"Nurture","Low"))))</f>
        <v>This week</v>
      </c>
      <c r="C67" s="3" t="n">
        <f aca="false">SUM(AC67:AH67)</f>
        <v>70</v>
      </c>
      <c r="D67" s="15" t="str">
        <f aca="false">IF(T67="Y","Superseded record",IF(AND(U67&lt;&gt;"",AA67&lt;0),"Expired (verified)",IF(AND(U67&lt;&gt;"",AA67&lt;=Scoring!$B$5),"Expiring: notice window (verified)",IF(AND(U67&lt;&gt;"",AA67&lt;=Scoring!$B$6),"Expiring: 10-yr horizon (verified)",IF(M67="No Longer Monitored","Out of program",IF(N67="","Unknown vintage",IF(N67&lt;Scoring!$B$12,"Pre-1990, still listed",IF(AND(U67="",AA67&lt;0),"Past 30-yr mark (verify)",IF(AND(U67="",AA67&lt;=Scoring!$B$5),"30-yr mark: notice window (est.)",IF(AND(O67&gt;=Scoring!$B$7,O67&lt;=Scoring!$B$8),"Year-15 window",IF(O67&gt;=Scoring!$B$9,"Recap window",IF(O67&gt;=11,"Late compliance","Credit period"))))))))))))</f>
        <v>30-yr mark: notice window (est.)</v>
      </c>
      <c r="E67" s="15" t="s">
        <v>363</v>
      </c>
      <c r="F67" s="15" t="s">
        <v>364</v>
      </c>
      <c r="G67" s="15" t="s">
        <v>365</v>
      </c>
      <c r="H67" s="15" t="s">
        <v>366</v>
      </c>
      <c r="I67" s="15" t="s">
        <v>367</v>
      </c>
      <c r="J67" s="15" t="n">
        <v>34</v>
      </c>
      <c r="K67" s="15" t="n">
        <v>34</v>
      </c>
      <c r="L67" s="15" t="n">
        <f aca="false">IF(OR(J67="",K67=""),"",MAX(J67-K67,0))</f>
        <v>0</v>
      </c>
      <c r="M67" s="15" t="s">
        <v>99</v>
      </c>
      <c r="N67" s="17" t="n">
        <v>1997</v>
      </c>
      <c r="O67" s="15" t="n">
        <f aca="false">IF(N67="","",Scoring!$B$4-N67)</f>
        <v>29</v>
      </c>
      <c r="P67" s="15" t="n">
        <f aca="false">IF(N67="","",N67+14)</f>
        <v>2011</v>
      </c>
      <c r="Q67" s="15" t="n">
        <f aca="false">IF(N67="","",IF(N67&lt;Scoring!$B$12,"n/a (pre-1990)",N67+Scoring!$B$13))</f>
        <v>2026</v>
      </c>
      <c r="R67" s="15" t="str">
        <f aca="false">IF(J67="","Unknown",IF(J67&gt;=5,"Yes","No (under 5 units)"))</f>
        <v>Yes</v>
      </c>
      <c r="S67" s="15"/>
      <c r="T67" s="18"/>
      <c r="U67" s="19"/>
      <c r="V67" s="18"/>
      <c r="W67" s="18"/>
      <c r="X67" s="20"/>
      <c r="Y67" s="18"/>
      <c r="Z67" s="18"/>
      <c r="AA67" s="21" t="n">
        <f aca="false">IF(U67&lt;&gt;"",(U67-Scoring!$B$3)/365.25,IF(N67="","",IF(N67&lt;Scoring!$B$12,"",(DATE(N67+Scoring!$B$13,12,31)-Scoring!$B$3)/365.25)))</f>
        <v>0.246406570841889</v>
      </c>
      <c r="AB67" s="22" t="n">
        <f aca="false">IF(T67="Y",0,IF(OR(D67="Expired (verified)",D67="Expiring: notice window (verified)",D67="Expiring: 10-yr horizon (verified)",D67="Past 30-yr mark (verify)",D67="30-yr mark: notice window (est.)",D67="Year-15 window"),1,0)+IF(ISNUMBER(O67),IF(O67&gt;=Scoring!$B$10,1,0),0)+IF(AND(ISNUMBER(L67),ISNUMBER(J67)),IF(J67&gt;0,IF(L67/J67&gt;=Scoring!$B$11,1,0),0),0)+IF(ISNUMBER(Z67),MIN(Z67,3),0))</f>
        <v>2</v>
      </c>
      <c r="AC67" s="22" t="n">
        <f aca="false">IF(AB67&gt;=3,Scoring!$C$24,IF(AB67=2,Scoring!$C$23,IF(AB67=1,Scoring!$C$22,0)))</f>
        <v>18</v>
      </c>
      <c r="AD67" s="22" t="n">
        <f aca="false">IF(T67="Y",0,IF(ISNUMBER(X67),IF(X67&gt;0.7,Scoring!$C$25,IF(X67&gt;=0.5,Scoring!$C$26,IF(X67&gt;=0.3,Scoring!$C$27,Scoring!$C$28))),Scoring!$C$29))</f>
        <v>10</v>
      </c>
      <c r="AE67" s="22" t="n">
        <f aca="false">IF(D67="Expiring: notice window (verified)",Scoring!$C$30,IF(OR(D67="Expired (verified)",D67="30-yr mark: notice window (est.)",D67="Year-15 window"),Scoring!$C$31,IF(D67="Expiring: 10-yr horizon (verified)",Scoring!$C$32,IF(D67="Past 30-yr mark (verify)",Scoring!$C$33,IF(OR(D67="Credit period",D67="Superseded record"),Scoring!$C$35,Scoring!$C$34)))))</f>
        <v>14</v>
      </c>
      <c r="AF67" s="22" t="n">
        <f aca="false">IF(T67="Y",0,IF(ISNUMBER(V67),IF(Scoring!$B$4-V67&gt;15,Scoring!$C$36,IF(Scoring!$B$4-V67&gt;=10,Scoring!$C$37,IF(Scoring!$B$4-V67&gt;=5,Scoring!$C$38,Scoring!$C$39))),IF(OR(N67="",D67="Out of program"),Scoring!$C$40,IF(O67&gt;15,Scoring!$C$36,IF(O67&gt;=10,Scoring!$C$37,IF(O67&gt;=5,Scoring!$C$38,Scoring!$C$39))))))</f>
        <v>15</v>
      </c>
      <c r="AG67" s="22" t="n">
        <f aca="false">IF(T67="Y",0,IF(Y67="Y",Scoring!$C$41,IF(ISNUMBER(O67),IF(O67&gt;=25,Scoring!$C$42,IF(O67&gt;=15,Scoring!$C$43,Scoring!$C$44)),Scoring!$C$44)))</f>
        <v>8</v>
      </c>
      <c r="AH67" s="22" t="n">
        <f aca="false">IF(T67="Y",0,IF(W67="",Scoring!$C$49,IFERROR(VLOOKUP(W67,Scoring!$B$45:$C$48,2,FALSE()),Scoring!$C$49)))</f>
        <v>5</v>
      </c>
      <c r="AI67" s="23" t="n">
        <f aca="false">C67+IF(ISNUMBER(J67),J67,0)/100000+(10000-ROW())/1000000000</f>
        <v>70.000349933</v>
      </c>
      <c r="AJ67" s="18"/>
      <c r="AK67" s="18"/>
      <c r="AL67" s="18"/>
      <c r="AM67" s="18"/>
    </row>
    <row r="68" customFormat="false" ht="15" hidden="false" customHeight="false" outlineLevel="0" collapsed="false">
      <c r="A68" s="15" t="n">
        <f aca="false">RANK(AI68,$AI$2:$AI$755)</f>
        <v>67</v>
      </c>
      <c r="B68" s="16" t="str">
        <f aca="false">IF(T68="Y","Superseded",IF(C68&gt;=Scoring!$B$16,"Immediate",IF(C68&gt;=Scoring!$B$17,"This week",IF(C68&gt;=Scoring!$B$18,"Nurture","Low"))))</f>
        <v>This week</v>
      </c>
      <c r="C68" s="3" t="n">
        <f aca="false">SUM(AC68:AH68)</f>
        <v>70</v>
      </c>
      <c r="D68" s="15" t="str">
        <f aca="false">IF(T68="Y","Superseded record",IF(AND(U68&lt;&gt;"",AA68&lt;0),"Expired (verified)",IF(AND(U68&lt;&gt;"",AA68&lt;=Scoring!$B$5),"Expiring: notice window (verified)",IF(AND(U68&lt;&gt;"",AA68&lt;=Scoring!$B$6),"Expiring: 10-yr horizon (verified)",IF(M68="No Longer Monitored","Out of program",IF(N68="","Unknown vintage",IF(N68&lt;Scoring!$B$12,"Pre-1990, still listed",IF(AND(U68="",AA68&lt;0),"Past 30-yr mark (verify)",IF(AND(U68="",AA68&lt;=Scoring!$B$5),"30-yr mark: notice window (est.)",IF(AND(O68&gt;=Scoring!$B$7,O68&lt;=Scoring!$B$8),"Year-15 window",IF(O68&gt;=Scoring!$B$9,"Recap window",IF(O68&gt;=11,"Late compliance","Credit period"))))))))))))</f>
        <v>30-yr mark: notice window (est.)</v>
      </c>
      <c r="E68" s="15" t="s">
        <v>368</v>
      </c>
      <c r="F68" s="15" t="s">
        <v>369</v>
      </c>
      <c r="G68" s="15" t="s">
        <v>370</v>
      </c>
      <c r="H68" s="15" t="s">
        <v>120</v>
      </c>
      <c r="I68" s="15" t="s">
        <v>121</v>
      </c>
      <c r="J68" s="15" t="n">
        <v>32</v>
      </c>
      <c r="K68" s="15" t="n">
        <v>32</v>
      </c>
      <c r="L68" s="15" t="n">
        <f aca="false">IF(OR(J68="",K68=""),"",MAX(J68-K68,0))</f>
        <v>0</v>
      </c>
      <c r="M68" s="15" t="s">
        <v>99</v>
      </c>
      <c r="N68" s="17" t="n">
        <v>1997</v>
      </c>
      <c r="O68" s="15" t="n">
        <f aca="false">IF(N68="","",Scoring!$B$4-N68)</f>
        <v>29</v>
      </c>
      <c r="P68" s="15" t="n">
        <f aca="false">IF(N68="","",N68+14)</f>
        <v>2011</v>
      </c>
      <c r="Q68" s="15" t="n">
        <f aca="false">IF(N68="","",IF(N68&lt;Scoring!$B$12,"n/a (pre-1990)",N68+Scoring!$B$13))</f>
        <v>2026</v>
      </c>
      <c r="R68" s="15" t="str">
        <f aca="false">IF(J68="","Unknown",IF(J68&gt;=5,"Yes","No (under 5 units)"))</f>
        <v>Yes</v>
      </c>
      <c r="S68" s="15"/>
      <c r="T68" s="18"/>
      <c r="U68" s="19"/>
      <c r="V68" s="18"/>
      <c r="W68" s="18"/>
      <c r="X68" s="20"/>
      <c r="Y68" s="18"/>
      <c r="Z68" s="18"/>
      <c r="AA68" s="21" t="n">
        <f aca="false">IF(U68&lt;&gt;"",(U68-Scoring!$B$3)/365.25,IF(N68="","",IF(N68&lt;Scoring!$B$12,"",(DATE(N68+Scoring!$B$13,12,31)-Scoring!$B$3)/365.25)))</f>
        <v>0.246406570841889</v>
      </c>
      <c r="AB68" s="22" t="n">
        <f aca="false">IF(T68="Y",0,IF(OR(D68="Expired (verified)",D68="Expiring: notice window (verified)",D68="Expiring: 10-yr horizon (verified)",D68="Past 30-yr mark (verify)",D68="30-yr mark: notice window (est.)",D68="Year-15 window"),1,0)+IF(ISNUMBER(O68),IF(O68&gt;=Scoring!$B$10,1,0),0)+IF(AND(ISNUMBER(L68),ISNUMBER(J68)),IF(J68&gt;0,IF(L68/J68&gt;=Scoring!$B$11,1,0),0),0)+IF(ISNUMBER(Z68),MIN(Z68,3),0))</f>
        <v>2</v>
      </c>
      <c r="AC68" s="22" t="n">
        <f aca="false">IF(AB68&gt;=3,Scoring!$C$24,IF(AB68=2,Scoring!$C$23,IF(AB68=1,Scoring!$C$22,0)))</f>
        <v>18</v>
      </c>
      <c r="AD68" s="22" t="n">
        <f aca="false">IF(T68="Y",0,IF(ISNUMBER(X68),IF(X68&gt;0.7,Scoring!$C$25,IF(X68&gt;=0.5,Scoring!$C$26,IF(X68&gt;=0.3,Scoring!$C$27,Scoring!$C$28))),Scoring!$C$29))</f>
        <v>10</v>
      </c>
      <c r="AE68" s="22" t="n">
        <f aca="false">IF(D68="Expiring: notice window (verified)",Scoring!$C$30,IF(OR(D68="Expired (verified)",D68="30-yr mark: notice window (est.)",D68="Year-15 window"),Scoring!$C$31,IF(D68="Expiring: 10-yr horizon (verified)",Scoring!$C$32,IF(D68="Past 30-yr mark (verify)",Scoring!$C$33,IF(OR(D68="Credit period",D68="Superseded record"),Scoring!$C$35,Scoring!$C$34)))))</f>
        <v>14</v>
      </c>
      <c r="AF68" s="22" t="n">
        <f aca="false">IF(T68="Y",0,IF(ISNUMBER(V68),IF(Scoring!$B$4-V68&gt;15,Scoring!$C$36,IF(Scoring!$B$4-V68&gt;=10,Scoring!$C$37,IF(Scoring!$B$4-V68&gt;=5,Scoring!$C$38,Scoring!$C$39))),IF(OR(N68="",D68="Out of program"),Scoring!$C$40,IF(O68&gt;15,Scoring!$C$36,IF(O68&gt;=10,Scoring!$C$37,IF(O68&gt;=5,Scoring!$C$38,Scoring!$C$39))))))</f>
        <v>15</v>
      </c>
      <c r="AG68" s="22" t="n">
        <f aca="false">IF(T68="Y",0,IF(Y68="Y",Scoring!$C$41,IF(ISNUMBER(O68),IF(O68&gt;=25,Scoring!$C$42,IF(O68&gt;=15,Scoring!$C$43,Scoring!$C$44)),Scoring!$C$44)))</f>
        <v>8</v>
      </c>
      <c r="AH68" s="22" t="n">
        <f aca="false">IF(T68="Y",0,IF(W68="",Scoring!$C$49,IFERROR(VLOOKUP(W68,Scoring!$B$45:$C$48,2,FALSE()),Scoring!$C$49)))</f>
        <v>5</v>
      </c>
      <c r="AI68" s="23" t="n">
        <f aca="false">C68+IF(ISNUMBER(J68),J68,0)/100000+(10000-ROW())/1000000000</f>
        <v>70.000329932</v>
      </c>
      <c r="AJ68" s="18"/>
      <c r="AK68" s="18"/>
      <c r="AL68" s="18"/>
      <c r="AM68" s="18"/>
    </row>
    <row r="69" customFormat="false" ht="15" hidden="false" customHeight="false" outlineLevel="0" collapsed="false">
      <c r="A69" s="15" t="n">
        <f aca="false">RANK(AI69,$AI$2:$AI$755)</f>
        <v>68</v>
      </c>
      <c r="B69" s="16" t="str">
        <f aca="false">IF(T69="Y","Superseded",IF(C69&gt;=Scoring!$B$16,"Immediate",IF(C69&gt;=Scoring!$B$17,"This week",IF(C69&gt;=Scoring!$B$18,"Nurture","Low"))))</f>
        <v>This week</v>
      </c>
      <c r="C69" s="3" t="n">
        <f aca="false">SUM(AC69:AH69)</f>
        <v>70</v>
      </c>
      <c r="D69" s="15" t="str">
        <f aca="false">IF(T69="Y","Superseded record",IF(AND(U69&lt;&gt;"",AA69&lt;0),"Expired (verified)",IF(AND(U69&lt;&gt;"",AA69&lt;=Scoring!$B$5),"Expiring: notice window (verified)",IF(AND(U69&lt;&gt;"",AA69&lt;=Scoring!$B$6),"Expiring: 10-yr horizon (verified)",IF(M69="No Longer Monitored","Out of program",IF(N69="","Unknown vintage",IF(N69&lt;Scoring!$B$12,"Pre-1990, still listed",IF(AND(U69="",AA69&lt;0),"Past 30-yr mark (verify)",IF(AND(U69="",AA69&lt;=Scoring!$B$5),"30-yr mark: notice window (est.)",IF(AND(O69&gt;=Scoring!$B$7,O69&lt;=Scoring!$B$8),"Year-15 window",IF(O69&gt;=Scoring!$B$9,"Recap window",IF(O69&gt;=11,"Late compliance","Credit period"))))))))))))</f>
        <v>30-yr mark: notice window (est.)</v>
      </c>
      <c r="E69" s="15" t="s">
        <v>371</v>
      </c>
      <c r="F69" s="15" t="s">
        <v>372</v>
      </c>
      <c r="G69" s="15" t="s">
        <v>373</v>
      </c>
      <c r="H69" s="15" t="s">
        <v>374</v>
      </c>
      <c r="I69" s="15" t="s">
        <v>375</v>
      </c>
      <c r="J69" s="15" t="n">
        <v>32</v>
      </c>
      <c r="K69" s="15" t="n">
        <v>31</v>
      </c>
      <c r="L69" s="15" t="n">
        <f aca="false">IF(OR(J69="",K69=""),"",MAX(J69-K69,0))</f>
        <v>1</v>
      </c>
      <c r="M69" s="15" t="s">
        <v>99</v>
      </c>
      <c r="N69" s="17" t="n">
        <v>1998</v>
      </c>
      <c r="O69" s="15" t="n">
        <f aca="false">IF(N69="","",Scoring!$B$4-N69)</f>
        <v>28</v>
      </c>
      <c r="P69" s="15" t="n">
        <f aca="false">IF(N69="","",N69+14)</f>
        <v>2012</v>
      </c>
      <c r="Q69" s="15" t="n">
        <f aca="false">IF(N69="","",IF(N69&lt;Scoring!$B$12,"n/a (pre-1990)",N69+Scoring!$B$13))</f>
        <v>2027</v>
      </c>
      <c r="R69" s="15" t="str">
        <f aca="false">IF(J69="","Unknown",IF(J69&gt;=5,"Yes","No (under 5 units)"))</f>
        <v>Yes</v>
      </c>
      <c r="S69" s="15"/>
      <c r="T69" s="18"/>
      <c r="U69" s="19"/>
      <c r="V69" s="18"/>
      <c r="W69" s="18"/>
      <c r="X69" s="20"/>
      <c r="Y69" s="18"/>
      <c r="Z69" s="18"/>
      <c r="AA69" s="21" t="n">
        <f aca="false">IF(U69&lt;&gt;"",(U69-Scoring!$B$3)/365.25,IF(N69="","",IF(N69&lt;Scoring!$B$12,"",(DATE(N69+Scoring!$B$13,12,31)-Scoring!$B$3)/365.25)))</f>
        <v>1.24572210814511</v>
      </c>
      <c r="AB69" s="22" t="n">
        <f aca="false">IF(T69="Y",0,IF(OR(D69="Expired (verified)",D69="Expiring: notice window (verified)",D69="Expiring: 10-yr horizon (verified)",D69="Past 30-yr mark (verify)",D69="30-yr mark: notice window (est.)",D69="Year-15 window"),1,0)+IF(ISNUMBER(O69),IF(O69&gt;=Scoring!$B$10,1,0),0)+IF(AND(ISNUMBER(L69),ISNUMBER(J69)),IF(J69&gt;0,IF(L69/J69&gt;=Scoring!$B$11,1,0),0),0)+IF(ISNUMBER(Z69),MIN(Z69,3),0))</f>
        <v>2</v>
      </c>
      <c r="AC69" s="22" t="n">
        <f aca="false">IF(AB69&gt;=3,Scoring!$C$24,IF(AB69=2,Scoring!$C$23,IF(AB69=1,Scoring!$C$22,0)))</f>
        <v>18</v>
      </c>
      <c r="AD69" s="22" t="n">
        <f aca="false">IF(T69="Y",0,IF(ISNUMBER(X69),IF(X69&gt;0.7,Scoring!$C$25,IF(X69&gt;=0.5,Scoring!$C$26,IF(X69&gt;=0.3,Scoring!$C$27,Scoring!$C$28))),Scoring!$C$29))</f>
        <v>10</v>
      </c>
      <c r="AE69" s="22" t="n">
        <f aca="false">IF(D69="Expiring: notice window (verified)",Scoring!$C$30,IF(OR(D69="Expired (verified)",D69="30-yr mark: notice window (est.)",D69="Year-15 window"),Scoring!$C$31,IF(D69="Expiring: 10-yr horizon (verified)",Scoring!$C$32,IF(D69="Past 30-yr mark (verify)",Scoring!$C$33,IF(OR(D69="Credit period",D69="Superseded record"),Scoring!$C$35,Scoring!$C$34)))))</f>
        <v>14</v>
      </c>
      <c r="AF69" s="22" t="n">
        <f aca="false">IF(T69="Y",0,IF(ISNUMBER(V69),IF(Scoring!$B$4-V69&gt;15,Scoring!$C$36,IF(Scoring!$B$4-V69&gt;=10,Scoring!$C$37,IF(Scoring!$B$4-V69&gt;=5,Scoring!$C$38,Scoring!$C$39))),IF(OR(N69="",D69="Out of program"),Scoring!$C$40,IF(O69&gt;15,Scoring!$C$36,IF(O69&gt;=10,Scoring!$C$37,IF(O69&gt;=5,Scoring!$C$38,Scoring!$C$39))))))</f>
        <v>15</v>
      </c>
      <c r="AG69" s="22" t="n">
        <f aca="false">IF(T69="Y",0,IF(Y69="Y",Scoring!$C$41,IF(ISNUMBER(O69),IF(O69&gt;=25,Scoring!$C$42,IF(O69&gt;=15,Scoring!$C$43,Scoring!$C$44)),Scoring!$C$44)))</f>
        <v>8</v>
      </c>
      <c r="AH69" s="22" t="n">
        <f aca="false">IF(T69="Y",0,IF(W69="",Scoring!$C$49,IFERROR(VLOOKUP(W69,Scoring!$B$45:$C$48,2,FALSE()),Scoring!$C$49)))</f>
        <v>5</v>
      </c>
      <c r="AI69" s="23" t="n">
        <f aca="false">C69+IF(ISNUMBER(J69),J69,0)/100000+(10000-ROW())/1000000000</f>
        <v>70.000329931</v>
      </c>
      <c r="AJ69" s="18"/>
      <c r="AK69" s="18"/>
      <c r="AL69" s="18"/>
      <c r="AM69" s="18"/>
    </row>
    <row r="70" customFormat="false" ht="15" hidden="false" customHeight="false" outlineLevel="0" collapsed="false">
      <c r="A70" s="15" t="n">
        <f aca="false">RANK(AI70,$AI$2:$AI$755)</f>
        <v>69</v>
      </c>
      <c r="B70" s="16" t="str">
        <f aca="false">IF(T70="Y","Superseded",IF(C70&gt;=Scoring!$B$16,"Immediate",IF(C70&gt;=Scoring!$B$17,"This week",IF(C70&gt;=Scoring!$B$18,"Nurture","Low"))))</f>
        <v>This week</v>
      </c>
      <c r="C70" s="3" t="n">
        <f aca="false">SUM(AC70:AH70)</f>
        <v>70</v>
      </c>
      <c r="D70" s="15" t="str">
        <f aca="false">IF(T70="Y","Superseded record",IF(AND(U70&lt;&gt;"",AA70&lt;0),"Expired (verified)",IF(AND(U70&lt;&gt;"",AA70&lt;=Scoring!$B$5),"Expiring: notice window (verified)",IF(AND(U70&lt;&gt;"",AA70&lt;=Scoring!$B$6),"Expiring: 10-yr horizon (verified)",IF(M70="No Longer Monitored","Out of program",IF(N70="","Unknown vintage",IF(N70&lt;Scoring!$B$12,"Pre-1990, still listed",IF(AND(U70="",AA70&lt;0),"Past 30-yr mark (verify)",IF(AND(U70="",AA70&lt;=Scoring!$B$5),"30-yr mark: notice window (est.)",IF(AND(O70&gt;=Scoring!$B$7,O70&lt;=Scoring!$B$8),"Year-15 window",IF(O70&gt;=Scoring!$B$9,"Recap window",IF(O70&gt;=11,"Late compliance","Credit period"))))))))))))</f>
        <v>30-yr mark: notice window (est.)</v>
      </c>
      <c r="E70" s="15" t="s">
        <v>376</v>
      </c>
      <c r="F70" s="15" t="s">
        <v>377</v>
      </c>
      <c r="G70" s="15" t="s">
        <v>378</v>
      </c>
      <c r="H70" s="15" t="s">
        <v>292</v>
      </c>
      <c r="I70" s="15" t="s">
        <v>293</v>
      </c>
      <c r="J70" s="15" t="n">
        <v>32</v>
      </c>
      <c r="K70" s="15" t="n">
        <v>32</v>
      </c>
      <c r="L70" s="15" t="n">
        <f aca="false">IF(OR(J70="",K70=""),"",MAX(J70-K70,0))</f>
        <v>0</v>
      </c>
      <c r="M70" s="15" t="s">
        <v>99</v>
      </c>
      <c r="N70" s="17" t="n">
        <v>1998</v>
      </c>
      <c r="O70" s="15" t="n">
        <f aca="false">IF(N70="","",Scoring!$B$4-N70)</f>
        <v>28</v>
      </c>
      <c r="P70" s="15" t="n">
        <f aca="false">IF(N70="","",N70+14)</f>
        <v>2012</v>
      </c>
      <c r="Q70" s="15" t="n">
        <f aca="false">IF(N70="","",IF(N70&lt;Scoring!$B$12,"n/a (pre-1990)",N70+Scoring!$B$13))</f>
        <v>2027</v>
      </c>
      <c r="R70" s="15" t="str">
        <f aca="false">IF(J70="","Unknown",IF(J70&gt;=5,"Yes","No (under 5 units)"))</f>
        <v>Yes</v>
      </c>
      <c r="S70" s="15"/>
      <c r="T70" s="18"/>
      <c r="U70" s="19"/>
      <c r="V70" s="18"/>
      <c r="W70" s="18"/>
      <c r="X70" s="20"/>
      <c r="Y70" s="18"/>
      <c r="Z70" s="18"/>
      <c r="AA70" s="21" t="n">
        <f aca="false">IF(U70&lt;&gt;"",(U70-Scoring!$B$3)/365.25,IF(N70="","",IF(N70&lt;Scoring!$B$12,"",(DATE(N70+Scoring!$B$13,12,31)-Scoring!$B$3)/365.25)))</f>
        <v>1.24572210814511</v>
      </c>
      <c r="AB70" s="22" t="n">
        <f aca="false">IF(T70="Y",0,IF(OR(D70="Expired (verified)",D70="Expiring: notice window (verified)",D70="Expiring: 10-yr horizon (verified)",D70="Past 30-yr mark (verify)",D70="30-yr mark: notice window (est.)",D70="Year-15 window"),1,0)+IF(ISNUMBER(O70),IF(O70&gt;=Scoring!$B$10,1,0),0)+IF(AND(ISNUMBER(L70),ISNUMBER(J70)),IF(J70&gt;0,IF(L70/J70&gt;=Scoring!$B$11,1,0),0),0)+IF(ISNUMBER(Z70),MIN(Z70,3),0))</f>
        <v>2</v>
      </c>
      <c r="AC70" s="22" t="n">
        <f aca="false">IF(AB70&gt;=3,Scoring!$C$24,IF(AB70=2,Scoring!$C$23,IF(AB70=1,Scoring!$C$22,0)))</f>
        <v>18</v>
      </c>
      <c r="AD70" s="22" t="n">
        <f aca="false">IF(T70="Y",0,IF(ISNUMBER(X70),IF(X70&gt;0.7,Scoring!$C$25,IF(X70&gt;=0.5,Scoring!$C$26,IF(X70&gt;=0.3,Scoring!$C$27,Scoring!$C$28))),Scoring!$C$29))</f>
        <v>10</v>
      </c>
      <c r="AE70" s="22" t="n">
        <f aca="false">IF(D70="Expiring: notice window (verified)",Scoring!$C$30,IF(OR(D70="Expired (verified)",D70="30-yr mark: notice window (est.)",D70="Year-15 window"),Scoring!$C$31,IF(D70="Expiring: 10-yr horizon (verified)",Scoring!$C$32,IF(D70="Past 30-yr mark (verify)",Scoring!$C$33,IF(OR(D70="Credit period",D70="Superseded record"),Scoring!$C$35,Scoring!$C$34)))))</f>
        <v>14</v>
      </c>
      <c r="AF70" s="22" t="n">
        <f aca="false">IF(T70="Y",0,IF(ISNUMBER(V70),IF(Scoring!$B$4-V70&gt;15,Scoring!$C$36,IF(Scoring!$B$4-V70&gt;=10,Scoring!$C$37,IF(Scoring!$B$4-V70&gt;=5,Scoring!$C$38,Scoring!$C$39))),IF(OR(N70="",D70="Out of program"),Scoring!$C$40,IF(O70&gt;15,Scoring!$C$36,IF(O70&gt;=10,Scoring!$C$37,IF(O70&gt;=5,Scoring!$C$38,Scoring!$C$39))))))</f>
        <v>15</v>
      </c>
      <c r="AG70" s="22" t="n">
        <f aca="false">IF(T70="Y",0,IF(Y70="Y",Scoring!$C$41,IF(ISNUMBER(O70),IF(O70&gt;=25,Scoring!$C$42,IF(O70&gt;=15,Scoring!$C$43,Scoring!$C$44)),Scoring!$C$44)))</f>
        <v>8</v>
      </c>
      <c r="AH70" s="22" t="n">
        <f aca="false">IF(T70="Y",0,IF(W70="",Scoring!$C$49,IFERROR(VLOOKUP(W70,Scoring!$B$45:$C$48,2,FALSE()),Scoring!$C$49)))</f>
        <v>5</v>
      </c>
      <c r="AI70" s="23" t="n">
        <f aca="false">C70+IF(ISNUMBER(J70),J70,0)/100000+(10000-ROW())/1000000000</f>
        <v>70.00032993</v>
      </c>
      <c r="AJ70" s="18"/>
      <c r="AK70" s="18"/>
      <c r="AL70" s="18"/>
      <c r="AM70" s="18"/>
    </row>
    <row r="71" customFormat="false" ht="15" hidden="false" customHeight="false" outlineLevel="0" collapsed="false">
      <c r="A71" s="15" t="n">
        <f aca="false">RANK(AI71,$AI$2:$AI$755)</f>
        <v>70</v>
      </c>
      <c r="B71" s="16" t="str">
        <f aca="false">IF(T71="Y","Superseded",IF(C71&gt;=Scoring!$B$16,"Immediate",IF(C71&gt;=Scoring!$B$17,"This week",IF(C71&gt;=Scoring!$B$18,"Nurture","Low"))))</f>
        <v>This week</v>
      </c>
      <c r="C71" s="3" t="n">
        <f aca="false">SUM(AC71:AH71)</f>
        <v>70</v>
      </c>
      <c r="D71" s="15" t="str">
        <f aca="false">IF(T71="Y","Superseded record",IF(AND(U71&lt;&gt;"",AA71&lt;0),"Expired (verified)",IF(AND(U71&lt;&gt;"",AA71&lt;=Scoring!$B$5),"Expiring: notice window (verified)",IF(AND(U71&lt;&gt;"",AA71&lt;=Scoring!$B$6),"Expiring: 10-yr horizon (verified)",IF(M71="No Longer Monitored","Out of program",IF(N71="","Unknown vintage",IF(N71&lt;Scoring!$B$12,"Pre-1990, still listed",IF(AND(U71="",AA71&lt;0),"Past 30-yr mark (verify)",IF(AND(U71="",AA71&lt;=Scoring!$B$5),"30-yr mark: notice window (est.)",IF(AND(O71&gt;=Scoring!$B$7,O71&lt;=Scoring!$B$8),"Year-15 window",IF(O71&gt;=Scoring!$B$9,"Recap window",IF(O71&gt;=11,"Late compliance","Credit period"))))))))))))</f>
        <v>30-yr mark: notice window (est.)</v>
      </c>
      <c r="E71" s="15" t="s">
        <v>379</v>
      </c>
      <c r="F71" s="15" t="s">
        <v>380</v>
      </c>
      <c r="G71" s="15" t="s">
        <v>381</v>
      </c>
      <c r="H71" s="15" t="s">
        <v>97</v>
      </c>
      <c r="I71" s="15" t="s">
        <v>362</v>
      </c>
      <c r="J71" s="15" t="n">
        <v>32</v>
      </c>
      <c r="K71" s="15" t="n">
        <v>32</v>
      </c>
      <c r="L71" s="15" t="n">
        <f aca="false">IF(OR(J71="",K71=""),"",MAX(J71-K71,0))</f>
        <v>0</v>
      </c>
      <c r="M71" s="15" t="s">
        <v>99</v>
      </c>
      <c r="N71" s="17" t="n">
        <v>1999</v>
      </c>
      <c r="O71" s="15" t="n">
        <f aca="false">IF(N71="","",Scoring!$B$4-N71)</f>
        <v>27</v>
      </c>
      <c r="P71" s="15" t="n">
        <f aca="false">IF(N71="","",N71+14)</f>
        <v>2013</v>
      </c>
      <c r="Q71" s="15" t="n">
        <f aca="false">IF(N71="","",IF(N71&lt;Scoring!$B$12,"n/a (pre-1990)",N71+Scoring!$B$13))</f>
        <v>2028</v>
      </c>
      <c r="R71" s="15" t="str">
        <f aca="false">IF(J71="","Unknown",IF(J71&gt;=5,"Yes","No (under 5 units)"))</f>
        <v>Yes</v>
      </c>
      <c r="S71" s="15"/>
      <c r="T71" s="18"/>
      <c r="U71" s="19"/>
      <c r="V71" s="18"/>
      <c r="W71" s="18"/>
      <c r="X71" s="20"/>
      <c r="Y71" s="18"/>
      <c r="Z71" s="18"/>
      <c r="AA71" s="21" t="n">
        <f aca="false">IF(U71&lt;&gt;"",(U71-Scoring!$B$3)/365.25,IF(N71="","",IF(N71&lt;Scoring!$B$12,"",(DATE(N71+Scoring!$B$13,12,31)-Scoring!$B$3)/365.25)))</f>
        <v>2.24777549623546</v>
      </c>
      <c r="AB71" s="22" t="n">
        <f aca="false">IF(T71="Y",0,IF(OR(D71="Expired (verified)",D71="Expiring: notice window (verified)",D71="Expiring: 10-yr horizon (verified)",D71="Past 30-yr mark (verify)",D71="30-yr mark: notice window (est.)",D71="Year-15 window"),1,0)+IF(ISNUMBER(O71),IF(O71&gt;=Scoring!$B$10,1,0),0)+IF(AND(ISNUMBER(L71),ISNUMBER(J71)),IF(J71&gt;0,IF(L71/J71&gt;=Scoring!$B$11,1,0),0),0)+IF(ISNUMBER(Z71),MIN(Z71,3),0))</f>
        <v>2</v>
      </c>
      <c r="AC71" s="22" t="n">
        <f aca="false">IF(AB71&gt;=3,Scoring!$C$24,IF(AB71=2,Scoring!$C$23,IF(AB71=1,Scoring!$C$22,0)))</f>
        <v>18</v>
      </c>
      <c r="AD71" s="22" t="n">
        <f aca="false">IF(T71="Y",0,IF(ISNUMBER(X71),IF(X71&gt;0.7,Scoring!$C$25,IF(X71&gt;=0.5,Scoring!$C$26,IF(X71&gt;=0.3,Scoring!$C$27,Scoring!$C$28))),Scoring!$C$29))</f>
        <v>10</v>
      </c>
      <c r="AE71" s="22" t="n">
        <f aca="false">IF(D71="Expiring: notice window (verified)",Scoring!$C$30,IF(OR(D71="Expired (verified)",D71="30-yr mark: notice window (est.)",D71="Year-15 window"),Scoring!$C$31,IF(D71="Expiring: 10-yr horizon (verified)",Scoring!$C$32,IF(D71="Past 30-yr mark (verify)",Scoring!$C$33,IF(OR(D71="Credit period",D71="Superseded record"),Scoring!$C$35,Scoring!$C$34)))))</f>
        <v>14</v>
      </c>
      <c r="AF71" s="22" t="n">
        <f aca="false">IF(T71="Y",0,IF(ISNUMBER(V71),IF(Scoring!$B$4-V71&gt;15,Scoring!$C$36,IF(Scoring!$B$4-V71&gt;=10,Scoring!$C$37,IF(Scoring!$B$4-V71&gt;=5,Scoring!$C$38,Scoring!$C$39))),IF(OR(N71="",D71="Out of program"),Scoring!$C$40,IF(O71&gt;15,Scoring!$C$36,IF(O71&gt;=10,Scoring!$C$37,IF(O71&gt;=5,Scoring!$C$38,Scoring!$C$39))))))</f>
        <v>15</v>
      </c>
      <c r="AG71" s="22" t="n">
        <f aca="false">IF(T71="Y",0,IF(Y71="Y",Scoring!$C$41,IF(ISNUMBER(O71),IF(O71&gt;=25,Scoring!$C$42,IF(O71&gt;=15,Scoring!$C$43,Scoring!$C$44)),Scoring!$C$44)))</f>
        <v>8</v>
      </c>
      <c r="AH71" s="22" t="n">
        <f aca="false">IF(T71="Y",0,IF(W71="",Scoring!$C$49,IFERROR(VLOOKUP(W71,Scoring!$B$45:$C$48,2,FALSE()),Scoring!$C$49)))</f>
        <v>5</v>
      </c>
      <c r="AI71" s="23" t="n">
        <f aca="false">C71+IF(ISNUMBER(J71),J71,0)/100000+(10000-ROW())/1000000000</f>
        <v>70.000329929</v>
      </c>
      <c r="AJ71" s="18"/>
      <c r="AK71" s="18"/>
      <c r="AL71" s="18"/>
      <c r="AM71" s="18"/>
    </row>
    <row r="72" customFormat="false" ht="15" hidden="false" customHeight="false" outlineLevel="0" collapsed="false">
      <c r="A72" s="15" t="n">
        <f aca="false">RANK(AI72,$AI$2:$AI$755)</f>
        <v>71</v>
      </c>
      <c r="B72" s="16" t="str">
        <f aca="false">IF(T72="Y","Superseded",IF(C72&gt;=Scoring!$B$16,"Immediate",IF(C72&gt;=Scoring!$B$17,"This week",IF(C72&gt;=Scoring!$B$18,"Nurture","Low"))))</f>
        <v>This week</v>
      </c>
      <c r="C72" s="3" t="n">
        <f aca="false">SUM(AC72:AH72)</f>
        <v>70</v>
      </c>
      <c r="D72" s="15" t="str">
        <f aca="false">IF(T72="Y","Superseded record",IF(AND(U72&lt;&gt;"",AA72&lt;0),"Expired (verified)",IF(AND(U72&lt;&gt;"",AA72&lt;=Scoring!$B$5),"Expiring: notice window (verified)",IF(AND(U72&lt;&gt;"",AA72&lt;=Scoring!$B$6),"Expiring: 10-yr horizon (verified)",IF(M72="No Longer Monitored","Out of program",IF(N72="","Unknown vintage",IF(N72&lt;Scoring!$B$12,"Pre-1990, still listed",IF(AND(U72="",AA72&lt;0),"Past 30-yr mark (verify)",IF(AND(U72="",AA72&lt;=Scoring!$B$5),"30-yr mark: notice window (est.)",IF(AND(O72&gt;=Scoring!$B$7,O72&lt;=Scoring!$B$8),"Year-15 window",IF(O72&gt;=Scoring!$B$9,"Recap window",IF(O72&gt;=11,"Late compliance","Credit period"))))))))))))</f>
        <v>30-yr mark: notice window (est.)</v>
      </c>
      <c r="E72" s="15" t="s">
        <v>382</v>
      </c>
      <c r="F72" s="15" t="s">
        <v>383</v>
      </c>
      <c r="G72" s="15" t="s">
        <v>384</v>
      </c>
      <c r="H72" s="15" t="s">
        <v>125</v>
      </c>
      <c r="I72" s="15" t="s">
        <v>126</v>
      </c>
      <c r="J72" s="15" t="n">
        <v>32</v>
      </c>
      <c r="K72" s="15" t="n">
        <v>32</v>
      </c>
      <c r="L72" s="15" t="n">
        <f aca="false">IF(OR(J72="",K72=""),"",MAX(J72-K72,0))</f>
        <v>0</v>
      </c>
      <c r="M72" s="15" t="s">
        <v>99</v>
      </c>
      <c r="N72" s="17" t="n">
        <v>1999</v>
      </c>
      <c r="O72" s="15" t="n">
        <f aca="false">IF(N72="","",Scoring!$B$4-N72)</f>
        <v>27</v>
      </c>
      <c r="P72" s="15" t="n">
        <f aca="false">IF(N72="","",N72+14)</f>
        <v>2013</v>
      </c>
      <c r="Q72" s="15" t="n">
        <f aca="false">IF(N72="","",IF(N72&lt;Scoring!$B$12,"n/a (pre-1990)",N72+Scoring!$B$13))</f>
        <v>2028</v>
      </c>
      <c r="R72" s="15" t="str">
        <f aca="false">IF(J72="","Unknown",IF(J72&gt;=5,"Yes","No (under 5 units)"))</f>
        <v>Yes</v>
      </c>
      <c r="S72" s="15"/>
      <c r="T72" s="18"/>
      <c r="U72" s="19"/>
      <c r="V72" s="18"/>
      <c r="W72" s="18"/>
      <c r="X72" s="20"/>
      <c r="Y72" s="18"/>
      <c r="Z72" s="18"/>
      <c r="AA72" s="21" t="n">
        <f aca="false">IF(U72&lt;&gt;"",(U72-Scoring!$B$3)/365.25,IF(N72="","",IF(N72&lt;Scoring!$B$12,"",(DATE(N72+Scoring!$B$13,12,31)-Scoring!$B$3)/365.25)))</f>
        <v>2.24777549623546</v>
      </c>
      <c r="AB72" s="22" t="n">
        <f aca="false">IF(T72="Y",0,IF(OR(D72="Expired (verified)",D72="Expiring: notice window (verified)",D72="Expiring: 10-yr horizon (verified)",D72="Past 30-yr mark (verify)",D72="30-yr mark: notice window (est.)",D72="Year-15 window"),1,0)+IF(ISNUMBER(O72),IF(O72&gt;=Scoring!$B$10,1,0),0)+IF(AND(ISNUMBER(L72),ISNUMBER(J72)),IF(J72&gt;0,IF(L72/J72&gt;=Scoring!$B$11,1,0),0),0)+IF(ISNUMBER(Z72),MIN(Z72,3),0))</f>
        <v>2</v>
      </c>
      <c r="AC72" s="22" t="n">
        <f aca="false">IF(AB72&gt;=3,Scoring!$C$24,IF(AB72=2,Scoring!$C$23,IF(AB72=1,Scoring!$C$22,0)))</f>
        <v>18</v>
      </c>
      <c r="AD72" s="22" t="n">
        <f aca="false">IF(T72="Y",0,IF(ISNUMBER(X72),IF(X72&gt;0.7,Scoring!$C$25,IF(X72&gt;=0.5,Scoring!$C$26,IF(X72&gt;=0.3,Scoring!$C$27,Scoring!$C$28))),Scoring!$C$29))</f>
        <v>10</v>
      </c>
      <c r="AE72" s="22" t="n">
        <f aca="false">IF(D72="Expiring: notice window (verified)",Scoring!$C$30,IF(OR(D72="Expired (verified)",D72="30-yr mark: notice window (est.)",D72="Year-15 window"),Scoring!$C$31,IF(D72="Expiring: 10-yr horizon (verified)",Scoring!$C$32,IF(D72="Past 30-yr mark (verify)",Scoring!$C$33,IF(OR(D72="Credit period",D72="Superseded record"),Scoring!$C$35,Scoring!$C$34)))))</f>
        <v>14</v>
      </c>
      <c r="AF72" s="22" t="n">
        <f aca="false">IF(T72="Y",0,IF(ISNUMBER(V72),IF(Scoring!$B$4-V72&gt;15,Scoring!$C$36,IF(Scoring!$B$4-V72&gt;=10,Scoring!$C$37,IF(Scoring!$B$4-V72&gt;=5,Scoring!$C$38,Scoring!$C$39))),IF(OR(N72="",D72="Out of program"),Scoring!$C$40,IF(O72&gt;15,Scoring!$C$36,IF(O72&gt;=10,Scoring!$C$37,IF(O72&gt;=5,Scoring!$C$38,Scoring!$C$39))))))</f>
        <v>15</v>
      </c>
      <c r="AG72" s="22" t="n">
        <f aca="false">IF(T72="Y",0,IF(Y72="Y",Scoring!$C$41,IF(ISNUMBER(O72),IF(O72&gt;=25,Scoring!$C$42,IF(O72&gt;=15,Scoring!$C$43,Scoring!$C$44)),Scoring!$C$44)))</f>
        <v>8</v>
      </c>
      <c r="AH72" s="22" t="n">
        <f aca="false">IF(T72="Y",0,IF(W72="",Scoring!$C$49,IFERROR(VLOOKUP(W72,Scoring!$B$45:$C$48,2,FALSE()),Scoring!$C$49)))</f>
        <v>5</v>
      </c>
      <c r="AI72" s="23" t="n">
        <f aca="false">C72+IF(ISNUMBER(J72),J72,0)/100000+(10000-ROW())/1000000000</f>
        <v>70.000329928</v>
      </c>
      <c r="AJ72" s="18"/>
      <c r="AK72" s="18"/>
      <c r="AL72" s="18"/>
      <c r="AM72" s="18"/>
    </row>
    <row r="73" customFormat="false" ht="15" hidden="false" customHeight="false" outlineLevel="0" collapsed="false">
      <c r="A73" s="15" t="n">
        <f aca="false">RANK(AI73,$AI$2:$AI$755)</f>
        <v>72</v>
      </c>
      <c r="B73" s="16" t="str">
        <f aca="false">IF(T73="Y","Superseded",IF(C73&gt;=Scoring!$B$16,"Immediate",IF(C73&gt;=Scoring!$B$17,"This week",IF(C73&gt;=Scoring!$B$18,"Nurture","Low"))))</f>
        <v>This week</v>
      </c>
      <c r="C73" s="3" t="n">
        <f aca="false">SUM(AC73:AH73)</f>
        <v>70</v>
      </c>
      <c r="D73" s="15" t="str">
        <f aca="false">IF(T73="Y","Superseded record",IF(AND(U73&lt;&gt;"",AA73&lt;0),"Expired (verified)",IF(AND(U73&lt;&gt;"",AA73&lt;=Scoring!$B$5),"Expiring: notice window (verified)",IF(AND(U73&lt;&gt;"",AA73&lt;=Scoring!$B$6),"Expiring: 10-yr horizon (verified)",IF(M73="No Longer Monitored","Out of program",IF(N73="","Unknown vintage",IF(N73&lt;Scoring!$B$12,"Pre-1990, still listed",IF(AND(U73="",AA73&lt;0),"Past 30-yr mark (verify)",IF(AND(U73="",AA73&lt;=Scoring!$B$5),"30-yr mark: notice window (est.)",IF(AND(O73&gt;=Scoring!$B$7,O73&lt;=Scoring!$B$8),"Year-15 window",IF(O73&gt;=Scoring!$B$9,"Recap window",IF(O73&gt;=11,"Late compliance","Credit period"))))))))))))</f>
        <v>30-yr mark: notice window (est.)</v>
      </c>
      <c r="E73" s="15" t="s">
        <v>385</v>
      </c>
      <c r="F73" s="15" t="s">
        <v>386</v>
      </c>
      <c r="G73" s="15" t="s">
        <v>387</v>
      </c>
      <c r="H73" s="15" t="s">
        <v>240</v>
      </c>
      <c r="I73" s="15" t="s">
        <v>241</v>
      </c>
      <c r="J73" s="15" t="n">
        <v>31</v>
      </c>
      <c r="K73" s="15" t="n">
        <v>31</v>
      </c>
      <c r="L73" s="15" t="n">
        <f aca="false">IF(OR(J73="",K73=""),"",MAX(J73-K73,0))</f>
        <v>0</v>
      </c>
      <c r="M73" s="15" t="s">
        <v>99</v>
      </c>
      <c r="N73" s="17" t="n">
        <v>1997</v>
      </c>
      <c r="O73" s="15" t="n">
        <f aca="false">IF(N73="","",Scoring!$B$4-N73)</f>
        <v>29</v>
      </c>
      <c r="P73" s="15" t="n">
        <f aca="false">IF(N73="","",N73+14)</f>
        <v>2011</v>
      </c>
      <c r="Q73" s="15" t="n">
        <f aca="false">IF(N73="","",IF(N73&lt;Scoring!$B$12,"n/a (pre-1990)",N73+Scoring!$B$13))</f>
        <v>2026</v>
      </c>
      <c r="R73" s="15" t="str">
        <f aca="false">IF(J73="","Unknown",IF(J73&gt;=5,"Yes","No (under 5 units)"))</f>
        <v>Yes</v>
      </c>
      <c r="S73" s="15"/>
      <c r="T73" s="18"/>
      <c r="U73" s="19"/>
      <c r="V73" s="18"/>
      <c r="W73" s="18"/>
      <c r="X73" s="20"/>
      <c r="Y73" s="18"/>
      <c r="Z73" s="18"/>
      <c r="AA73" s="21" t="n">
        <f aca="false">IF(U73&lt;&gt;"",(U73-Scoring!$B$3)/365.25,IF(N73="","",IF(N73&lt;Scoring!$B$12,"",(DATE(N73+Scoring!$B$13,12,31)-Scoring!$B$3)/365.25)))</f>
        <v>0.246406570841889</v>
      </c>
      <c r="AB73" s="22" t="n">
        <f aca="false">IF(T73="Y",0,IF(OR(D73="Expired (verified)",D73="Expiring: notice window (verified)",D73="Expiring: 10-yr horizon (verified)",D73="Past 30-yr mark (verify)",D73="30-yr mark: notice window (est.)",D73="Year-15 window"),1,0)+IF(ISNUMBER(O73),IF(O73&gt;=Scoring!$B$10,1,0),0)+IF(AND(ISNUMBER(L73),ISNUMBER(J73)),IF(J73&gt;0,IF(L73/J73&gt;=Scoring!$B$11,1,0),0),0)+IF(ISNUMBER(Z73),MIN(Z73,3),0))</f>
        <v>2</v>
      </c>
      <c r="AC73" s="22" t="n">
        <f aca="false">IF(AB73&gt;=3,Scoring!$C$24,IF(AB73=2,Scoring!$C$23,IF(AB73=1,Scoring!$C$22,0)))</f>
        <v>18</v>
      </c>
      <c r="AD73" s="22" t="n">
        <f aca="false">IF(T73="Y",0,IF(ISNUMBER(X73),IF(X73&gt;0.7,Scoring!$C$25,IF(X73&gt;=0.5,Scoring!$C$26,IF(X73&gt;=0.3,Scoring!$C$27,Scoring!$C$28))),Scoring!$C$29))</f>
        <v>10</v>
      </c>
      <c r="AE73" s="22" t="n">
        <f aca="false">IF(D73="Expiring: notice window (verified)",Scoring!$C$30,IF(OR(D73="Expired (verified)",D73="30-yr mark: notice window (est.)",D73="Year-15 window"),Scoring!$C$31,IF(D73="Expiring: 10-yr horizon (verified)",Scoring!$C$32,IF(D73="Past 30-yr mark (verify)",Scoring!$C$33,IF(OR(D73="Credit period",D73="Superseded record"),Scoring!$C$35,Scoring!$C$34)))))</f>
        <v>14</v>
      </c>
      <c r="AF73" s="22" t="n">
        <f aca="false">IF(T73="Y",0,IF(ISNUMBER(V73),IF(Scoring!$B$4-V73&gt;15,Scoring!$C$36,IF(Scoring!$B$4-V73&gt;=10,Scoring!$C$37,IF(Scoring!$B$4-V73&gt;=5,Scoring!$C$38,Scoring!$C$39))),IF(OR(N73="",D73="Out of program"),Scoring!$C$40,IF(O73&gt;15,Scoring!$C$36,IF(O73&gt;=10,Scoring!$C$37,IF(O73&gt;=5,Scoring!$C$38,Scoring!$C$39))))))</f>
        <v>15</v>
      </c>
      <c r="AG73" s="22" t="n">
        <f aca="false">IF(T73="Y",0,IF(Y73="Y",Scoring!$C$41,IF(ISNUMBER(O73),IF(O73&gt;=25,Scoring!$C$42,IF(O73&gt;=15,Scoring!$C$43,Scoring!$C$44)),Scoring!$C$44)))</f>
        <v>8</v>
      </c>
      <c r="AH73" s="22" t="n">
        <f aca="false">IF(T73="Y",0,IF(W73="",Scoring!$C$49,IFERROR(VLOOKUP(W73,Scoring!$B$45:$C$48,2,FALSE()),Scoring!$C$49)))</f>
        <v>5</v>
      </c>
      <c r="AI73" s="23" t="n">
        <f aca="false">C73+IF(ISNUMBER(J73),J73,0)/100000+(10000-ROW())/1000000000</f>
        <v>70.000319927</v>
      </c>
      <c r="AJ73" s="18"/>
      <c r="AK73" s="18"/>
      <c r="AL73" s="18"/>
      <c r="AM73" s="18"/>
    </row>
    <row r="74" customFormat="false" ht="15" hidden="false" customHeight="false" outlineLevel="0" collapsed="false">
      <c r="A74" s="15" t="n">
        <f aca="false">RANK(AI74,$AI$2:$AI$755)</f>
        <v>73</v>
      </c>
      <c r="B74" s="16" t="str">
        <f aca="false">IF(T74="Y","Superseded",IF(C74&gt;=Scoring!$B$16,"Immediate",IF(C74&gt;=Scoring!$B$17,"This week",IF(C74&gt;=Scoring!$B$18,"Nurture","Low"))))</f>
        <v>This week</v>
      </c>
      <c r="C74" s="3" t="n">
        <f aca="false">SUM(AC74:AH74)</f>
        <v>70</v>
      </c>
      <c r="D74" s="15" t="str">
        <f aca="false">IF(T74="Y","Superseded record",IF(AND(U74&lt;&gt;"",AA74&lt;0),"Expired (verified)",IF(AND(U74&lt;&gt;"",AA74&lt;=Scoring!$B$5),"Expiring: notice window (verified)",IF(AND(U74&lt;&gt;"",AA74&lt;=Scoring!$B$6),"Expiring: 10-yr horizon (verified)",IF(M74="No Longer Monitored","Out of program",IF(N74="","Unknown vintage",IF(N74&lt;Scoring!$B$12,"Pre-1990, still listed",IF(AND(U74="",AA74&lt;0),"Past 30-yr mark (verify)",IF(AND(U74="",AA74&lt;=Scoring!$B$5),"30-yr mark: notice window (est.)",IF(AND(O74&gt;=Scoring!$B$7,O74&lt;=Scoring!$B$8),"Year-15 window",IF(O74&gt;=Scoring!$B$9,"Recap window",IF(O74&gt;=11,"Late compliance","Credit period"))))))))))))</f>
        <v>30-yr mark: notice window (est.)</v>
      </c>
      <c r="E74" s="15" t="s">
        <v>388</v>
      </c>
      <c r="F74" s="15" t="s">
        <v>389</v>
      </c>
      <c r="G74" s="15" t="s">
        <v>390</v>
      </c>
      <c r="H74" s="15" t="s">
        <v>353</v>
      </c>
      <c r="I74" s="15" t="s">
        <v>354</v>
      </c>
      <c r="J74" s="15" t="n">
        <v>31</v>
      </c>
      <c r="K74" s="15" t="n">
        <v>31</v>
      </c>
      <c r="L74" s="15" t="n">
        <f aca="false">IF(OR(J74="",K74=""),"",MAX(J74-K74,0))</f>
        <v>0</v>
      </c>
      <c r="M74" s="15" t="s">
        <v>99</v>
      </c>
      <c r="N74" s="17" t="n">
        <v>1998</v>
      </c>
      <c r="O74" s="15" t="n">
        <f aca="false">IF(N74="","",Scoring!$B$4-N74)</f>
        <v>28</v>
      </c>
      <c r="P74" s="15" t="n">
        <f aca="false">IF(N74="","",N74+14)</f>
        <v>2012</v>
      </c>
      <c r="Q74" s="15" t="n">
        <f aca="false">IF(N74="","",IF(N74&lt;Scoring!$B$12,"n/a (pre-1990)",N74+Scoring!$B$13))</f>
        <v>2027</v>
      </c>
      <c r="R74" s="15" t="str">
        <f aca="false">IF(J74="","Unknown",IF(J74&gt;=5,"Yes","No (under 5 units)"))</f>
        <v>Yes</v>
      </c>
      <c r="S74" s="15"/>
      <c r="T74" s="18"/>
      <c r="U74" s="19"/>
      <c r="V74" s="18"/>
      <c r="W74" s="18"/>
      <c r="X74" s="20"/>
      <c r="Y74" s="18"/>
      <c r="Z74" s="18"/>
      <c r="AA74" s="21" t="n">
        <f aca="false">IF(U74&lt;&gt;"",(U74-Scoring!$B$3)/365.25,IF(N74="","",IF(N74&lt;Scoring!$B$12,"",(DATE(N74+Scoring!$B$13,12,31)-Scoring!$B$3)/365.25)))</f>
        <v>1.24572210814511</v>
      </c>
      <c r="AB74" s="22" t="n">
        <f aca="false">IF(T74="Y",0,IF(OR(D74="Expired (verified)",D74="Expiring: notice window (verified)",D74="Expiring: 10-yr horizon (verified)",D74="Past 30-yr mark (verify)",D74="30-yr mark: notice window (est.)",D74="Year-15 window"),1,0)+IF(ISNUMBER(O74),IF(O74&gt;=Scoring!$B$10,1,0),0)+IF(AND(ISNUMBER(L74),ISNUMBER(J74)),IF(J74&gt;0,IF(L74/J74&gt;=Scoring!$B$11,1,0),0),0)+IF(ISNUMBER(Z74),MIN(Z74,3),0))</f>
        <v>2</v>
      </c>
      <c r="AC74" s="22" t="n">
        <f aca="false">IF(AB74&gt;=3,Scoring!$C$24,IF(AB74=2,Scoring!$C$23,IF(AB74=1,Scoring!$C$22,0)))</f>
        <v>18</v>
      </c>
      <c r="AD74" s="22" t="n">
        <f aca="false">IF(T74="Y",0,IF(ISNUMBER(X74),IF(X74&gt;0.7,Scoring!$C$25,IF(X74&gt;=0.5,Scoring!$C$26,IF(X74&gt;=0.3,Scoring!$C$27,Scoring!$C$28))),Scoring!$C$29))</f>
        <v>10</v>
      </c>
      <c r="AE74" s="22" t="n">
        <f aca="false">IF(D74="Expiring: notice window (verified)",Scoring!$C$30,IF(OR(D74="Expired (verified)",D74="30-yr mark: notice window (est.)",D74="Year-15 window"),Scoring!$C$31,IF(D74="Expiring: 10-yr horizon (verified)",Scoring!$C$32,IF(D74="Past 30-yr mark (verify)",Scoring!$C$33,IF(OR(D74="Credit period",D74="Superseded record"),Scoring!$C$35,Scoring!$C$34)))))</f>
        <v>14</v>
      </c>
      <c r="AF74" s="22" t="n">
        <f aca="false">IF(T74="Y",0,IF(ISNUMBER(V74),IF(Scoring!$B$4-V74&gt;15,Scoring!$C$36,IF(Scoring!$B$4-V74&gt;=10,Scoring!$C$37,IF(Scoring!$B$4-V74&gt;=5,Scoring!$C$38,Scoring!$C$39))),IF(OR(N74="",D74="Out of program"),Scoring!$C$40,IF(O74&gt;15,Scoring!$C$36,IF(O74&gt;=10,Scoring!$C$37,IF(O74&gt;=5,Scoring!$C$38,Scoring!$C$39))))))</f>
        <v>15</v>
      </c>
      <c r="AG74" s="22" t="n">
        <f aca="false">IF(T74="Y",0,IF(Y74="Y",Scoring!$C$41,IF(ISNUMBER(O74),IF(O74&gt;=25,Scoring!$C$42,IF(O74&gt;=15,Scoring!$C$43,Scoring!$C$44)),Scoring!$C$44)))</f>
        <v>8</v>
      </c>
      <c r="AH74" s="22" t="n">
        <f aca="false">IF(T74="Y",0,IF(W74="",Scoring!$C$49,IFERROR(VLOOKUP(W74,Scoring!$B$45:$C$48,2,FALSE()),Scoring!$C$49)))</f>
        <v>5</v>
      </c>
      <c r="AI74" s="23" t="n">
        <f aca="false">C74+IF(ISNUMBER(J74),J74,0)/100000+(10000-ROW())/1000000000</f>
        <v>70.000319926</v>
      </c>
      <c r="AJ74" s="18"/>
      <c r="AK74" s="18"/>
      <c r="AL74" s="18"/>
      <c r="AM74" s="18"/>
    </row>
    <row r="75" customFormat="false" ht="15" hidden="false" customHeight="false" outlineLevel="0" collapsed="false">
      <c r="A75" s="15" t="n">
        <f aca="false">RANK(AI75,$AI$2:$AI$755)</f>
        <v>74</v>
      </c>
      <c r="B75" s="16" t="str">
        <f aca="false">IF(T75="Y","Superseded",IF(C75&gt;=Scoring!$B$16,"Immediate",IF(C75&gt;=Scoring!$B$17,"This week",IF(C75&gt;=Scoring!$B$18,"Nurture","Low"))))</f>
        <v>This week</v>
      </c>
      <c r="C75" s="3" t="n">
        <f aca="false">SUM(AC75:AH75)</f>
        <v>70</v>
      </c>
      <c r="D75" s="15" t="str">
        <f aca="false">IF(T75="Y","Superseded record",IF(AND(U75&lt;&gt;"",AA75&lt;0),"Expired (verified)",IF(AND(U75&lt;&gt;"",AA75&lt;=Scoring!$B$5),"Expiring: notice window (verified)",IF(AND(U75&lt;&gt;"",AA75&lt;=Scoring!$B$6),"Expiring: 10-yr horizon (verified)",IF(M75="No Longer Monitored","Out of program",IF(N75="","Unknown vintage",IF(N75&lt;Scoring!$B$12,"Pre-1990, still listed",IF(AND(U75="",AA75&lt;0),"Past 30-yr mark (verify)",IF(AND(U75="",AA75&lt;=Scoring!$B$5),"30-yr mark: notice window (est.)",IF(AND(O75&gt;=Scoring!$B$7,O75&lt;=Scoring!$B$8),"Year-15 window",IF(O75&gt;=Scoring!$B$9,"Recap window",IF(O75&gt;=11,"Late compliance","Credit period"))))))))))))</f>
        <v>30-yr mark: notice window (est.)</v>
      </c>
      <c r="E75" s="15" t="s">
        <v>391</v>
      </c>
      <c r="F75" s="15" t="s">
        <v>392</v>
      </c>
      <c r="G75" s="15" t="s">
        <v>393</v>
      </c>
      <c r="H75" s="15" t="s">
        <v>394</v>
      </c>
      <c r="I75" s="15" t="s">
        <v>395</v>
      </c>
      <c r="J75" s="15" t="n">
        <v>28</v>
      </c>
      <c r="K75" s="15" t="n">
        <v>28</v>
      </c>
      <c r="L75" s="15" t="n">
        <f aca="false">IF(OR(J75="",K75=""),"",MAX(J75-K75,0))</f>
        <v>0</v>
      </c>
      <c r="M75" s="15" t="s">
        <v>99</v>
      </c>
      <c r="N75" s="17" t="n">
        <v>1998</v>
      </c>
      <c r="O75" s="15" t="n">
        <f aca="false">IF(N75="","",Scoring!$B$4-N75)</f>
        <v>28</v>
      </c>
      <c r="P75" s="15" t="n">
        <f aca="false">IF(N75="","",N75+14)</f>
        <v>2012</v>
      </c>
      <c r="Q75" s="15" t="n">
        <f aca="false">IF(N75="","",IF(N75&lt;Scoring!$B$12,"n/a (pre-1990)",N75+Scoring!$B$13))</f>
        <v>2027</v>
      </c>
      <c r="R75" s="15" t="str">
        <f aca="false">IF(J75="","Unknown",IF(J75&gt;=5,"Yes","No (under 5 units)"))</f>
        <v>Yes</v>
      </c>
      <c r="S75" s="15"/>
      <c r="T75" s="18"/>
      <c r="U75" s="19"/>
      <c r="V75" s="18"/>
      <c r="W75" s="18"/>
      <c r="X75" s="20"/>
      <c r="Y75" s="18"/>
      <c r="Z75" s="18"/>
      <c r="AA75" s="21" t="n">
        <f aca="false">IF(U75&lt;&gt;"",(U75-Scoring!$B$3)/365.25,IF(N75="","",IF(N75&lt;Scoring!$B$12,"",(DATE(N75+Scoring!$B$13,12,31)-Scoring!$B$3)/365.25)))</f>
        <v>1.24572210814511</v>
      </c>
      <c r="AB75" s="22" t="n">
        <f aca="false">IF(T75="Y",0,IF(OR(D75="Expired (verified)",D75="Expiring: notice window (verified)",D75="Expiring: 10-yr horizon (verified)",D75="Past 30-yr mark (verify)",D75="30-yr mark: notice window (est.)",D75="Year-15 window"),1,0)+IF(ISNUMBER(O75),IF(O75&gt;=Scoring!$B$10,1,0),0)+IF(AND(ISNUMBER(L75),ISNUMBER(J75)),IF(J75&gt;0,IF(L75/J75&gt;=Scoring!$B$11,1,0),0),0)+IF(ISNUMBER(Z75),MIN(Z75,3),0))</f>
        <v>2</v>
      </c>
      <c r="AC75" s="22" t="n">
        <f aca="false">IF(AB75&gt;=3,Scoring!$C$24,IF(AB75=2,Scoring!$C$23,IF(AB75=1,Scoring!$C$22,0)))</f>
        <v>18</v>
      </c>
      <c r="AD75" s="22" t="n">
        <f aca="false">IF(T75="Y",0,IF(ISNUMBER(X75),IF(X75&gt;0.7,Scoring!$C$25,IF(X75&gt;=0.5,Scoring!$C$26,IF(X75&gt;=0.3,Scoring!$C$27,Scoring!$C$28))),Scoring!$C$29))</f>
        <v>10</v>
      </c>
      <c r="AE75" s="22" t="n">
        <f aca="false">IF(D75="Expiring: notice window (verified)",Scoring!$C$30,IF(OR(D75="Expired (verified)",D75="30-yr mark: notice window (est.)",D75="Year-15 window"),Scoring!$C$31,IF(D75="Expiring: 10-yr horizon (verified)",Scoring!$C$32,IF(D75="Past 30-yr mark (verify)",Scoring!$C$33,IF(OR(D75="Credit period",D75="Superseded record"),Scoring!$C$35,Scoring!$C$34)))))</f>
        <v>14</v>
      </c>
      <c r="AF75" s="22" t="n">
        <f aca="false">IF(T75="Y",0,IF(ISNUMBER(V75),IF(Scoring!$B$4-V75&gt;15,Scoring!$C$36,IF(Scoring!$B$4-V75&gt;=10,Scoring!$C$37,IF(Scoring!$B$4-V75&gt;=5,Scoring!$C$38,Scoring!$C$39))),IF(OR(N75="",D75="Out of program"),Scoring!$C$40,IF(O75&gt;15,Scoring!$C$36,IF(O75&gt;=10,Scoring!$C$37,IF(O75&gt;=5,Scoring!$C$38,Scoring!$C$39))))))</f>
        <v>15</v>
      </c>
      <c r="AG75" s="22" t="n">
        <f aca="false">IF(T75="Y",0,IF(Y75="Y",Scoring!$C$41,IF(ISNUMBER(O75),IF(O75&gt;=25,Scoring!$C$42,IF(O75&gt;=15,Scoring!$C$43,Scoring!$C$44)),Scoring!$C$44)))</f>
        <v>8</v>
      </c>
      <c r="AH75" s="22" t="n">
        <f aca="false">IF(T75="Y",0,IF(W75="",Scoring!$C$49,IFERROR(VLOOKUP(W75,Scoring!$B$45:$C$48,2,FALSE()),Scoring!$C$49)))</f>
        <v>5</v>
      </c>
      <c r="AI75" s="23" t="n">
        <f aca="false">C75+IF(ISNUMBER(J75),J75,0)/100000+(10000-ROW())/1000000000</f>
        <v>70.000289925</v>
      </c>
      <c r="AJ75" s="18"/>
      <c r="AK75" s="18"/>
      <c r="AL75" s="18"/>
      <c r="AM75" s="18"/>
    </row>
    <row r="76" customFormat="false" ht="15" hidden="false" customHeight="false" outlineLevel="0" collapsed="false">
      <c r="A76" s="15" t="n">
        <f aca="false">RANK(AI76,$AI$2:$AI$755)</f>
        <v>75</v>
      </c>
      <c r="B76" s="16" t="str">
        <f aca="false">IF(T76="Y","Superseded",IF(C76&gt;=Scoring!$B$16,"Immediate",IF(C76&gt;=Scoring!$B$17,"This week",IF(C76&gt;=Scoring!$B$18,"Nurture","Low"))))</f>
        <v>This week</v>
      </c>
      <c r="C76" s="3" t="n">
        <f aca="false">SUM(AC76:AH76)</f>
        <v>70</v>
      </c>
      <c r="D76" s="15" t="str">
        <f aca="false">IF(T76="Y","Superseded record",IF(AND(U76&lt;&gt;"",AA76&lt;0),"Expired (verified)",IF(AND(U76&lt;&gt;"",AA76&lt;=Scoring!$B$5),"Expiring: notice window (verified)",IF(AND(U76&lt;&gt;"",AA76&lt;=Scoring!$B$6),"Expiring: 10-yr horizon (verified)",IF(M76="No Longer Monitored","Out of program",IF(N76="","Unknown vintage",IF(N76&lt;Scoring!$B$12,"Pre-1990, still listed",IF(AND(U76="",AA76&lt;0),"Past 30-yr mark (verify)",IF(AND(U76="",AA76&lt;=Scoring!$B$5),"30-yr mark: notice window (est.)",IF(AND(O76&gt;=Scoring!$B$7,O76&lt;=Scoring!$B$8),"Year-15 window",IF(O76&gt;=Scoring!$B$9,"Recap window",IF(O76&gt;=11,"Late compliance","Credit period"))))))))))))</f>
        <v>30-yr mark: notice window (est.)</v>
      </c>
      <c r="E76" s="15" t="s">
        <v>396</v>
      </c>
      <c r="F76" s="15" t="s">
        <v>397</v>
      </c>
      <c r="G76" s="15" t="s">
        <v>398</v>
      </c>
      <c r="H76" s="15" t="s">
        <v>97</v>
      </c>
      <c r="I76" s="15" t="s">
        <v>399</v>
      </c>
      <c r="J76" s="15" t="n">
        <v>28</v>
      </c>
      <c r="K76" s="15" t="n">
        <v>28</v>
      </c>
      <c r="L76" s="15" t="n">
        <f aca="false">IF(OR(J76="",K76=""),"",MAX(J76-K76,0))</f>
        <v>0</v>
      </c>
      <c r="M76" s="15" t="s">
        <v>99</v>
      </c>
      <c r="N76" s="17" t="n">
        <v>1999</v>
      </c>
      <c r="O76" s="15" t="n">
        <f aca="false">IF(N76="","",Scoring!$B$4-N76)</f>
        <v>27</v>
      </c>
      <c r="P76" s="15" t="n">
        <f aca="false">IF(N76="","",N76+14)</f>
        <v>2013</v>
      </c>
      <c r="Q76" s="15" t="n">
        <f aca="false">IF(N76="","",IF(N76&lt;Scoring!$B$12,"n/a (pre-1990)",N76+Scoring!$B$13))</f>
        <v>2028</v>
      </c>
      <c r="R76" s="15" t="str">
        <f aca="false">IF(J76="","Unknown",IF(J76&gt;=5,"Yes","No (under 5 units)"))</f>
        <v>Yes</v>
      </c>
      <c r="S76" s="15"/>
      <c r="T76" s="18"/>
      <c r="U76" s="19"/>
      <c r="V76" s="18"/>
      <c r="W76" s="18"/>
      <c r="X76" s="20"/>
      <c r="Y76" s="18"/>
      <c r="Z76" s="18"/>
      <c r="AA76" s="21" t="n">
        <f aca="false">IF(U76&lt;&gt;"",(U76-Scoring!$B$3)/365.25,IF(N76="","",IF(N76&lt;Scoring!$B$12,"",(DATE(N76+Scoring!$B$13,12,31)-Scoring!$B$3)/365.25)))</f>
        <v>2.24777549623546</v>
      </c>
      <c r="AB76" s="22" t="n">
        <f aca="false">IF(T76="Y",0,IF(OR(D76="Expired (verified)",D76="Expiring: notice window (verified)",D76="Expiring: 10-yr horizon (verified)",D76="Past 30-yr mark (verify)",D76="30-yr mark: notice window (est.)",D76="Year-15 window"),1,0)+IF(ISNUMBER(O76),IF(O76&gt;=Scoring!$B$10,1,0),0)+IF(AND(ISNUMBER(L76),ISNUMBER(J76)),IF(J76&gt;0,IF(L76/J76&gt;=Scoring!$B$11,1,0),0),0)+IF(ISNUMBER(Z76),MIN(Z76,3),0))</f>
        <v>2</v>
      </c>
      <c r="AC76" s="22" t="n">
        <f aca="false">IF(AB76&gt;=3,Scoring!$C$24,IF(AB76=2,Scoring!$C$23,IF(AB76=1,Scoring!$C$22,0)))</f>
        <v>18</v>
      </c>
      <c r="AD76" s="22" t="n">
        <f aca="false">IF(T76="Y",0,IF(ISNUMBER(X76),IF(X76&gt;0.7,Scoring!$C$25,IF(X76&gt;=0.5,Scoring!$C$26,IF(X76&gt;=0.3,Scoring!$C$27,Scoring!$C$28))),Scoring!$C$29))</f>
        <v>10</v>
      </c>
      <c r="AE76" s="22" t="n">
        <f aca="false">IF(D76="Expiring: notice window (verified)",Scoring!$C$30,IF(OR(D76="Expired (verified)",D76="30-yr mark: notice window (est.)",D76="Year-15 window"),Scoring!$C$31,IF(D76="Expiring: 10-yr horizon (verified)",Scoring!$C$32,IF(D76="Past 30-yr mark (verify)",Scoring!$C$33,IF(OR(D76="Credit period",D76="Superseded record"),Scoring!$C$35,Scoring!$C$34)))))</f>
        <v>14</v>
      </c>
      <c r="AF76" s="22" t="n">
        <f aca="false">IF(T76="Y",0,IF(ISNUMBER(V76),IF(Scoring!$B$4-V76&gt;15,Scoring!$C$36,IF(Scoring!$B$4-V76&gt;=10,Scoring!$C$37,IF(Scoring!$B$4-V76&gt;=5,Scoring!$C$38,Scoring!$C$39))),IF(OR(N76="",D76="Out of program"),Scoring!$C$40,IF(O76&gt;15,Scoring!$C$36,IF(O76&gt;=10,Scoring!$C$37,IF(O76&gt;=5,Scoring!$C$38,Scoring!$C$39))))))</f>
        <v>15</v>
      </c>
      <c r="AG76" s="22" t="n">
        <f aca="false">IF(T76="Y",0,IF(Y76="Y",Scoring!$C$41,IF(ISNUMBER(O76),IF(O76&gt;=25,Scoring!$C$42,IF(O76&gt;=15,Scoring!$C$43,Scoring!$C$44)),Scoring!$C$44)))</f>
        <v>8</v>
      </c>
      <c r="AH76" s="22" t="n">
        <f aca="false">IF(T76="Y",0,IF(W76="",Scoring!$C$49,IFERROR(VLOOKUP(W76,Scoring!$B$45:$C$48,2,FALSE()),Scoring!$C$49)))</f>
        <v>5</v>
      </c>
      <c r="AI76" s="23" t="n">
        <f aca="false">C76+IF(ISNUMBER(J76),J76,0)/100000+(10000-ROW())/1000000000</f>
        <v>70.000289924</v>
      </c>
      <c r="AJ76" s="18"/>
      <c r="AK76" s="18"/>
      <c r="AL76" s="18"/>
      <c r="AM76" s="18"/>
    </row>
    <row r="77" customFormat="false" ht="15" hidden="false" customHeight="false" outlineLevel="0" collapsed="false">
      <c r="A77" s="15" t="n">
        <f aca="false">RANK(AI77,$AI$2:$AI$755)</f>
        <v>76</v>
      </c>
      <c r="B77" s="16" t="str">
        <f aca="false">IF(T77="Y","Superseded",IF(C77&gt;=Scoring!$B$16,"Immediate",IF(C77&gt;=Scoring!$B$17,"This week",IF(C77&gt;=Scoring!$B$18,"Nurture","Low"))))</f>
        <v>This week</v>
      </c>
      <c r="C77" s="3" t="n">
        <f aca="false">SUM(AC77:AH77)</f>
        <v>70</v>
      </c>
      <c r="D77" s="15" t="str">
        <f aca="false">IF(T77="Y","Superseded record",IF(AND(U77&lt;&gt;"",AA77&lt;0),"Expired (verified)",IF(AND(U77&lt;&gt;"",AA77&lt;=Scoring!$B$5),"Expiring: notice window (verified)",IF(AND(U77&lt;&gt;"",AA77&lt;=Scoring!$B$6),"Expiring: 10-yr horizon (verified)",IF(M77="No Longer Monitored","Out of program",IF(N77="","Unknown vintage",IF(N77&lt;Scoring!$B$12,"Pre-1990, still listed",IF(AND(U77="",AA77&lt;0),"Past 30-yr mark (verify)",IF(AND(U77="",AA77&lt;=Scoring!$B$5),"30-yr mark: notice window (est.)",IF(AND(O77&gt;=Scoring!$B$7,O77&lt;=Scoring!$B$8),"Year-15 window",IF(O77&gt;=Scoring!$B$9,"Recap window",IF(O77&gt;=11,"Late compliance","Credit period"))))))))))))</f>
        <v>30-yr mark: notice window (est.)</v>
      </c>
      <c r="E77" s="15" t="s">
        <v>400</v>
      </c>
      <c r="F77" s="15" t="s">
        <v>401</v>
      </c>
      <c r="G77" s="15" t="s">
        <v>402</v>
      </c>
      <c r="H77" s="15" t="s">
        <v>403</v>
      </c>
      <c r="I77" s="15" t="s">
        <v>404</v>
      </c>
      <c r="J77" s="15" t="n">
        <v>26</v>
      </c>
      <c r="K77" s="15" t="n">
        <v>26</v>
      </c>
      <c r="L77" s="15" t="n">
        <f aca="false">IF(OR(J77="",K77=""),"",MAX(J77-K77,0))</f>
        <v>0</v>
      </c>
      <c r="M77" s="15" t="s">
        <v>99</v>
      </c>
      <c r="N77" s="17" t="n">
        <v>1997</v>
      </c>
      <c r="O77" s="15" t="n">
        <f aca="false">IF(N77="","",Scoring!$B$4-N77)</f>
        <v>29</v>
      </c>
      <c r="P77" s="15" t="n">
        <f aca="false">IF(N77="","",N77+14)</f>
        <v>2011</v>
      </c>
      <c r="Q77" s="15" t="n">
        <f aca="false">IF(N77="","",IF(N77&lt;Scoring!$B$12,"n/a (pre-1990)",N77+Scoring!$B$13))</f>
        <v>2026</v>
      </c>
      <c r="R77" s="15" t="str">
        <f aca="false">IF(J77="","Unknown",IF(J77&gt;=5,"Yes","No (under 5 units)"))</f>
        <v>Yes</v>
      </c>
      <c r="S77" s="15"/>
      <c r="T77" s="18"/>
      <c r="U77" s="19"/>
      <c r="V77" s="18"/>
      <c r="W77" s="18"/>
      <c r="X77" s="20"/>
      <c r="Y77" s="18"/>
      <c r="Z77" s="18"/>
      <c r="AA77" s="21" t="n">
        <f aca="false">IF(U77&lt;&gt;"",(U77-Scoring!$B$3)/365.25,IF(N77="","",IF(N77&lt;Scoring!$B$12,"",(DATE(N77+Scoring!$B$13,12,31)-Scoring!$B$3)/365.25)))</f>
        <v>0.246406570841889</v>
      </c>
      <c r="AB77" s="22" t="n">
        <f aca="false">IF(T77="Y",0,IF(OR(D77="Expired (verified)",D77="Expiring: notice window (verified)",D77="Expiring: 10-yr horizon (verified)",D77="Past 30-yr mark (verify)",D77="30-yr mark: notice window (est.)",D77="Year-15 window"),1,0)+IF(ISNUMBER(O77),IF(O77&gt;=Scoring!$B$10,1,0),0)+IF(AND(ISNUMBER(L77),ISNUMBER(J77)),IF(J77&gt;0,IF(L77/J77&gt;=Scoring!$B$11,1,0),0),0)+IF(ISNUMBER(Z77),MIN(Z77,3),0))</f>
        <v>2</v>
      </c>
      <c r="AC77" s="22" t="n">
        <f aca="false">IF(AB77&gt;=3,Scoring!$C$24,IF(AB77=2,Scoring!$C$23,IF(AB77=1,Scoring!$C$22,0)))</f>
        <v>18</v>
      </c>
      <c r="AD77" s="22" t="n">
        <f aca="false">IF(T77="Y",0,IF(ISNUMBER(X77),IF(X77&gt;0.7,Scoring!$C$25,IF(X77&gt;=0.5,Scoring!$C$26,IF(X77&gt;=0.3,Scoring!$C$27,Scoring!$C$28))),Scoring!$C$29))</f>
        <v>10</v>
      </c>
      <c r="AE77" s="22" t="n">
        <f aca="false">IF(D77="Expiring: notice window (verified)",Scoring!$C$30,IF(OR(D77="Expired (verified)",D77="30-yr mark: notice window (est.)",D77="Year-15 window"),Scoring!$C$31,IF(D77="Expiring: 10-yr horizon (verified)",Scoring!$C$32,IF(D77="Past 30-yr mark (verify)",Scoring!$C$33,IF(OR(D77="Credit period",D77="Superseded record"),Scoring!$C$35,Scoring!$C$34)))))</f>
        <v>14</v>
      </c>
      <c r="AF77" s="22" t="n">
        <f aca="false">IF(T77="Y",0,IF(ISNUMBER(V77),IF(Scoring!$B$4-V77&gt;15,Scoring!$C$36,IF(Scoring!$B$4-V77&gt;=10,Scoring!$C$37,IF(Scoring!$B$4-V77&gt;=5,Scoring!$C$38,Scoring!$C$39))),IF(OR(N77="",D77="Out of program"),Scoring!$C$40,IF(O77&gt;15,Scoring!$C$36,IF(O77&gt;=10,Scoring!$C$37,IF(O77&gt;=5,Scoring!$C$38,Scoring!$C$39))))))</f>
        <v>15</v>
      </c>
      <c r="AG77" s="22" t="n">
        <f aca="false">IF(T77="Y",0,IF(Y77="Y",Scoring!$C$41,IF(ISNUMBER(O77),IF(O77&gt;=25,Scoring!$C$42,IF(O77&gt;=15,Scoring!$C$43,Scoring!$C$44)),Scoring!$C$44)))</f>
        <v>8</v>
      </c>
      <c r="AH77" s="22" t="n">
        <f aca="false">IF(T77="Y",0,IF(W77="",Scoring!$C$49,IFERROR(VLOOKUP(W77,Scoring!$B$45:$C$48,2,FALSE()),Scoring!$C$49)))</f>
        <v>5</v>
      </c>
      <c r="AI77" s="23" t="n">
        <f aca="false">C77+IF(ISNUMBER(J77),J77,0)/100000+(10000-ROW())/1000000000</f>
        <v>70.000269923</v>
      </c>
      <c r="AJ77" s="18"/>
      <c r="AK77" s="18"/>
      <c r="AL77" s="18"/>
      <c r="AM77" s="18"/>
    </row>
    <row r="78" customFormat="false" ht="15" hidden="false" customHeight="false" outlineLevel="0" collapsed="false">
      <c r="A78" s="15" t="n">
        <f aca="false">RANK(AI78,$AI$2:$AI$755)</f>
        <v>77</v>
      </c>
      <c r="B78" s="16" t="str">
        <f aca="false">IF(T78="Y","Superseded",IF(C78&gt;=Scoring!$B$16,"Immediate",IF(C78&gt;=Scoring!$B$17,"This week",IF(C78&gt;=Scoring!$B$18,"Nurture","Low"))))</f>
        <v>This week</v>
      </c>
      <c r="C78" s="3" t="n">
        <f aca="false">SUM(AC78:AH78)</f>
        <v>70</v>
      </c>
      <c r="D78" s="15" t="str">
        <f aca="false">IF(T78="Y","Superseded record",IF(AND(U78&lt;&gt;"",AA78&lt;0),"Expired (verified)",IF(AND(U78&lt;&gt;"",AA78&lt;=Scoring!$B$5),"Expiring: notice window (verified)",IF(AND(U78&lt;&gt;"",AA78&lt;=Scoring!$B$6),"Expiring: 10-yr horizon (verified)",IF(M78="No Longer Monitored","Out of program",IF(N78="","Unknown vintage",IF(N78&lt;Scoring!$B$12,"Pre-1990, still listed",IF(AND(U78="",AA78&lt;0),"Past 30-yr mark (verify)",IF(AND(U78="",AA78&lt;=Scoring!$B$5),"30-yr mark: notice window (est.)",IF(AND(O78&gt;=Scoring!$B$7,O78&lt;=Scoring!$B$8),"Year-15 window",IF(O78&gt;=Scoring!$B$9,"Recap window",IF(O78&gt;=11,"Late compliance","Credit period"))))))))))))</f>
        <v>30-yr mark: notice window (est.)</v>
      </c>
      <c r="E78" s="15" t="s">
        <v>405</v>
      </c>
      <c r="F78" s="15" t="s">
        <v>406</v>
      </c>
      <c r="G78" s="15" t="s">
        <v>407</v>
      </c>
      <c r="H78" s="15" t="s">
        <v>311</v>
      </c>
      <c r="I78" s="15" t="s">
        <v>312</v>
      </c>
      <c r="J78" s="15" t="n">
        <v>25</v>
      </c>
      <c r="K78" s="15" t="n">
        <v>25</v>
      </c>
      <c r="L78" s="15" t="n">
        <f aca="false">IF(OR(J78="",K78=""),"",MAX(J78-K78,0))</f>
        <v>0</v>
      </c>
      <c r="M78" s="15" t="s">
        <v>99</v>
      </c>
      <c r="N78" s="17" t="n">
        <v>1997</v>
      </c>
      <c r="O78" s="15" t="n">
        <f aca="false">IF(N78="","",Scoring!$B$4-N78)</f>
        <v>29</v>
      </c>
      <c r="P78" s="15" t="n">
        <f aca="false">IF(N78="","",N78+14)</f>
        <v>2011</v>
      </c>
      <c r="Q78" s="15" t="n">
        <f aca="false">IF(N78="","",IF(N78&lt;Scoring!$B$12,"n/a (pre-1990)",N78+Scoring!$B$13))</f>
        <v>2026</v>
      </c>
      <c r="R78" s="15" t="str">
        <f aca="false">IF(J78="","Unknown",IF(J78&gt;=5,"Yes","No (under 5 units)"))</f>
        <v>Yes</v>
      </c>
      <c r="S78" s="15"/>
      <c r="T78" s="18"/>
      <c r="U78" s="19"/>
      <c r="V78" s="18"/>
      <c r="W78" s="18"/>
      <c r="X78" s="20"/>
      <c r="Y78" s="18"/>
      <c r="Z78" s="18"/>
      <c r="AA78" s="21" t="n">
        <f aca="false">IF(U78&lt;&gt;"",(U78-Scoring!$B$3)/365.25,IF(N78="","",IF(N78&lt;Scoring!$B$12,"",(DATE(N78+Scoring!$B$13,12,31)-Scoring!$B$3)/365.25)))</f>
        <v>0.246406570841889</v>
      </c>
      <c r="AB78" s="22" t="n">
        <f aca="false">IF(T78="Y",0,IF(OR(D78="Expired (verified)",D78="Expiring: notice window (verified)",D78="Expiring: 10-yr horizon (verified)",D78="Past 30-yr mark (verify)",D78="30-yr mark: notice window (est.)",D78="Year-15 window"),1,0)+IF(ISNUMBER(O78),IF(O78&gt;=Scoring!$B$10,1,0),0)+IF(AND(ISNUMBER(L78),ISNUMBER(J78)),IF(J78&gt;0,IF(L78/J78&gt;=Scoring!$B$11,1,0),0),0)+IF(ISNUMBER(Z78),MIN(Z78,3),0))</f>
        <v>2</v>
      </c>
      <c r="AC78" s="22" t="n">
        <f aca="false">IF(AB78&gt;=3,Scoring!$C$24,IF(AB78=2,Scoring!$C$23,IF(AB78=1,Scoring!$C$22,0)))</f>
        <v>18</v>
      </c>
      <c r="AD78" s="22" t="n">
        <f aca="false">IF(T78="Y",0,IF(ISNUMBER(X78),IF(X78&gt;0.7,Scoring!$C$25,IF(X78&gt;=0.5,Scoring!$C$26,IF(X78&gt;=0.3,Scoring!$C$27,Scoring!$C$28))),Scoring!$C$29))</f>
        <v>10</v>
      </c>
      <c r="AE78" s="22" t="n">
        <f aca="false">IF(D78="Expiring: notice window (verified)",Scoring!$C$30,IF(OR(D78="Expired (verified)",D78="30-yr mark: notice window (est.)",D78="Year-15 window"),Scoring!$C$31,IF(D78="Expiring: 10-yr horizon (verified)",Scoring!$C$32,IF(D78="Past 30-yr mark (verify)",Scoring!$C$33,IF(OR(D78="Credit period",D78="Superseded record"),Scoring!$C$35,Scoring!$C$34)))))</f>
        <v>14</v>
      </c>
      <c r="AF78" s="22" t="n">
        <f aca="false">IF(T78="Y",0,IF(ISNUMBER(V78),IF(Scoring!$B$4-V78&gt;15,Scoring!$C$36,IF(Scoring!$B$4-V78&gt;=10,Scoring!$C$37,IF(Scoring!$B$4-V78&gt;=5,Scoring!$C$38,Scoring!$C$39))),IF(OR(N78="",D78="Out of program"),Scoring!$C$40,IF(O78&gt;15,Scoring!$C$36,IF(O78&gt;=10,Scoring!$C$37,IF(O78&gt;=5,Scoring!$C$38,Scoring!$C$39))))))</f>
        <v>15</v>
      </c>
      <c r="AG78" s="22" t="n">
        <f aca="false">IF(T78="Y",0,IF(Y78="Y",Scoring!$C$41,IF(ISNUMBER(O78),IF(O78&gt;=25,Scoring!$C$42,IF(O78&gt;=15,Scoring!$C$43,Scoring!$C$44)),Scoring!$C$44)))</f>
        <v>8</v>
      </c>
      <c r="AH78" s="22" t="n">
        <f aca="false">IF(T78="Y",0,IF(W78="",Scoring!$C$49,IFERROR(VLOOKUP(W78,Scoring!$B$45:$C$48,2,FALSE()),Scoring!$C$49)))</f>
        <v>5</v>
      </c>
      <c r="AI78" s="23" t="n">
        <f aca="false">C78+IF(ISNUMBER(J78),J78,0)/100000+(10000-ROW())/1000000000</f>
        <v>70.000259922</v>
      </c>
      <c r="AJ78" s="18"/>
      <c r="AK78" s="18"/>
      <c r="AL78" s="18"/>
      <c r="AM78" s="18"/>
    </row>
    <row r="79" customFormat="false" ht="15" hidden="false" customHeight="false" outlineLevel="0" collapsed="false">
      <c r="A79" s="15" t="n">
        <f aca="false">RANK(AI79,$AI$2:$AI$755)</f>
        <v>78</v>
      </c>
      <c r="B79" s="16" t="str">
        <f aca="false">IF(T79="Y","Superseded",IF(C79&gt;=Scoring!$B$16,"Immediate",IF(C79&gt;=Scoring!$B$17,"This week",IF(C79&gt;=Scoring!$B$18,"Nurture","Low"))))</f>
        <v>This week</v>
      </c>
      <c r="C79" s="3" t="n">
        <f aca="false">SUM(AC79:AH79)</f>
        <v>70</v>
      </c>
      <c r="D79" s="15" t="str">
        <f aca="false">IF(T79="Y","Superseded record",IF(AND(U79&lt;&gt;"",AA79&lt;0),"Expired (verified)",IF(AND(U79&lt;&gt;"",AA79&lt;=Scoring!$B$5),"Expiring: notice window (verified)",IF(AND(U79&lt;&gt;"",AA79&lt;=Scoring!$B$6),"Expiring: 10-yr horizon (verified)",IF(M79="No Longer Monitored","Out of program",IF(N79="","Unknown vintage",IF(N79&lt;Scoring!$B$12,"Pre-1990, still listed",IF(AND(U79="",AA79&lt;0),"Past 30-yr mark (verify)",IF(AND(U79="",AA79&lt;=Scoring!$B$5),"30-yr mark: notice window (est.)",IF(AND(O79&gt;=Scoring!$B$7,O79&lt;=Scoring!$B$8),"Year-15 window",IF(O79&gt;=Scoring!$B$9,"Recap window",IF(O79&gt;=11,"Late compliance","Credit period"))))))))))))</f>
        <v>30-yr mark: notice window (est.)</v>
      </c>
      <c r="E79" s="15" t="s">
        <v>408</v>
      </c>
      <c r="F79" s="15" t="s">
        <v>409</v>
      </c>
      <c r="G79" s="15" t="s">
        <v>410</v>
      </c>
      <c r="H79" s="15" t="s">
        <v>411</v>
      </c>
      <c r="I79" s="15" t="s">
        <v>412</v>
      </c>
      <c r="J79" s="15" t="n">
        <v>24</v>
      </c>
      <c r="K79" s="15" t="n">
        <v>24</v>
      </c>
      <c r="L79" s="15" t="n">
        <f aca="false">IF(OR(J79="",K79=""),"",MAX(J79-K79,0))</f>
        <v>0</v>
      </c>
      <c r="M79" s="15" t="s">
        <v>99</v>
      </c>
      <c r="N79" s="17" t="n">
        <v>1999</v>
      </c>
      <c r="O79" s="15" t="n">
        <f aca="false">IF(N79="","",Scoring!$B$4-N79)</f>
        <v>27</v>
      </c>
      <c r="P79" s="15" t="n">
        <f aca="false">IF(N79="","",N79+14)</f>
        <v>2013</v>
      </c>
      <c r="Q79" s="15" t="n">
        <f aca="false">IF(N79="","",IF(N79&lt;Scoring!$B$12,"n/a (pre-1990)",N79+Scoring!$B$13))</f>
        <v>2028</v>
      </c>
      <c r="R79" s="15" t="str">
        <f aca="false">IF(J79="","Unknown",IF(J79&gt;=5,"Yes","No (under 5 units)"))</f>
        <v>Yes</v>
      </c>
      <c r="S79" s="15"/>
      <c r="T79" s="18"/>
      <c r="U79" s="19"/>
      <c r="V79" s="18"/>
      <c r="W79" s="18"/>
      <c r="X79" s="20"/>
      <c r="Y79" s="18"/>
      <c r="Z79" s="18"/>
      <c r="AA79" s="21" t="n">
        <f aca="false">IF(U79&lt;&gt;"",(U79-Scoring!$B$3)/365.25,IF(N79="","",IF(N79&lt;Scoring!$B$12,"",(DATE(N79+Scoring!$B$13,12,31)-Scoring!$B$3)/365.25)))</f>
        <v>2.24777549623546</v>
      </c>
      <c r="AB79" s="22" t="n">
        <f aca="false">IF(T79="Y",0,IF(OR(D79="Expired (verified)",D79="Expiring: notice window (verified)",D79="Expiring: 10-yr horizon (verified)",D79="Past 30-yr mark (verify)",D79="30-yr mark: notice window (est.)",D79="Year-15 window"),1,0)+IF(ISNUMBER(O79),IF(O79&gt;=Scoring!$B$10,1,0),0)+IF(AND(ISNUMBER(L79),ISNUMBER(J79)),IF(J79&gt;0,IF(L79/J79&gt;=Scoring!$B$11,1,0),0),0)+IF(ISNUMBER(Z79),MIN(Z79,3),0))</f>
        <v>2</v>
      </c>
      <c r="AC79" s="22" t="n">
        <f aca="false">IF(AB79&gt;=3,Scoring!$C$24,IF(AB79=2,Scoring!$C$23,IF(AB79=1,Scoring!$C$22,0)))</f>
        <v>18</v>
      </c>
      <c r="AD79" s="22" t="n">
        <f aca="false">IF(T79="Y",0,IF(ISNUMBER(X79),IF(X79&gt;0.7,Scoring!$C$25,IF(X79&gt;=0.5,Scoring!$C$26,IF(X79&gt;=0.3,Scoring!$C$27,Scoring!$C$28))),Scoring!$C$29))</f>
        <v>10</v>
      </c>
      <c r="AE79" s="22" t="n">
        <f aca="false">IF(D79="Expiring: notice window (verified)",Scoring!$C$30,IF(OR(D79="Expired (verified)",D79="30-yr mark: notice window (est.)",D79="Year-15 window"),Scoring!$C$31,IF(D79="Expiring: 10-yr horizon (verified)",Scoring!$C$32,IF(D79="Past 30-yr mark (verify)",Scoring!$C$33,IF(OR(D79="Credit period",D79="Superseded record"),Scoring!$C$35,Scoring!$C$34)))))</f>
        <v>14</v>
      </c>
      <c r="AF79" s="22" t="n">
        <f aca="false">IF(T79="Y",0,IF(ISNUMBER(V79),IF(Scoring!$B$4-V79&gt;15,Scoring!$C$36,IF(Scoring!$B$4-V79&gt;=10,Scoring!$C$37,IF(Scoring!$B$4-V79&gt;=5,Scoring!$C$38,Scoring!$C$39))),IF(OR(N79="",D79="Out of program"),Scoring!$C$40,IF(O79&gt;15,Scoring!$C$36,IF(O79&gt;=10,Scoring!$C$37,IF(O79&gt;=5,Scoring!$C$38,Scoring!$C$39))))))</f>
        <v>15</v>
      </c>
      <c r="AG79" s="22" t="n">
        <f aca="false">IF(T79="Y",0,IF(Y79="Y",Scoring!$C$41,IF(ISNUMBER(O79),IF(O79&gt;=25,Scoring!$C$42,IF(O79&gt;=15,Scoring!$C$43,Scoring!$C$44)),Scoring!$C$44)))</f>
        <v>8</v>
      </c>
      <c r="AH79" s="22" t="n">
        <f aca="false">IF(T79="Y",0,IF(W79="",Scoring!$C$49,IFERROR(VLOOKUP(W79,Scoring!$B$45:$C$48,2,FALSE()),Scoring!$C$49)))</f>
        <v>5</v>
      </c>
      <c r="AI79" s="23" t="n">
        <f aca="false">C79+IF(ISNUMBER(J79),J79,0)/100000+(10000-ROW())/1000000000</f>
        <v>70.000249921</v>
      </c>
      <c r="AJ79" s="18"/>
      <c r="AK79" s="18"/>
      <c r="AL79" s="18"/>
      <c r="AM79" s="18"/>
    </row>
    <row r="80" customFormat="false" ht="15" hidden="false" customHeight="false" outlineLevel="0" collapsed="false">
      <c r="A80" s="15" t="n">
        <f aca="false">RANK(AI80,$AI$2:$AI$755)</f>
        <v>79</v>
      </c>
      <c r="B80" s="16" t="str">
        <f aca="false">IF(T80="Y","Superseded",IF(C80&gt;=Scoring!$B$16,"Immediate",IF(C80&gt;=Scoring!$B$17,"This week",IF(C80&gt;=Scoring!$B$18,"Nurture","Low"))))</f>
        <v>This week</v>
      </c>
      <c r="C80" s="3" t="n">
        <f aca="false">SUM(AC80:AH80)</f>
        <v>70</v>
      </c>
      <c r="D80" s="15" t="str">
        <f aca="false">IF(T80="Y","Superseded record",IF(AND(U80&lt;&gt;"",AA80&lt;0),"Expired (verified)",IF(AND(U80&lt;&gt;"",AA80&lt;=Scoring!$B$5),"Expiring: notice window (verified)",IF(AND(U80&lt;&gt;"",AA80&lt;=Scoring!$B$6),"Expiring: 10-yr horizon (verified)",IF(M80="No Longer Monitored","Out of program",IF(N80="","Unknown vintage",IF(N80&lt;Scoring!$B$12,"Pre-1990, still listed",IF(AND(U80="",AA80&lt;0),"Past 30-yr mark (verify)",IF(AND(U80="",AA80&lt;=Scoring!$B$5),"30-yr mark: notice window (est.)",IF(AND(O80&gt;=Scoring!$B$7,O80&lt;=Scoring!$B$8),"Year-15 window",IF(O80&gt;=Scoring!$B$9,"Recap window",IF(O80&gt;=11,"Late compliance","Credit period"))))))))))))</f>
        <v>30-yr mark: notice window (est.)</v>
      </c>
      <c r="E80" s="15" t="s">
        <v>413</v>
      </c>
      <c r="F80" s="15" t="s">
        <v>414</v>
      </c>
      <c r="G80" s="15" t="s">
        <v>415</v>
      </c>
      <c r="H80" s="15" t="s">
        <v>146</v>
      </c>
      <c r="I80" s="15" t="s">
        <v>147</v>
      </c>
      <c r="J80" s="15" t="n">
        <v>20</v>
      </c>
      <c r="K80" s="15" t="n">
        <v>20</v>
      </c>
      <c r="L80" s="15" t="n">
        <f aca="false">IF(OR(J80="",K80=""),"",MAX(J80-K80,0))</f>
        <v>0</v>
      </c>
      <c r="M80" s="15" t="s">
        <v>99</v>
      </c>
      <c r="N80" s="17" t="n">
        <v>1997</v>
      </c>
      <c r="O80" s="15" t="n">
        <f aca="false">IF(N80="","",Scoring!$B$4-N80)</f>
        <v>29</v>
      </c>
      <c r="P80" s="15" t="n">
        <f aca="false">IF(N80="","",N80+14)</f>
        <v>2011</v>
      </c>
      <c r="Q80" s="15" t="n">
        <f aca="false">IF(N80="","",IF(N80&lt;Scoring!$B$12,"n/a (pre-1990)",N80+Scoring!$B$13))</f>
        <v>2026</v>
      </c>
      <c r="R80" s="15" t="str">
        <f aca="false">IF(J80="","Unknown",IF(J80&gt;=5,"Yes","No (under 5 units)"))</f>
        <v>Yes</v>
      </c>
      <c r="S80" s="15"/>
      <c r="T80" s="18"/>
      <c r="U80" s="19"/>
      <c r="V80" s="18"/>
      <c r="W80" s="18"/>
      <c r="X80" s="20"/>
      <c r="Y80" s="18"/>
      <c r="Z80" s="18"/>
      <c r="AA80" s="21" t="n">
        <f aca="false">IF(U80&lt;&gt;"",(U80-Scoring!$B$3)/365.25,IF(N80="","",IF(N80&lt;Scoring!$B$12,"",(DATE(N80+Scoring!$B$13,12,31)-Scoring!$B$3)/365.25)))</f>
        <v>0.246406570841889</v>
      </c>
      <c r="AB80" s="22" t="n">
        <f aca="false">IF(T80="Y",0,IF(OR(D80="Expired (verified)",D80="Expiring: notice window (verified)",D80="Expiring: 10-yr horizon (verified)",D80="Past 30-yr mark (verify)",D80="30-yr mark: notice window (est.)",D80="Year-15 window"),1,0)+IF(ISNUMBER(O80),IF(O80&gt;=Scoring!$B$10,1,0),0)+IF(AND(ISNUMBER(L80),ISNUMBER(J80)),IF(J80&gt;0,IF(L80/J80&gt;=Scoring!$B$11,1,0),0),0)+IF(ISNUMBER(Z80),MIN(Z80,3),0))</f>
        <v>2</v>
      </c>
      <c r="AC80" s="22" t="n">
        <f aca="false">IF(AB80&gt;=3,Scoring!$C$24,IF(AB80=2,Scoring!$C$23,IF(AB80=1,Scoring!$C$22,0)))</f>
        <v>18</v>
      </c>
      <c r="AD80" s="22" t="n">
        <f aca="false">IF(T80="Y",0,IF(ISNUMBER(X80),IF(X80&gt;0.7,Scoring!$C$25,IF(X80&gt;=0.5,Scoring!$C$26,IF(X80&gt;=0.3,Scoring!$C$27,Scoring!$C$28))),Scoring!$C$29))</f>
        <v>10</v>
      </c>
      <c r="AE80" s="22" t="n">
        <f aca="false">IF(D80="Expiring: notice window (verified)",Scoring!$C$30,IF(OR(D80="Expired (verified)",D80="30-yr mark: notice window (est.)",D80="Year-15 window"),Scoring!$C$31,IF(D80="Expiring: 10-yr horizon (verified)",Scoring!$C$32,IF(D80="Past 30-yr mark (verify)",Scoring!$C$33,IF(OR(D80="Credit period",D80="Superseded record"),Scoring!$C$35,Scoring!$C$34)))))</f>
        <v>14</v>
      </c>
      <c r="AF80" s="22" t="n">
        <f aca="false">IF(T80="Y",0,IF(ISNUMBER(V80),IF(Scoring!$B$4-V80&gt;15,Scoring!$C$36,IF(Scoring!$B$4-V80&gt;=10,Scoring!$C$37,IF(Scoring!$B$4-V80&gt;=5,Scoring!$C$38,Scoring!$C$39))),IF(OR(N80="",D80="Out of program"),Scoring!$C$40,IF(O80&gt;15,Scoring!$C$36,IF(O80&gt;=10,Scoring!$C$37,IF(O80&gt;=5,Scoring!$C$38,Scoring!$C$39))))))</f>
        <v>15</v>
      </c>
      <c r="AG80" s="22" t="n">
        <f aca="false">IF(T80="Y",0,IF(Y80="Y",Scoring!$C$41,IF(ISNUMBER(O80),IF(O80&gt;=25,Scoring!$C$42,IF(O80&gt;=15,Scoring!$C$43,Scoring!$C$44)),Scoring!$C$44)))</f>
        <v>8</v>
      </c>
      <c r="AH80" s="22" t="n">
        <f aca="false">IF(T80="Y",0,IF(W80="",Scoring!$C$49,IFERROR(VLOOKUP(W80,Scoring!$B$45:$C$48,2,FALSE()),Scoring!$C$49)))</f>
        <v>5</v>
      </c>
      <c r="AI80" s="23" t="n">
        <f aca="false">C80+IF(ISNUMBER(J80),J80,0)/100000+(10000-ROW())/1000000000</f>
        <v>70.00020992</v>
      </c>
      <c r="AJ80" s="18"/>
      <c r="AK80" s="18"/>
      <c r="AL80" s="18"/>
      <c r="AM80" s="18"/>
    </row>
    <row r="81" customFormat="false" ht="15" hidden="false" customHeight="false" outlineLevel="0" collapsed="false">
      <c r="A81" s="15" t="n">
        <f aca="false">RANK(AI81,$AI$2:$AI$755)</f>
        <v>80</v>
      </c>
      <c r="B81" s="16" t="str">
        <f aca="false">IF(T81="Y","Superseded",IF(C81&gt;=Scoring!$B$16,"Immediate",IF(C81&gt;=Scoring!$B$17,"This week",IF(C81&gt;=Scoring!$B$18,"Nurture","Low"))))</f>
        <v>This week</v>
      </c>
      <c r="C81" s="3" t="n">
        <f aca="false">SUM(AC81:AH81)</f>
        <v>70</v>
      </c>
      <c r="D81" s="15" t="str">
        <f aca="false">IF(T81="Y","Superseded record",IF(AND(U81&lt;&gt;"",AA81&lt;0),"Expired (verified)",IF(AND(U81&lt;&gt;"",AA81&lt;=Scoring!$B$5),"Expiring: notice window (verified)",IF(AND(U81&lt;&gt;"",AA81&lt;=Scoring!$B$6),"Expiring: 10-yr horizon (verified)",IF(M81="No Longer Monitored","Out of program",IF(N81="","Unknown vintage",IF(N81&lt;Scoring!$B$12,"Pre-1990, still listed",IF(AND(U81="",AA81&lt;0),"Past 30-yr mark (verify)",IF(AND(U81="",AA81&lt;=Scoring!$B$5),"30-yr mark: notice window (est.)",IF(AND(O81&gt;=Scoring!$B$7,O81&lt;=Scoring!$B$8),"Year-15 window",IF(O81&gt;=Scoring!$B$9,"Recap window",IF(O81&gt;=11,"Late compliance","Credit period"))))))))))))</f>
        <v>30-yr mark: notice window (est.)</v>
      </c>
      <c r="E81" s="15" t="s">
        <v>416</v>
      </c>
      <c r="F81" s="15" t="s">
        <v>417</v>
      </c>
      <c r="G81" s="15" t="s">
        <v>418</v>
      </c>
      <c r="H81" s="15" t="s">
        <v>419</v>
      </c>
      <c r="I81" s="15"/>
      <c r="J81" s="15" t="n">
        <v>20</v>
      </c>
      <c r="K81" s="15" t="n">
        <v>20</v>
      </c>
      <c r="L81" s="15" t="n">
        <f aca="false">IF(OR(J81="",K81=""),"",MAX(J81-K81,0))</f>
        <v>0</v>
      </c>
      <c r="M81" s="15" t="s">
        <v>99</v>
      </c>
      <c r="N81" s="17" t="n">
        <v>1998</v>
      </c>
      <c r="O81" s="15" t="n">
        <f aca="false">IF(N81="","",Scoring!$B$4-N81)</f>
        <v>28</v>
      </c>
      <c r="P81" s="15" t="n">
        <f aca="false">IF(N81="","",N81+14)</f>
        <v>2012</v>
      </c>
      <c r="Q81" s="15" t="n">
        <f aca="false">IF(N81="","",IF(N81&lt;Scoring!$B$12,"n/a (pre-1990)",N81+Scoring!$B$13))</f>
        <v>2027</v>
      </c>
      <c r="R81" s="15" t="str">
        <f aca="false">IF(J81="","Unknown",IF(J81&gt;=5,"Yes","No (under 5 units)"))</f>
        <v>Yes</v>
      </c>
      <c r="S81" s="15"/>
      <c r="T81" s="18"/>
      <c r="U81" s="19"/>
      <c r="V81" s="18"/>
      <c r="W81" s="18"/>
      <c r="X81" s="20"/>
      <c r="Y81" s="18"/>
      <c r="Z81" s="18"/>
      <c r="AA81" s="21" t="n">
        <f aca="false">IF(U81&lt;&gt;"",(U81-Scoring!$B$3)/365.25,IF(N81="","",IF(N81&lt;Scoring!$B$12,"",(DATE(N81+Scoring!$B$13,12,31)-Scoring!$B$3)/365.25)))</f>
        <v>1.24572210814511</v>
      </c>
      <c r="AB81" s="22" t="n">
        <f aca="false">IF(T81="Y",0,IF(OR(D81="Expired (verified)",D81="Expiring: notice window (verified)",D81="Expiring: 10-yr horizon (verified)",D81="Past 30-yr mark (verify)",D81="30-yr mark: notice window (est.)",D81="Year-15 window"),1,0)+IF(ISNUMBER(O81),IF(O81&gt;=Scoring!$B$10,1,0),0)+IF(AND(ISNUMBER(L81),ISNUMBER(J81)),IF(J81&gt;0,IF(L81/J81&gt;=Scoring!$B$11,1,0),0),0)+IF(ISNUMBER(Z81),MIN(Z81,3),0))</f>
        <v>2</v>
      </c>
      <c r="AC81" s="22" t="n">
        <f aca="false">IF(AB81&gt;=3,Scoring!$C$24,IF(AB81=2,Scoring!$C$23,IF(AB81=1,Scoring!$C$22,0)))</f>
        <v>18</v>
      </c>
      <c r="AD81" s="22" t="n">
        <f aca="false">IF(T81="Y",0,IF(ISNUMBER(X81),IF(X81&gt;0.7,Scoring!$C$25,IF(X81&gt;=0.5,Scoring!$C$26,IF(X81&gt;=0.3,Scoring!$C$27,Scoring!$C$28))),Scoring!$C$29))</f>
        <v>10</v>
      </c>
      <c r="AE81" s="22" t="n">
        <f aca="false">IF(D81="Expiring: notice window (verified)",Scoring!$C$30,IF(OR(D81="Expired (verified)",D81="30-yr mark: notice window (est.)",D81="Year-15 window"),Scoring!$C$31,IF(D81="Expiring: 10-yr horizon (verified)",Scoring!$C$32,IF(D81="Past 30-yr mark (verify)",Scoring!$C$33,IF(OR(D81="Credit period",D81="Superseded record"),Scoring!$C$35,Scoring!$C$34)))))</f>
        <v>14</v>
      </c>
      <c r="AF81" s="22" t="n">
        <f aca="false">IF(T81="Y",0,IF(ISNUMBER(V81),IF(Scoring!$B$4-V81&gt;15,Scoring!$C$36,IF(Scoring!$B$4-V81&gt;=10,Scoring!$C$37,IF(Scoring!$B$4-V81&gt;=5,Scoring!$C$38,Scoring!$C$39))),IF(OR(N81="",D81="Out of program"),Scoring!$C$40,IF(O81&gt;15,Scoring!$C$36,IF(O81&gt;=10,Scoring!$C$37,IF(O81&gt;=5,Scoring!$C$38,Scoring!$C$39))))))</f>
        <v>15</v>
      </c>
      <c r="AG81" s="22" t="n">
        <f aca="false">IF(T81="Y",0,IF(Y81="Y",Scoring!$C$41,IF(ISNUMBER(O81),IF(O81&gt;=25,Scoring!$C$42,IF(O81&gt;=15,Scoring!$C$43,Scoring!$C$44)),Scoring!$C$44)))</f>
        <v>8</v>
      </c>
      <c r="AH81" s="22" t="n">
        <f aca="false">IF(T81="Y",0,IF(W81="",Scoring!$C$49,IFERROR(VLOOKUP(W81,Scoring!$B$45:$C$48,2,FALSE()),Scoring!$C$49)))</f>
        <v>5</v>
      </c>
      <c r="AI81" s="23" t="n">
        <f aca="false">C81+IF(ISNUMBER(J81),J81,0)/100000+(10000-ROW())/1000000000</f>
        <v>70.000209919</v>
      </c>
      <c r="AJ81" s="18"/>
      <c r="AK81" s="18"/>
      <c r="AL81" s="18"/>
      <c r="AM81" s="18"/>
    </row>
    <row r="82" customFormat="false" ht="15" hidden="false" customHeight="false" outlineLevel="0" collapsed="false">
      <c r="A82" s="15" t="n">
        <f aca="false">RANK(AI82,$AI$2:$AI$755)</f>
        <v>81</v>
      </c>
      <c r="B82" s="16" t="str">
        <f aca="false">IF(T82="Y","Superseded",IF(C82&gt;=Scoring!$B$16,"Immediate",IF(C82&gt;=Scoring!$B$17,"This week",IF(C82&gt;=Scoring!$B$18,"Nurture","Low"))))</f>
        <v>This week</v>
      </c>
      <c r="C82" s="3" t="n">
        <f aca="false">SUM(AC82:AH82)</f>
        <v>70</v>
      </c>
      <c r="D82" s="15" t="str">
        <f aca="false">IF(T82="Y","Superseded record",IF(AND(U82&lt;&gt;"",AA82&lt;0),"Expired (verified)",IF(AND(U82&lt;&gt;"",AA82&lt;=Scoring!$B$5),"Expiring: notice window (verified)",IF(AND(U82&lt;&gt;"",AA82&lt;=Scoring!$B$6),"Expiring: 10-yr horizon (verified)",IF(M82="No Longer Monitored","Out of program",IF(N82="","Unknown vintage",IF(N82&lt;Scoring!$B$12,"Pre-1990, still listed",IF(AND(U82="",AA82&lt;0),"Past 30-yr mark (verify)",IF(AND(U82="",AA82&lt;=Scoring!$B$5),"30-yr mark: notice window (est.)",IF(AND(O82&gt;=Scoring!$B$7,O82&lt;=Scoring!$B$8),"Year-15 window",IF(O82&gt;=Scoring!$B$9,"Recap window",IF(O82&gt;=11,"Late compliance","Credit period"))))))))))))</f>
        <v>30-yr mark: notice window (est.)</v>
      </c>
      <c r="E82" s="15" t="s">
        <v>420</v>
      </c>
      <c r="F82" s="15" t="s">
        <v>421</v>
      </c>
      <c r="G82" s="15" t="s">
        <v>422</v>
      </c>
      <c r="H82" s="15" t="s">
        <v>423</v>
      </c>
      <c r="I82" s="15" t="s">
        <v>424</v>
      </c>
      <c r="J82" s="15" t="n">
        <v>20</v>
      </c>
      <c r="K82" s="15" t="n">
        <v>20</v>
      </c>
      <c r="L82" s="15" t="n">
        <f aca="false">IF(OR(J82="",K82=""),"",MAX(J82-K82,0))</f>
        <v>0</v>
      </c>
      <c r="M82" s="15" t="s">
        <v>99</v>
      </c>
      <c r="N82" s="17" t="n">
        <v>1999</v>
      </c>
      <c r="O82" s="15" t="n">
        <f aca="false">IF(N82="","",Scoring!$B$4-N82)</f>
        <v>27</v>
      </c>
      <c r="P82" s="15" t="n">
        <f aca="false">IF(N82="","",N82+14)</f>
        <v>2013</v>
      </c>
      <c r="Q82" s="15" t="n">
        <f aca="false">IF(N82="","",IF(N82&lt;Scoring!$B$12,"n/a (pre-1990)",N82+Scoring!$B$13))</f>
        <v>2028</v>
      </c>
      <c r="R82" s="15" t="str">
        <f aca="false">IF(J82="","Unknown",IF(J82&gt;=5,"Yes","No (under 5 units)"))</f>
        <v>Yes</v>
      </c>
      <c r="S82" s="15"/>
      <c r="T82" s="18"/>
      <c r="U82" s="19"/>
      <c r="V82" s="18"/>
      <c r="W82" s="18"/>
      <c r="X82" s="20"/>
      <c r="Y82" s="18"/>
      <c r="Z82" s="18"/>
      <c r="AA82" s="21" t="n">
        <f aca="false">IF(U82&lt;&gt;"",(U82-Scoring!$B$3)/365.25,IF(N82="","",IF(N82&lt;Scoring!$B$12,"",(DATE(N82+Scoring!$B$13,12,31)-Scoring!$B$3)/365.25)))</f>
        <v>2.24777549623546</v>
      </c>
      <c r="AB82" s="22" t="n">
        <f aca="false">IF(T82="Y",0,IF(OR(D82="Expired (verified)",D82="Expiring: notice window (verified)",D82="Expiring: 10-yr horizon (verified)",D82="Past 30-yr mark (verify)",D82="30-yr mark: notice window (est.)",D82="Year-15 window"),1,0)+IF(ISNUMBER(O82),IF(O82&gt;=Scoring!$B$10,1,0),0)+IF(AND(ISNUMBER(L82),ISNUMBER(J82)),IF(J82&gt;0,IF(L82/J82&gt;=Scoring!$B$11,1,0),0),0)+IF(ISNUMBER(Z82),MIN(Z82,3),0))</f>
        <v>2</v>
      </c>
      <c r="AC82" s="22" t="n">
        <f aca="false">IF(AB82&gt;=3,Scoring!$C$24,IF(AB82=2,Scoring!$C$23,IF(AB82=1,Scoring!$C$22,0)))</f>
        <v>18</v>
      </c>
      <c r="AD82" s="22" t="n">
        <f aca="false">IF(T82="Y",0,IF(ISNUMBER(X82),IF(X82&gt;0.7,Scoring!$C$25,IF(X82&gt;=0.5,Scoring!$C$26,IF(X82&gt;=0.3,Scoring!$C$27,Scoring!$C$28))),Scoring!$C$29))</f>
        <v>10</v>
      </c>
      <c r="AE82" s="22" t="n">
        <f aca="false">IF(D82="Expiring: notice window (verified)",Scoring!$C$30,IF(OR(D82="Expired (verified)",D82="30-yr mark: notice window (est.)",D82="Year-15 window"),Scoring!$C$31,IF(D82="Expiring: 10-yr horizon (verified)",Scoring!$C$32,IF(D82="Past 30-yr mark (verify)",Scoring!$C$33,IF(OR(D82="Credit period",D82="Superseded record"),Scoring!$C$35,Scoring!$C$34)))))</f>
        <v>14</v>
      </c>
      <c r="AF82" s="22" t="n">
        <f aca="false">IF(T82="Y",0,IF(ISNUMBER(V82),IF(Scoring!$B$4-V82&gt;15,Scoring!$C$36,IF(Scoring!$B$4-V82&gt;=10,Scoring!$C$37,IF(Scoring!$B$4-V82&gt;=5,Scoring!$C$38,Scoring!$C$39))),IF(OR(N82="",D82="Out of program"),Scoring!$C$40,IF(O82&gt;15,Scoring!$C$36,IF(O82&gt;=10,Scoring!$C$37,IF(O82&gt;=5,Scoring!$C$38,Scoring!$C$39))))))</f>
        <v>15</v>
      </c>
      <c r="AG82" s="22" t="n">
        <f aca="false">IF(T82="Y",0,IF(Y82="Y",Scoring!$C$41,IF(ISNUMBER(O82),IF(O82&gt;=25,Scoring!$C$42,IF(O82&gt;=15,Scoring!$C$43,Scoring!$C$44)),Scoring!$C$44)))</f>
        <v>8</v>
      </c>
      <c r="AH82" s="22" t="n">
        <f aca="false">IF(T82="Y",0,IF(W82="",Scoring!$C$49,IFERROR(VLOOKUP(W82,Scoring!$B$45:$C$48,2,FALSE()),Scoring!$C$49)))</f>
        <v>5</v>
      </c>
      <c r="AI82" s="23" t="n">
        <f aca="false">C82+IF(ISNUMBER(J82),J82,0)/100000+(10000-ROW())/1000000000</f>
        <v>70.000209918</v>
      </c>
      <c r="AJ82" s="18"/>
      <c r="AK82" s="18"/>
      <c r="AL82" s="18"/>
      <c r="AM82" s="18"/>
    </row>
    <row r="83" customFormat="false" ht="15" hidden="false" customHeight="false" outlineLevel="0" collapsed="false">
      <c r="A83" s="15" t="n">
        <f aca="false">RANK(AI83,$AI$2:$AI$755)</f>
        <v>82</v>
      </c>
      <c r="B83" s="16" t="str">
        <f aca="false">IF(T83="Y","Superseded",IF(C83&gt;=Scoring!$B$16,"Immediate",IF(C83&gt;=Scoring!$B$17,"This week",IF(C83&gt;=Scoring!$B$18,"Nurture","Low"))))</f>
        <v>This week</v>
      </c>
      <c r="C83" s="3" t="n">
        <f aca="false">SUM(AC83:AH83)</f>
        <v>70</v>
      </c>
      <c r="D83" s="15" t="str">
        <f aca="false">IF(T83="Y","Superseded record",IF(AND(U83&lt;&gt;"",AA83&lt;0),"Expired (verified)",IF(AND(U83&lt;&gt;"",AA83&lt;=Scoring!$B$5),"Expiring: notice window (verified)",IF(AND(U83&lt;&gt;"",AA83&lt;=Scoring!$B$6),"Expiring: 10-yr horizon (verified)",IF(M83="No Longer Monitored","Out of program",IF(N83="","Unknown vintage",IF(N83&lt;Scoring!$B$12,"Pre-1990, still listed",IF(AND(U83="",AA83&lt;0),"Past 30-yr mark (verify)",IF(AND(U83="",AA83&lt;=Scoring!$B$5),"30-yr mark: notice window (est.)",IF(AND(O83&gt;=Scoring!$B$7,O83&lt;=Scoring!$B$8),"Year-15 window",IF(O83&gt;=Scoring!$B$9,"Recap window",IF(O83&gt;=11,"Late compliance","Credit period"))))))))))))</f>
        <v>30-yr mark: notice window (est.)</v>
      </c>
      <c r="E83" s="15" t="s">
        <v>425</v>
      </c>
      <c r="F83" s="15" t="s">
        <v>426</v>
      </c>
      <c r="G83" s="15" t="s">
        <v>427</v>
      </c>
      <c r="H83" s="15" t="s">
        <v>97</v>
      </c>
      <c r="I83" s="15" t="s">
        <v>164</v>
      </c>
      <c r="J83" s="15" t="n">
        <v>15</v>
      </c>
      <c r="K83" s="15" t="n">
        <v>15</v>
      </c>
      <c r="L83" s="15" t="n">
        <f aca="false">IF(OR(J83="",K83=""),"",MAX(J83-K83,0))</f>
        <v>0</v>
      </c>
      <c r="M83" s="15" t="s">
        <v>99</v>
      </c>
      <c r="N83" s="17" t="n">
        <v>1999</v>
      </c>
      <c r="O83" s="15" t="n">
        <f aca="false">IF(N83="","",Scoring!$B$4-N83)</f>
        <v>27</v>
      </c>
      <c r="P83" s="15" t="n">
        <f aca="false">IF(N83="","",N83+14)</f>
        <v>2013</v>
      </c>
      <c r="Q83" s="15" t="n">
        <f aca="false">IF(N83="","",IF(N83&lt;Scoring!$B$12,"n/a (pre-1990)",N83+Scoring!$B$13))</f>
        <v>2028</v>
      </c>
      <c r="R83" s="15" t="str">
        <f aca="false">IF(J83="","Unknown",IF(J83&gt;=5,"Yes","No (under 5 units)"))</f>
        <v>Yes</v>
      </c>
      <c r="S83" s="15"/>
      <c r="T83" s="18"/>
      <c r="U83" s="19"/>
      <c r="V83" s="18"/>
      <c r="W83" s="18"/>
      <c r="X83" s="20"/>
      <c r="Y83" s="18"/>
      <c r="Z83" s="18"/>
      <c r="AA83" s="21" t="n">
        <f aca="false">IF(U83&lt;&gt;"",(U83-Scoring!$B$3)/365.25,IF(N83="","",IF(N83&lt;Scoring!$B$12,"",(DATE(N83+Scoring!$B$13,12,31)-Scoring!$B$3)/365.25)))</f>
        <v>2.24777549623546</v>
      </c>
      <c r="AB83" s="22" t="n">
        <f aca="false">IF(T83="Y",0,IF(OR(D83="Expired (verified)",D83="Expiring: notice window (verified)",D83="Expiring: 10-yr horizon (verified)",D83="Past 30-yr mark (verify)",D83="30-yr mark: notice window (est.)",D83="Year-15 window"),1,0)+IF(ISNUMBER(O83),IF(O83&gt;=Scoring!$B$10,1,0),0)+IF(AND(ISNUMBER(L83),ISNUMBER(J83)),IF(J83&gt;0,IF(L83/J83&gt;=Scoring!$B$11,1,0),0),0)+IF(ISNUMBER(Z83),MIN(Z83,3),0))</f>
        <v>2</v>
      </c>
      <c r="AC83" s="22" t="n">
        <f aca="false">IF(AB83&gt;=3,Scoring!$C$24,IF(AB83=2,Scoring!$C$23,IF(AB83=1,Scoring!$C$22,0)))</f>
        <v>18</v>
      </c>
      <c r="AD83" s="22" t="n">
        <f aca="false">IF(T83="Y",0,IF(ISNUMBER(X83),IF(X83&gt;0.7,Scoring!$C$25,IF(X83&gt;=0.5,Scoring!$C$26,IF(X83&gt;=0.3,Scoring!$C$27,Scoring!$C$28))),Scoring!$C$29))</f>
        <v>10</v>
      </c>
      <c r="AE83" s="22" t="n">
        <f aca="false">IF(D83="Expiring: notice window (verified)",Scoring!$C$30,IF(OR(D83="Expired (verified)",D83="30-yr mark: notice window (est.)",D83="Year-15 window"),Scoring!$C$31,IF(D83="Expiring: 10-yr horizon (verified)",Scoring!$C$32,IF(D83="Past 30-yr mark (verify)",Scoring!$C$33,IF(OR(D83="Credit period",D83="Superseded record"),Scoring!$C$35,Scoring!$C$34)))))</f>
        <v>14</v>
      </c>
      <c r="AF83" s="22" t="n">
        <f aca="false">IF(T83="Y",0,IF(ISNUMBER(V83),IF(Scoring!$B$4-V83&gt;15,Scoring!$C$36,IF(Scoring!$B$4-V83&gt;=10,Scoring!$C$37,IF(Scoring!$B$4-V83&gt;=5,Scoring!$C$38,Scoring!$C$39))),IF(OR(N83="",D83="Out of program"),Scoring!$C$40,IF(O83&gt;15,Scoring!$C$36,IF(O83&gt;=10,Scoring!$C$37,IF(O83&gt;=5,Scoring!$C$38,Scoring!$C$39))))))</f>
        <v>15</v>
      </c>
      <c r="AG83" s="22" t="n">
        <f aca="false">IF(T83="Y",0,IF(Y83="Y",Scoring!$C$41,IF(ISNUMBER(O83),IF(O83&gt;=25,Scoring!$C$42,IF(O83&gt;=15,Scoring!$C$43,Scoring!$C$44)),Scoring!$C$44)))</f>
        <v>8</v>
      </c>
      <c r="AH83" s="22" t="n">
        <f aca="false">IF(T83="Y",0,IF(W83="",Scoring!$C$49,IFERROR(VLOOKUP(W83,Scoring!$B$45:$C$48,2,FALSE()),Scoring!$C$49)))</f>
        <v>5</v>
      </c>
      <c r="AI83" s="23" t="n">
        <f aca="false">C83+IF(ISNUMBER(J83),J83,0)/100000+(10000-ROW())/1000000000</f>
        <v>70.000159917</v>
      </c>
      <c r="AJ83" s="18"/>
      <c r="AK83" s="18"/>
      <c r="AL83" s="18"/>
      <c r="AM83" s="18"/>
    </row>
    <row r="84" customFormat="false" ht="15" hidden="false" customHeight="false" outlineLevel="0" collapsed="false">
      <c r="A84" s="15" t="n">
        <f aca="false">RANK(AI84,$AI$2:$AI$755)</f>
        <v>83</v>
      </c>
      <c r="B84" s="16" t="str">
        <f aca="false">IF(T84="Y","Superseded",IF(C84&gt;=Scoring!$B$16,"Immediate",IF(C84&gt;=Scoring!$B$17,"This week",IF(C84&gt;=Scoring!$B$18,"Nurture","Low"))))</f>
        <v>This week</v>
      </c>
      <c r="C84" s="3" t="n">
        <f aca="false">SUM(AC84:AH84)</f>
        <v>70</v>
      </c>
      <c r="D84" s="15" t="str">
        <f aca="false">IF(T84="Y","Superseded record",IF(AND(U84&lt;&gt;"",AA84&lt;0),"Expired (verified)",IF(AND(U84&lt;&gt;"",AA84&lt;=Scoring!$B$5),"Expiring: notice window (verified)",IF(AND(U84&lt;&gt;"",AA84&lt;=Scoring!$B$6),"Expiring: 10-yr horizon (verified)",IF(M84="No Longer Monitored","Out of program",IF(N84="","Unknown vintage",IF(N84&lt;Scoring!$B$12,"Pre-1990, still listed",IF(AND(U84="",AA84&lt;0),"Past 30-yr mark (verify)",IF(AND(U84="",AA84&lt;=Scoring!$B$5),"30-yr mark: notice window (est.)",IF(AND(O84&gt;=Scoring!$B$7,O84&lt;=Scoring!$B$8),"Year-15 window",IF(O84&gt;=Scoring!$B$9,"Recap window",IF(O84&gt;=11,"Late compliance","Credit period"))))))))))))</f>
        <v>30-yr mark: notice window (est.)</v>
      </c>
      <c r="E84" s="15" t="s">
        <v>428</v>
      </c>
      <c r="F84" s="15" t="s">
        <v>429</v>
      </c>
      <c r="G84" s="15" t="s">
        <v>430</v>
      </c>
      <c r="H84" s="15" t="s">
        <v>411</v>
      </c>
      <c r="I84" s="15"/>
      <c r="J84" s="15" t="n">
        <v>14</v>
      </c>
      <c r="K84" s="15" t="n">
        <v>14</v>
      </c>
      <c r="L84" s="15" t="n">
        <f aca="false">IF(OR(J84="",K84=""),"",MAX(J84-K84,0))</f>
        <v>0</v>
      </c>
      <c r="M84" s="15" t="s">
        <v>99</v>
      </c>
      <c r="N84" s="17" t="n">
        <v>1999</v>
      </c>
      <c r="O84" s="15" t="n">
        <f aca="false">IF(N84="","",Scoring!$B$4-N84)</f>
        <v>27</v>
      </c>
      <c r="P84" s="15" t="n">
        <f aca="false">IF(N84="","",N84+14)</f>
        <v>2013</v>
      </c>
      <c r="Q84" s="15" t="n">
        <f aca="false">IF(N84="","",IF(N84&lt;Scoring!$B$12,"n/a (pre-1990)",N84+Scoring!$B$13))</f>
        <v>2028</v>
      </c>
      <c r="R84" s="15" t="str">
        <f aca="false">IF(J84="","Unknown",IF(J84&gt;=5,"Yes","No (under 5 units)"))</f>
        <v>Yes</v>
      </c>
      <c r="S84" s="15"/>
      <c r="T84" s="18"/>
      <c r="U84" s="19"/>
      <c r="V84" s="18"/>
      <c r="W84" s="18"/>
      <c r="X84" s="20"/>
      <c r="Y84" s="18"/>
      <c r="Z84" s="18"/>
      <c r="AA84" s="21" t="n">
        <f aca="false">IF(U84&lt;&gt;"",(U84-Scoring!$B$3)/365.25,IF(N84="","",IF(N84&lt;Scoring!$B$12,"",(DATE(N84+Scoring!$B$13,12,31)-Scoring!$B$3)/365.25)))</f>
        <v>2.24777549623546</v>
      </c>
      <c r="AB84" s="22" t="n">
        <f aca="false">IF(T84="Y",0,IF(OR(D84="Expired (verified)",D84="Expiring: notice window (verified)",D84="Expiring: 10-yr horizon (verified)",D84="Past 30-yr mark (verify)",D84="30-yr mark: notice window (est.)",D84="Year-15 window"),1,0)+IF(ISNUMBER(O84),IF(O84&gt;=Scoring!$B$10,1,0),0)+IF(AND(ISNUMBER(L84),ISNUMBER(J84)),IF(J84&gt;0,IF(L84/J84&gt;=Scoring!$B$11,1,0),0),0)+IF(ISNUMBER(Z84),MIN(Z84,3),0))</f>
        <v>2</v>
      </c>
      <c r="AC84" s="22" t="n">
        <f aca="false">IF(AB84&gt;=3,Scoring!$C$24,IF(AB84=2,Scoring!$C$23,IF(AB84=1,Scoring!$C$22,0)))</f>
        <v>18</v>
      </c>
      <c r="AD84" s="22" t="n">
        <f aca="false">IF(T84="Y",0,IF(ISNUMBER(X84),IF(X84&gt;0.7,Scoring!$C$25,IF(X84&gt;=0.5,Scoring!$C$26,IF(X84&gt;=0.3,Scoring!$C$27,Scoring!$C$28))),Scoring!$C$29))</f>
        <v>10</v>
      </c>
      <c r="AE84" s="22" t="n">
        <f aca="false">IF(D84="Expiring: notice window (verified)",Scoring!$C$30,IF(OR(D84="Expired (verified)",D84="30-yr mark: notice window (est.)",D84="Year-15 window"),Scoring!$C$31,IF(D84="Expiring: 10-yr horizon (verified)",Scoring!$C$32,IF(D84="Past 30-yr mark (verify)",Scoring!$C$33,IF(OR(D84="Credit period",D84="Superseded record"),Scoring!$C$35,Scoring!$C$34)))))</f>
        <v>14</v>
      </c>
      <c r="AF84" s="22" t="n">
        <f aca="false">IF(T84="Y",0,IF(ISNUMBER(V84),IF(Scoring!$B$4-V84&gt;15,Scoring!$C$36,IF(Scoring!$B$4-V84&gt;=10,Scoring!$C$37,IF(Scoring!$B$4-V84&gt;=5,Scoring!$C$38,Scoring!$C$39))),IF(OR(N84="",D84="Out of program"),Scoring!$C$40,IF(O84&gt;15,Scoring!$C$36,IF(O84&gt;=10,Scoring!$C$37,IF(O84&gt;=5,Scoring!$C$38,Scoring!$C$39))))))</f>
        <v>15</v>
      </c>
      <c r="AG84" s="22" t="n">
        <f aca="false">IF(T84="Y",0,IF(Y84="Y",Scoring!$C$41,IF(ISNUMBER(O84),IF(O84&gt;=25,Scoring!$C$42,IF(O84&gt;=15,Scoring!$C$43,Scoring!$C$44)),Scoring!$C$44)))</f>
        <v>8</v>
      </c>
      <c r="AH84" s="22" t="n">
        <f aca="false">IF(T84="Y",0,IF(W84="",Scoring!$C$49,IFERROR(VLOOKUP(W84,Scoring!$B$45:$C$48,2,FALSE()),Scoring!$C$49)))</f>
        <v>5</v>
      </c>
      <c r="AI84" s="23" t="n">
        <f aca="false">C84+IF(ISNUMBER(J84),J84,0)/100000+(10000-ROW())/1000000000</f>
        <v>70.000149916</v>
      </c>
      <c r="AJ84" s="18"/>
      <c r="AK84" s="18"/>
      <c r="AL84" s="18"/>
      <c r="AM84" s="18"/>
    </row>
    <row r="85" customFormat="false" ht="15" hidden="false" customHeight="false" outlineLevel="0" collapsed="false">
      <c r="A85" s="15" t="n">
        <f aca="false">RANK(AI85,$AI$2:$AI$755)</f>
        <v>84</v>
      </c>
      <c r="B85" s="16" t="str">
        <f aca="false">IF(T85="Y","Superseded",IF(C85&gt;=Scoring!$B$16,"Immediate",IF(C85&gt;=Scoring!$B$17,"This week",IF(C85&gt;=Scoring!$B$18,"Nurture","Low"))))</f>
        <v>This week</v>
      </c>
      <c r="C85" s="3" t="n">
        <f aca="false">SUM(AC85:AH85)</f>
        <v>70</v>
      </c>
      <c r="D85" s="15" t="str">
        <f aca="false">IF(T85="Y","Superseded record",IF(AND(U85&lt;&gt;"",AA85&lt;0),"Expired (verified)",IF(AND(U85&lt;&gt;"",AA85&lt;=Scoring!$B$5),"Expiring: notice window (verified)",IF(AND(U85&lt;&gt;"",AA85&lt;=Scoring!$B$6),"Expiring: 10-yr horizon (verified)",IF(M85="No Longer Monitored","Out of program",IF(N85="","Unknown vintage",IF(N85&lt;Scoring!$B$12,"Pre-1990, still listed",IF(AND(U85="",AA85&lt;0),"Past 30-yr mark (verify)",IF(AND(U85="",AA85&lt;=Scoring!$B$5),"30-yr mark: notice window (est.)",IF(AND(O85&gt;=Scoring!$B$7,O85&lt;=Scoring!$B$8),"Year-15 window",IF(O85&gt;=Scoring!$B$9,"Recap window",IF(O85&gt;=11,"Late compliance","Credit period"))))))))))))</f>
        <v>30-yr mark: notice window (est.)</v>
      </c>
      <c r="E85" s="15" t="s">
        <v>431</v>
      </c>
      <c r="F85" s="15" t="s">
        <v>432</v>
      </c>
      <c r="G85" s="15" t="s">
        <v>433</v>
      </c>
      <c r="H85" s="15" t="s">
        <v>207</v>
      </c>
      <c r="I85" s="15" t="s">
        <v>434</v>
      </c>
      <c r="J85" s="15" t="n">
        <v>10</v>
      </c>
      <c r="K85" s="15" t="n">
        <v>10</v>
      </c>
      <c r="L85" s="15" t="n">
        <f aca="false">IF(OR(J85="",K85=""),"",MAX(J85-K85,0))</f>
        <v>0</v>
      </c>
      <c r="M85" s="15" t="s">
        <v>99</v>
      </c>
      <c r="N85" s="17" t="n">
        <v>1998</v>
      </c>
      <c r="O85" s="15" t="n">
        <f aca="false">IF(N85="","",Scoring!$B$4-N85)</f>
        <v>28</v>
      </c>
      <c r="P85" s="15" t="n">
        <f aca="false">IF(N85="","",N85+14)</f>
        <v>2012</v>
      </c>
      <c r="Q85" s="15" t="n">
        <f aca="false">IF(N85="","",IF(N85&lt;Scoring!$B$12,"n/a (pre-1990)",N85+Scoring!$B$13))</f>
        <v>2027</v>
      </c>
      <c r="R85" s="15" t="str">
        <f aca="false">IF(J85="","Unknown",IF(J85&gt;=5,"Yes","No (under 5 units)"))</f>
        <v>Yes</v>
      </c>
      <c r="S85" s="15"/>
      <c r="T85" s="18"/>
      <c r="U85" s="19"/>
      <c r="V85" s="18"/>
      <c r="W85" s="18"/>
      <c r="X85" s="20"/>
      <c r="Y85" s="18"/>
      <c r="Z85" s="18"/>
      <c r="AA85" s="21" t="n">
        <f aca="false">IF(U85&lt;&gt;"",(U85-Scoring!$B$3)/365.25,IF(N85="","",IF(N85&lt;Scoring!$B$12,"",(DATE(N85+Scoring!$B$13,12,31)-Scoring!$B$3)/365.25)))</f>
        <v>1.24572210814511</v>
      </c>
      <c r="AB85" s="22" t="n">
        <f aca="false">IF(T85="Y",0,IF(OR(D85="Expired (verified)",D85="Expiring: notice window (verified)",D85="Expiring: 10-yr horizon (verified)",D85="Past 30-yr mark (verify)",D85="30-yr mark: notice window (est.)",D85="Year-15 window"),1,0)+IF(ISNUMBER(O85),IF(O85&gt;=Scoring!$B$10,1,0),0)+IF(AND(ISNUMBER(L85),ISNUMBER(J85)),IF(J85&gt;0,IF(L85/J85&gt;=Scoring!$B$11,1,0),0),0)+IF(ISNUMBER(Z85),MIN(Z85,3),0))</f>
        <v>2</v>
      </c>
      <c r="AC85" s="22" t="n">
        <f aca="false">IF(AB85&gt;=3,Scoring!$C$24,IF(AB85=2,Scoring!$C$23,IF(AB85=1,Scoring!$C$22,0)))</f>
        <v>18</v>
      </c>
      <c r="AD85" s="22" t="n">
        <f aca="false">IF(T85="Y",0,IF(ISNUMBER(X85),IF(X85&gt;0.7,Scoring!$C$25,IF(X85&gt;=0.5,Scoring!$C$26,IF(X85&gt;=0.3,Scoring!$C$27,Scoring!$C$28))),Scoring!$C$29))</f>
        <v>10</v>
      </c>
      <c r="AE85" s="22" t="n">
        <f aca="false">IF(D85="Expiring: notice window (verified)",Scoring!$C$30,IF(OR(D85="Expired (verified)",D85="30-yr mark: notice window (est.)",D85="Year-15 window"),Scoring!$C$31,IF(D85="Expiring: 10-yr horizon (verified)",Scoring!$C$32,IF(D85="Past 30-yr mark (verify)",Scoring!$C$33,IF(OR(D85="Credit period",D85="Superseded record"),Scoring!$C$35,Scoring!$C$34)))))</f>
        <v>14</v>
      </c>
      <c r="AF85" s="22" t="n">
        <f aca="false">IF(T85="Y",0,IF(ISNUMBER(V85),IF(Scoring!$B$4-V85&gt;15,Scoring!$C$36,IF(Scoring!$B$4-V85&gt;=10,Scoring!$C$37,IF(Scoring!$B$4-V85&gt;=5,Scoring!$C$38,Scoring!$C$39))),IF(OR(N85="",D85="Out of program"),Scoring!$C$40,IF(O85&gt;15,Scoring!$C$36,IF(O85&gt;=10,Scoring!$C$37,IF(O85&gt;=5,Scoring!$C$38,Scoring!$C$39))))))</f>
        <v>15</v>
      </c>
      <c r="AG85" s="22" t="n">
        <f aca="false">IF(T85="Y",0,IF(Y85="Y",Scoring!$C$41,IF(ISNUMBER(O85),IF(O85&gt;=25,Scoring!$C$42,IF(O85&gt;=15,Scoring!$C$43,Scoring!$C$44)),Scoring!$C$44)))</f>
        <v>8</v>
      </c>
      <c r="AH85" s="22" t="n">
        <f aca="false">IF(T85="Y",0,IF(W85="",Scoring!$C$49,IFERROR(VLOOKUP(W85,Scoring!$B$45:$C$48,2,FALSE()),Scoring!$C$49)))</f>
        <v>5</v>
      </c>
      <c r="AI85" s="23" t="n">
        <f aca="false">C85+IF(ISNUMBER(J85),J85,0)/100000+(10000-ROW())/1000000000</f>
        <v>70.000109915</v>
      </c>
      <c r="AJ85" s="18"/>
      <c r="AK85" s="18"/>
      <c r="AL85" s="18"/>
      <c r="AM85" s="18"/>
    </row>
    <row r="86" customFormat="false" ht="15" hidden="false" customHeight="false" outlineLevel="0" collapsed="false">
      <c r="A86" s="15" t="n">
        <f aca="false">RANK(AI86,$AI$2:$AI$755)</f>
        <v>85</v>
      </c>
      <c r="B86" s="16" t="str">
        <f aca="false">IF(T86="Y","Superseded",IF(C86&gt;=Scoring!$B$16,"Immediate",IF(C86&gt;=Scoring!$B$17,"This week",IF(C86&gt;=Scoring!$B$18,"Nurture","Low"))))</f>
        <v>This week</v>
      </c>
      <c r="C86" s="3" t="n">
        <f aca="false">SUM(AC86:AH86)</f>
        <v>70</v>
      </c>
      <c r="D86" s="15" t="str">
        <f aca="false">IF(T86="Y","Superseded record",IF(AND(U86&lt;&gt;"",AA86&lt;0),"Expired (verified)",IF(AND(U86&lt;&gt;"",AA86&lt;=Scoring!$B$5),"Expiring: notice window (verified)",IF(AND(U86&lt;&gt;"",AA86&lt;=Scoring!$B$6),"Expiring: 10-yr horizon (verified)",IF(M86="No Longer Monitored","Out of program",IF(N86="","Unknown vintage",IF(N86&lt;Scoring!$B$12,"Pre-1990, still listed",IF(AND(U86="",AA86&lt;0),"Past 30-yr mark (verify)",IF(AND(U86="",AA86&lt;=Scoring!$B$5),"30-yr mark: notice window (est.)",IF(AND(O86&gt;=Scoring!$B$7,O86&lt;=Scoring!$B$8),"Year-15 window",IF(O86&gt;=Scoring!$B$9,"Recap window",IF(O86&gt;=11,"Late compliance","Credit period"))))))))))))</f>
        <v>30-yr mark: notice window (est.)</v>
      </c>
      <c r="E86" s="15" t="s">
        <v>435</v>
      </c>
      <c r="F86" s="15" t="s">
        <v>436</v>
      </c>
      <c r="G86" s="15" t="s">
        <v>437</v>
      </c>
      <c r="H86" s="15" t="s">
        <v>303</v>
      </c>
      <c r="I86" s="15" t="s">
        <v>304</v>
      </c>
      <c r="J86" s="15" t="n">
        <v>9</v>
      </c>
      <c r="K86" s="15" t="n">
        <v>9</v>
      </c>
      <c r="L86" s="15" t="n">
        <f aca="false">IF(OR(J86="",K86=""),"",MAX(J86-K86,0))</f>
        <v>0</v>
      </c>
      <c r="M86" s="15" t="s">
        <v>99</v>
      </c>
      <c r="N86" s="17" t="n">
        <v>1997</v>
      </c>
      <c r="O86" s="15" t="n">
        <f aca="false">IF(N86="","",Scoring!$B$4-N86)</f>
        <v>29</v>
      </c>
      <c r="P86" s="15" t="n">
        <f aca="false">IF(N86="","",N86+14)</f>
        <v>2011</v>
      </c>
      <c r="Q86" s="15" t="n">
        <f aca="false">IF(N86="","",IF(N86&lt;Scoring!$B$12,"n/a (pre-1990)",N86+Scoring!$B$13))</f>
        <v>2026</v>
      </c>
      <c r="R86" s="15" t="str">
        <f aca="false">IF(J86="","Unknown",IF(J86&gt;=5,"Yes","No (under 5 units)"))</f>
        <v>Yes</v>
      </c>
      <c r="S86" s="15"/>
      <c r="T86" s="18"/>
      <c r="U86" s="19"/>
      <c r="V86" s="18"/>
      <c r="W86" s="18"/>
      <c r="X86" s="20"/>
      <c r="Y86" s="18"/>
      <c r="Z86" s="18"/>
      <c r="AA86" s="21" t="n">
        <f aca="false">IF(U86&lt;&gt;"",(U86-Scoring!$B$3)/365.25,IF(N86="","",IF(N86&lt;Scoring!$B$12,"",(DATE(N86+Scoring!$B$13,12,31)-Scoring!$B$3)/365.25)))</f>
        <v>0.246406570841889</v>
      </c>
      <c r="AB86" s="22" t="n">
        <f aca="false">IF(T86="Y",0,IF(OR(D86="Expired (verified)",D86="Expiring: notice window (verified)",D86="Expiring: 10-yr horizon (verified)",D86="Past 30-yr mark (verify)",D86="30-yr mark: notice window (est.)",D86="Year-15 window"),1,0)+IF(ISNUMBER(O86),IF(O86&gt;=Scoring!$B$10,1,0),0)+IF(AND(ISNUMBER(L86),ISNUMBER(J86)),IF(J86&gt;0,IF(L86/J86&gt;=Scoring!$B$11,1,0),0),0)+IF(ISNUMBER(Z86),MIN(Z86,3),0))</f>
        <v>2</v>
      </c>
      <c r="AC86" s="22" t="n">
        <f aca="false">IF(AB86&gt;=3,Scoring!$C$24,IF(AB86=2,Scoring!$C$23,IF(AB86=1,Scoring!$C$22,0)))</f>
        <v>18</v>
      </c>
      <c r="AD86" s="22" t="n">
        <f aca="false">IF(T86="Y",0,IF(ISNUMBER(X86),IF(X86&gt;0.7,Scoring!$C$25,IF(X86&gt;=0.5,Scoring!$C$26,IF(X86&gt;=0.3,Scoring!$C$27,Scoring!$C$28))),Scoring!$C$29))</f>
        <v>10</v>
      </c>
      <c r="AE86" s="22" t="n">
        <f aca="false">IF(D86="Expiring: notice window (verified)",Scoring!$C$30,IF(OR(D86="Expired (verified)",D86="30-yr mark: notice window (est.)",D86="Year-15 window"),Scoring!$C$31,IF(D86="Expiring: 10-yr horizon (verified)",Scoring!$C$32,IF(D86="Past 30-yr mark (verify)",Scoring!$C$33,IF(OR(D86="Credit period",D86="Superseded record"),Scoring!$C$35,Scoring!$C$34)))))</f>
        <v>14</v>
      </c>
      <c r="AF86" s="22" t="n">
        <f aca="false">IF(T86="Y",0,IF(ISNUMBER(V86),IF(Scoring!$B$4-V86&gt;15,Scoring!$C$36,IF(Scoring!$B$4-V86&gt;=10,Scoring!$C$37,IF(Scoring!$B$4-V86&gt;=5,Scoring!$C$38,Scoring!$C$39))),IF(OR(N86="",D86="Out of program"),Scoring!$C$40,IF(O86&gt;15,Scoring!$C$36,IF(O86&gt;=10,Scoring!$C$37,IF(O86&gt;=5,Scoring!$C$38,Scoring!$C$39))))))</f>
        <v>15</v>
      </c>
      <c r="AG86" s="22" t="n">
        <f aca="false">IF(T86="Y",0,IF(Y86="Y",Scoring!$C$41,IF(ISNUMBER(O86),IF(O86&gt;=25,Scoring!$C$42,IF(O86&gt;=15,Scoring!$C$43,Scoring!$C$44)),Scoring!$C$44)))</f>
        <v>8</v>
      </c>
      <c r="AH86" s="22" t="n">
        <f aca="false">IF(T86="Y",0,IF(W86="",Scoring!$C$49,IFERROR(VLOOKUP(W86,Scoring!$B$45:$C$48,2,FALSE()),Scoring!$C$49)))</f>
        <v>5</v>
      </c>
      <c r="AI86" s="23" t="n">
        <f aca="false">C86+IF(ISNUMBER(J86),J86,0)/100000+(10000-ROW())/1000000000</f>
        <v>70.000099914</v>
      </c>
      <c r="AJ86" s="18"/>
      <c r="AK86" s="18"/>
      <c r="AL86" s="18"/>
      <c r="AM86" s="18"/>
    </row>
    <row r="87" customFormat="false" ht="15" hidden="false" customHeight="false" outlineLevel="0" collapsed="false">
      <c r="A87" s="15" t="n">
        <f aca="false">RANK(AI87,$AI$2:$AI$755)</f>
        <v>86</v>
      </c>
      <c r="B87" s="16" t="str">
        <f aca="false">IF(T87="Y","Superseded",IF(C87&gt;=Scoring!$B$16,"Immediate",IF(C87&gt;=Scoring!$B$17,"This week",IF(C87&gt;=Scoring!$B$18,"Nurture","Low"))))</f>
        <v>This week</v>
      </c>
      <c r="C87" s="3" t="n">
        <f aca="false">SUM(AC87:AH87)</f>
        <v>70</v>
      </c>
      <c r="D87" s="15" t="str">
        <f aca="false">IF(T87="Y","Superseded record",IF(AND(U87&lt;&gt;"",AA87&lt;0),"Expired (verified)",IF(AND(U87&lt;&gt;"",AA87&lt;=Scoring!$B$5),"Expiring: notice window (verified)",IF(AND(U87&lt;&gt;"",AA87&lt;=Scoring!$B$6),"Expiring: 10-yr horizon (verified)",IF(M87="No Longer Monitored","Out of program",IF(N87="","Unknown vintage",IF(N87&lt;Scoring!$B$12,"Pre-1990, still listed",IF(AND(U87="",AA87&lt;0),"Past 30-yr mark (verify)",IF(AND(U87="",AA87&lt;=Scoring!$B$5),"30-yr mark: notice window (est.)",IF(AND(O87&gt;=Scoring!$B$7,O87&lt;=Scoring!$B$8),"Year-15 window",IF(O87&gt;=Scoring!$B$9,"Recap window",IF(O87&gt;=11,"Late compliance","Credit period"))))))))))))</f>
        <v>30-yr mark: notice window (est.)</v>
      </c>
      <c r="E87" s="15" t="s">
        <v>438</v>
      </c>
      <c r="F87" s="15" t="s">
        <v>439</v>
      </c>
      <c r="G87" s="15" t="s">
        <v>440</v>
      </c>
      <c r="H87" s="15" t="s">
        <v>207</v>
      </c>
      <c r="I87" s="15" t="s">
        <v>208</v>
      </c>
      <c r="J87" s="15" t="n">
        <v>3</v>
      </c>
      <c r="K87" s="15" t="n">
        <v>3</v>
      </c>
      <c r="L87" s="15" t="n">
        <f aca="false">IF(OR(J87="",K87=""),"",MAX(J87-K87,0))</f>
        <v>0</v>
      </c>
      <c r="M87" s="15" t="s">
        <v>99</v>
      </c>
      <c r="N87" s="17" t="n">
        <v>1998</v>
      </c>
      <c r="O87" s="15" t="n">
        <f aca="false">IF(N87="","",Scoring!$B$4-N87)</f>
        <v>28</v>
      </c>
      <c r="P87" s="15" t="n">
        <f aca="false">IF(N87="","",N87+14)</f>
        <v>2012</v>
      </c>
      <c r="Q87" s="15" t="n">
        <f aca="false">IF(N87="","",IF(N87&lt;Scoring!$B$12,"n/a (pre-1990)",N87+Scoring!$B$13))</f>
        <v>2027</v>
      </c>
      <c r="R87" s="15" t="str">
        <f aca="false">IF(J87="","Unknown",IF(J87&gt;=5,"Yes","No (under 5 units)"))</f>
        <v>No (under 5 units)</v>
      </c>
      <c r="S87" s="15"/>
      <c r="T87" s="18"/>
      <c r="U87" s="19"/>
      <c r="V87" s="18"/>
      <c r="W87" s="18"/>
      <c r="X87" s="20"/>
      <c r="Y87" s="18"/>
      <c r="Z87" s="18"/>
      <c r="AA87" s="21" t="n">
        <f aca="false">IF(U87&lt;&gt;"",(U87-Scoring!$B$3)/365.25,IF(N87="","",IF(N87&lt;Scoring!$B$12,"",(DATE(N87+Scoring!$B$13,12,31)-Scoring!$B$3)/365.25)))</f>
        <v>1.24572210814511</v>
      </c>
      <c r="AB87" s="22" t="n">
        <f aca="false">IF(T87="Y",0,IF(OR(D87="Expired (verified)",D87="Expiring: notice window (verified)",D87="Expiring: 10-yr horizon (verified)",D87="Past 30-yr mark (verify)",D87="30-yr mark: notice window (est.)",D87="Year-15 window"),1,0)+IF(ISNUMBER(O87),IF(O87&gt;=Scoring!$B$10,1,0),0)+IF(AND(ISNUMBER(L87),ISNUMBER(J87)),IF(J87&gt;0,IF(L87/J87&gt;=Scoring!$B$11,1,0),0),0)+IF(ISNUMBER(Z87),MIN(Z87,3),0))</f>
        <v>2</v>
      </c>
      <c r="AC87" s="22" t="n">
        <f aca="false">IF(AB87&gt;=3,Scoring!$C$24,IF(AB87=2,Scoring!$C$23,IF(AB87=1,Scoring!$C$22,0)))</f>
        <v>18</v>
      </c>
      <c r="AD87" s="22" t="n">
        <f aca="false">IF(T87="Y",0,IF(ISNUMBER(X87),IF(X87&gt;0.7,Scoring!$C$25,IF(X87&gt;=0.5,Scoring!$C$26,IF(X87&gt;=0.3,Scoring!$C$27,Scoring!$C$28))),Scoring!$C$29))</f>
        <v>10</v>
      </c>
      <c r="AE87" s="22" t="n">
        <f aca="false">IF(D87="Expiring: notice window (verified)",Scoring!$C$30,IF(OR(D87="Expired (verified)",D87="30-yr mark: notice window (est.)",D87="Year-15 window"),Scoring!$C$31,IF(D87="Expiring: 10-yr horizon (verified)",Scoring!$C$32,IF(D87="Past 30-yr mark (verify)",Scoring!$C$33,IF(OR(D87="Credit period",D87="Superseded record"),Scoring!$C$35,Scoring!$C$34)))))</f>
        <v>14</v>
      </c>
      <c r="AF87" s="22" t="n">
        <f aca="false">IF(T87="Y",0,IF(ISNUMBER(V87),IF(Scoring!$B$4-V87&gt;15,Scoring!$C$36,IF(Scoring!$B$4-V87&gt;=10,Scoring!$C$37,IF(Scoring!$B$4-V87&gt;=5,Scoring!$C$38,Scoring!$C$39))),IF(OR(N87="",D87="Out of program"),Scoring!$C$40,IF(O87&gt;15,Scoring!$C$36,IF(O87&gt;=10,Scoring!$C$37,IF(O87&gt;=5,Scoring!$C$38,Scoring!$C$39))))))</f>
        <v>15</v>
      </c>
      <c r="AG87" s="22" t="n">
        <f aca="false">IF(T87="Y",0,IF(Y87="Y",Scoring!$C$41,IF(ISNUMBER(O87),IF(O87&gt;=25,Scoring!$C$42,IF(O87&gt;=15,Scoring!$C$43,Scoring!$C$44)),Scoring!$C$44)))</f>
        <v>8</v>
      </c>
      <c r="AH87" s="22" t="n">
        <f aca="false">IF(T87="Y",0,IF(W87="",Scoring!$C$49,IFERROR(VLOOKUP(W87,Scoring!$B$45:$C$48,2,FALSE()),Scoring!$C$49)))</f>
        <v>5</v>
      </c>
      <c r="AI87" s="23" t="n">
        <f aca="false">C87+IF(ISNUMBER(J87),J87,0)/100000+(10000-ROW())/1000000000</f>
        <v>70.000039913</v>
      </c>
      <c r="AJ87" s="18"/>
      <c r="AK87" s="18"/>
      <c r="AL87" s="18"/>
      <c r="AM87" s="18"/>
    </row>
    <row r="88" customFormat="false" ht="15" hidden="false" customHeight="false" outlineLevel="0" collapsed="false">
      <c r="A88" s="15" t="n">
        <f aca="false">RANK(AI88,$AI$2:$AI$755)</f>
        <v>87</v>
      </c>
      <c r="B88" s="16" t="str">
        <f aca="false">IF(T88="Y","Superseded",IF(C88&gt;=Scoring!$B$16,"Immediate",IF(C88&gt;=Scoring!$B$17,"This week",IF(C88&gt;=Scoring!$B$18,"Nurture","Low"))))</f>
        <v>This week</v>
      </c>
      <c r="C88" s="3" t="n">
        <f aca="false">SUM(AC88:AH88)</f>
        <v>67</v>
      </c>
      <c r="D88" s="15" t="str">
        <f aca="false">IF(T88="Y","Superseded record",IF(AND(U88&lt;&gt;"",AA88&lt;0),"Expired (verified)",IF(AND(U88&lt;&gt;"",AA88&lt;=Scoring!$B$5),"Expiring: notice window (verified)",IF(AND(U88&lt;&gt;"",AA88&lt;=Scoring!$B$6),"Expiring: 10-yr horizon (verified)",IF(M88="No Longer Monitored","Out of program",IF(N88="","Unknown vintage",IF(N88&lt;Scoring!$B$12,"Pre-1990, still listed",IF(AND(U88="",AA88&lt;0),"Past 30-yr mark (verify)",IF(AND(U88="",AA88&lt;=Scoring!$B$5),"30-yr mark: notice window (est.)",IF(AND(O88&gt;=Scoring!$B$7,O88&lt;=Scoring!$B$8),"Year-15 window",IF(O88&gt;=Scoring!$B$9,"Recap window",IF(O88&gt;=11,"Late compliance","Credit period"))))))))))))</f>
        <v>Year-15 window</v>
      </c>
      <c r="E88" s="15" t="s">
        <v>441</v>
      </c>
      <c r="F88" s="15" t="s">
        <v>442</v>
      </c>
      <c r="G88" s="15" t="s">
        <v>443</v>
      </c>
      <c r="H88" s="15" t="s">
        <v>185</v>
      </c>
      <c r="I88" s="15" t="s">
        <v>186</v>
      </c>
      <c r="J88" s="15" t="n">
        <v>52</v>
      </c>
      <c r="K88" s="15" t="n">
        <v>41</v>
      </c>
      <c r="L88" s="15" t="n">
        <f aca="false">IF(OR(J88="",K88=""),"",MAX(J88-K88,0))</f>
        <v>11</v>
      </c>
      <c r="M88" s="15" t="s">
        <v>99</v>
      </c>
      <c r="N88" s="17" t="n">
        <v>2010</v>
      </c>
      <c r="O88" s="15" t="n">
        <f aca="false">IF(N88="","",Scoring!$B$4-N88)</f>
        <v>16</v>
      </c>
      <c r="P88" s="15" t="n">
        <f aca="false">IF(N88="","",N88+14)</f>
        <v>2024</v>
      </c>
      <c r="Q88" s="15" t="n">
        <f aca="false">IF(N88="","",IF(N88&lt;Scoring!$B$12,"n/a (pre-1990)",N88+Scoring!$B$13))</f>
        <v>2039</v>
      </c>
      <c r="R88" s="15" t="str">
        <f aca="false">IF(J88="","Unknown",IF(J88&gt;=5,"Yes","No (under 5 units)"))</f>
        <v>Yes</v>
      </c>
      <c r="S88" s="15"/>
      <c r="T88" s="18"/>
      <c r="U88" s="19"/>
      <c r="V88" s="18"/>
      <c r="W88" s="18"/>
      <c r="X88" s="20"/>
      <c r="Y88" s="18"/>
      <c r="Z88" s="18"/>
      <c r="AA88" s="21" t="n">
        <f aca="false">IF(U88&lt;&gt;"",(U88-Scoring!$B$3)/365.25,IF(N88="","",IF(N88&lt;Scoring!$B$12,"",(DATE(N88+Scoring!$B$13,12,31)-Scoring!$B$3)/365.25)))</f>
        <v>13.2457221081451</v>
      </c>
      <c r="AB88" s="22" t="n">
        <f aca="false">IF(T88="Y",0,IF(OR(D88="Expired (verified)",D88="Expiring: notice window (verified)",D88="Expiring: 10-yr horizon (verified)",D88="Past 30-yr mark (verify)",D88="30-yr mark: notice window (est.)",D88="Year-15 window"),1,0)+IF(ISNUMBER(O88),IF(O88&gt;=Scoring!$B$10,1,0),0)+IF(AND(ISNUMBER(L88),ISNUMBER(J88)),IF(J88&gt;0,IF(L88/J88&gt;=Scoring!$B$11,1,0),0),0)+IF(ISNUMBER(Z88),MIN(Z88,3),0))</f>
        <v>2</v>
      </c>
      <c r="AC88" s="22" t="n">
        <f aca="false">IF(AB88&gt;=3,Scoring!$C$24,IF(AB88=2,Scoring!$C$23,IF(AB88=1,Scoring!$C$22,0)))</f>
        <v>18</v>
      </c>
      <c r="AD88" s="22" t="n">
        <f aca="false">IF(T88="Y",0,IF(ISNUMBER(X88),IF(X88&gt;0.7,Scoring!$C$25,IF(X88&gt;=0.5,Scoring!$C$26,IF(X88&gt;=0.3,Scoring!$C$27,Scoring!$C$28))),Scoring!$C$29))</f>
        <v>10</v>
      </c>
      <c r="AE88" s="22" t="n">
        <f aca="false">IF(D88="Expiring: notice window (verified)",Scoring!$C$30,IF(OR(D88="Expired (verified)",D88="30-yr mark: notice window (est.)",D88="Year-15 window"),Scoring!$C$31,IF(D88="Expiring: 10-yr horizon (verified)",Scoring!$C$32,IF(D88="Past 30-yr mark (verify)",Scoring!$C$33,IF(OR(D88="Credit period",D88="Superseded record"),Scoring!$C$35,Scoring!$C$34)))))</f>
        <v>14</v>
      </c>
      <c r="AF88" s="22" t="n">
        <f aca="false">IF(T88="Y",0,IF(ISNUMBER(V88),IF(Scoring!$B$4-V88&gt;15,Scoring!$C$36,IF(Scoring!$B$4-V88&gt;=10,Scoring!$C$37,IF(Scoring!$B$4-V88&gt;=5,Scoring!$C$38,Scoring!$C$39))),IF(OR(N88="",D88="Out of program"),Scoring!$C$40,IF(O88&gt;15,Scoring!$C$36,IF(O88&gt;=10,Scoring!$C$37,IF(O88&gt;=5,Scoring!$C$38,Scoring!$C$39))))))</f>
        <v>15</v>
      </c>
      <c r="AG88" s="22" t="n">
        <f aca="false">IF(T88="Y",0,IF(Y88="Y",Scoring!$C$41,IF(ISNUMBER(O88),IF(O88&gt;=25,Scoring!$C$42,IF(O88&gt;=15,Scoring!$C$43,Scoring!$C$44)),Scoring!$C$44)))</f>
        <v>5</v>
      </c>
      <c r="AH88" s="22" t="n">
        <f aca="false">IF(T88="Y",0,IF(W88="",Scoring!$C$49,IFERROR(VLOOKUP(W88,Scoring!$B$45:$C$48,2,FALSE()),Scoring!$C$49)))</f>
        <v>5</v>
      </c>
      <c r="AI88" s="23" t="n">
        <f aca="false">C88+IF(ISNUMBER(J88),J88,0)/100000+(10000-ROW())/1000000000</f>
        <v>67.000529912</v>
      </c>
      <c r="AJ88" s="18"/>
      <c r="AK88" s="18"/>
      <c r="AL88" s="18"/>
      <c r="AM88" s="18"/>
    </row>
    <row r="89" customFormat="false" ht="15" hidden="false" customHeight="false" outlineLevel="0" collapsed="false">
      <c r="A89" s="15" t="n">
        <f aca="false">RANK(AI89,$AI$2:$AI$755)</f>
        <v>88</v>
      </c>
      <c r="B89" s="16" t="str">
        <f aca="false">IF(T89="Y","Superseded",IF(C89&gt;=Scoring!$B$16,"Immediate",IF(C89&gt;=Scoring!$B$17,"This week",IF(C89&gt;=Scoring!$B$18,"Nurture","Low"))))</f>
        <v>This week</v>
      </c>
      <c r="C89" s="3" t="n">
        <f aca="false">SUM(AC89:AH89)</f>
        <v>64</v>
      </c>
      <c r="D89" s="15" t="str">
        <f aca="false">IF(T89="Y","Superseded record",IF(AND(U89&lt;&gt;"",AA89&lt;0),"Expired (verified)",IF(AND(U89&lt;&gt;"",AA89&lt;=Scoring!$B$5),"Expiring: notice window (verified)",IF(AND(U89&lt;&gt;"",AA89&lt;=Scoring!$B$6),"Expiring: 10-yr horizon (verified)",IF(M89="No Longer Monitored","Out of program",IF(N89="","Unknown vintage",IF(N89&lt;Scoring!$B$12,"Pre-1990, still listed",IF(AND(U89="",AA89&lt;0),"Past 30-yr mark (verify)",IF(AND(U89="",AA89&lt;=Scoring!$B$5),"30-yr mark: notice window (est.)",IF(AND(O89&gt;=Scoring!$B$7,O89&lt;=Scoring!$B$8),"Year-15 window",IF(O89&gt;=Scoring!$B$9,"Recap window",IF(O89&gt;=11,"Late compliance","Credit period"))))))))))))</f>
        <v>Past 30-yr mark (verify)</v>
      </c>
      <c r="E89" s="15" t="s">
        <v>444</v>
      </c>
      <c r="F89" s="15" t="s">
        <v>445</v>
      </c>
      <c r="G89" s="15" t="s">
        <v>446</v>
      </c>
      <c r="H89" s="15" t="s">
        <v>447</v>
      </c>
      <c r="I89" s="15" t="s">
        <v>448</v>
      </c>
      <c r="J89" s="15" t="n">
        <v>260</v>
      </c>
      <c r="K89" s="15" t="n">
        <v>260</v>
      </c>
      <c r="L89" s="15" t="n">
        <f aca="false">IF(OR(J89="",K89=""),"",MAX(J89-K89,0))</f>
        <v>0</v>
      </c>
      <c r="M89" s="15" t="s">
        <v>99</v>
      </c>
      <c r="N89" s="17" t="n">
        <v>1996</v>
      </c>
      <c r="O89" s="15" t="n">
        <f aca="false">IF(N89="","",Scoring!$B$4-N89)</f>
        <v>30</v>
      </c>
      <c r="P89" s="15" t="n">
        <f aca="false">IF(N89="","",N89+14)</f>
        <v>2010</v>
      </c>
      <c r="Q89" s="15" t="n">
        <f aca="false">IF(N89="","",IF(N89&lt;Scoring!$B$12,"n/a (pre-1990)",N89+Scoring!$B$13))</f>
        <v>2025</v>
      </c>
      <c r="R89" s="15" t="str">
        <f aca="false">IF(J89="","Unknown",IF(J89&gt;=5,"Yes","No (under 5 units)"))</f>
        <v>Yes</v>
      </c>
      <c r="S89" s="15"/>
      <c r="T89" s="18"/>
      <c r="U89" s="19"/>
      <c r="V89" s="18"/>
      <c r="W89" s="18"/>
      <c r="X89" s="20"/>
      <c r="Y89" s="18"/>
      <c r="Z89" s="18"/>
      <c r="AA89" s="21" t="n">
        <f aca="false">IF(U89&lt;&gt;"",(U89-Scoring!$B$3)/365.25,IF(N89="","",IF(N89&lt;Scoring!$B$12,"",(DATE(N89+Scoring!$B$13,12,31)-Scoring!$B$3)/365.25)))</f>
        <v>-0.752908966461328</v>
      </c>
      <c r="AB89" s="22" t="n">
        <f aca="false">IF(T89="Y",0,IF(OR(D89="Expired (verified)",D89="Expiring: notice window (verified)",D89="Expiring: 10-yr horizon (verified)",D89="Past 30-yr mark (verify)",D89="30-yr mark: notice window (est.)",D89="Year-15 window"),1,0)+IF(ISNUMBER(O89),IF(O89&gt;=Scoring!$B$10,1,0),0)+IF(AND(ISNUMBER(L89),ISNUMBER(J89)),IF(J89&gt;0,IF(L89/J89&gt;=Scoring!$B$11,1,0),0),0)+IF(ISNUMBER(Z89),MIN(Z89,3),0))</f>
        <v>2</v>
      </c>
      <c r="AC89" s="22" t="n">
        <f aca="false">IF(AB89&gt;=3,Scoring!$C$24,IF(AB89=2,Scoring!$C$23,IF(AB89=1,Scoring!$C$22,0)))</f>
        <v>18</v>
      </c>
      <c r="AD89" s="22" t="n">
        <f aca="false">IF(T89="Y",0,IF(ISNUMBER(X89),IF(X89&gt;0.7,Scoring!$C$25,IF(X89&gt;=0.5,Scoring!$C$26,IF(X89&gt;=0.3,Scoring!$C$27,Scoring!$C$28))),Scoring!$C$29))</f>
        <v>10</v>
      </c>
      <c r="AE89" s="22" t="n">
        <f aca="false">IF(D89="Expiring: notice window (verified)",Scoring!$C$30,IF(OR(D89="Expired (verified)",D89="30-yr mark: notice window (est.)",D89="Year-15 window"),Scoring!$C$31,IF(D89="Expiring: 10-yr horizon (verified)",Scoring!$C$32,IF(D89="Past 30-yr mark (verify)",Scoring!$C$33,IF(OR(D89="Credit period",D89="Superseded record"),Scoring!$C$35,Scoring!$C$34)))))</f>
        <v>8</v>
      </c>
      <c r="AF89" s="22" t="n">
        <f aca="false">IF(T89="Y",0,IF(ISNUMBER(V89),IF(Scoring!$B$4-V89&gt;15,Scoring!$C$36,IF(Scoring!$B$4-V89&gt;=10,Scoring!$C$37,IF(Scoring!$B$4-V89&gt;=5,Scoring!$C$38,Scoring!$C$39))),IF(OR(N89="",D89="Out of program"),Scoring!$C$40,IF(O89&gt;15,Scoring!$C$36,IF(O89&gt;=10,Scoring!$C$37,IF(O89&gt;=5,Scoring!$C$38,Scoring!$C$39))))))</f>
        <v>15</v>
      </c>
      <c r="AG89" s="22" t="n">
        <f aca="false">IF(T89="Y",0,IF(Y89="Y",Scoring!$C$41,IF(ISNUMBER(O89),IF(O89&gt;=25,Scoring!$C$42,IF(O89&gt;=15,Scoring!$C$43,Scoring!$C$44)),Scoring!$C$44)))</f>
        <v>8</v>
      </c>
      <c r="AH89" s="22" t="n">
        <f aca="false">IF(T89="Y",0,IF(W89="",Scoring!$C$49,IFERROR(VLOOKUP(W89,Scoring!$B$45:$C$48,2,FALSE()),Scoring!$C$49)))</f>
        <v>5</v>
      </c>
      <c r="AI89" s="23" t="n">
        <f aca="false">C89+IF(ISNUMBER(J89),J89,0)/100000+(10000-ROW())/1000000000</f>
        <v>64.002609911</v>
      </c>
      <c r="AJ89" s="18"/>
      <c r="AK89" s="18"/>
      <c r="AL89" s="18"/>
      <c r="AM89" s="18"/>
    </row>
    <row r="90" customFormat="false" ht="15" hidden="false" customHeight="false" outlineLevel="0" collapsed="false">
      <c r="A90" s="15" t="n">
        <f aca="false">RANK(AI90,$AI$2:$AI$755)</f>
        <v>89</v>
      </c>
      <c r="B90" s="16" t="str">
        <f aca="false">IF(T90="Y","Superseded",IF(C90&gt;=Scoring!$B$16,"Immediate",IF(C90&gt;=Scoring!$B$17,"This week",IF(C90&gt;=Scoring!$B$18,"Nurture","Low"))))</f>
        <v>This week</v>
      </c>
      <c r="C90" s="3" t="n">
        <f aca="false">SUM(AC90:AH90)</f>
        <v>64</v>
      </c>
      <c r="D90" s="15" t="str">
        <f aca="false">IF(T90="Y","Superseded record",IF(AND(U90&lt;&gt;"",AA90&lt;0),"Expired (verified)",IF(AND(U90&lt;&gt;"",AA90&lt;=Scoring!$B$5),"Expiring: notice window (verified)",IF(AND(U90&lt;&gt;"",AA90&lt;=Scoring!$B$6),"Expiring: 10-yr horizon (verified)",IF(M90="No Longer Monitored","Out of program",IF(N90="","Unknown vintage",IF(N90&lt;Scoring!$B$12,"Pre-1990, still listed",IF(AND(U90="",AA90&lt;0),"Past 30-yr mark (verify)",IF(AND(U90="",AA90&lt;=Scoring!$B$5),"30-yr mark: notice window (est.)",IF(AND(O90&gt;=Scoring!$B$7,O90&lt;=Scoring!$B$8),"Year-15 window",IF(O90&gt;=Scoring!$B$9,"Recap window",IF(O90&gt;=11,"Late compliance","Credit period"))))))))))))</f>
        <v>Past 30-yr mark (verify)</v>
      </c>
      <c r="E90" s="15" t="s">
        <v>449</v>
      </c>
      <c r="F90" s="15" t="s">
        <v>450</v>
      </c>
      <c r="G90" s="15" t="s">
        <v>451</v>
      </c>
      <c r="H90" s="15" t="s">
        <v>146</v>
      </c>
      <c r="I90" s="15" t="s">
        <v>147</v>
      </c>
      <c r="J90" s="15" t="n">
        <v>240</v>
      </c>
      <c r="K90" s="15" t="n">
        <v>240</v>
      </c>
      <c r="L90" s="15" t="n">
        <f aca="false">IF(OR(J90="",K90=""),"",MAX(J90-K90,0))</f>
        <v>0</v>
      </c>
      <c r="M90" s="15" t="s">
        <v>99</v>
      </c>
      <c r="N90" s="17" t="n">
        <v>1993</v>
      </c>
      <c r="O90" s="15" t="n">
        <f aca="false">IF(N90="","",Scoring!$B$4-N90)</f>
        <v>33</v>
      </c>
      <c r="P90" s="15" t="n">
        <f aca="false">IF(N90="","",N90+14)</f>
        <v>2007</v>
      </c>
      <c r="Q90" s="15" t="n">
        <f aca="false">IF(N90="","",IF(N90&lt;Scoring!$B$12,"n/a (pre-1990)",N90+Scoring!$B$13))</f>
        <v>2022</v>
      </c>
      <c r="R90" s="15" t="str">
        <f aca="false">IF(J90="","Unknown",IF(J90&gt;=5,"Yes","No (under 5 units)"))</f>
        <v>Yes</v>
      </c>
      <c r="S90" s="15"/>
      <c r="T90" s="18"/>
      <c r="U90" s="19"/>
      <c r="V90" s="18"/>
      <c r="W90" s="18"/>
      <c r="X90" s="20"/>
      <c r="Y90" s="18"/>
      <c r="Z90" s="18"/>
      <c r="AA90" s="21" t="n">
        <f aca="false">IF(U90&lt;&gt;"",(U90-Scoring!$B$3)/365.25,IF(N90="","",IF(N90&lt;Scoring!$B$12,"",(DATE(N90+Scoring!$B$13,12,31)-Scoring!$B$3)/365.25)))</f>
        <v>-3.75359342915811</v>
      </c>
      <c r="AB90" s="22" t="n">
        <f aca="false">IF(T90="Y",0,IF(OR(D90="Expired (verified)",D90="Expiring: notice window (verified)",D90="Expiring: 10-yr horizon (verified)",D90="Past 30-yr mark (verify)",D90="30-yr mark: notice window (est.)",D90="Year-15 window"),1,0)+IF(ISNUMBER(O90),IF(O90&gt;=Scoring!$B$10,1,0),0)+IF(AND(ISNUMBER(L90),ISNUMBER(J90)),IF(J90&gt;0,IF(L90/J90&gt;=Scoring!$B$11,1,0),0),0)+IF(ISNUMBER(Z90),MIN(Z90,3),0))</f>
        <v>2</v>
      </c>
      <c r="AC90" s="22" t="n">
        <f aca="false">IF(AB90&gt;=3,Scoring!$C$24,IF(AB90=2,Scoring!$C$23,IF(AB90=1,Scoring!$C$22,0)))</f>
        <v>18</v>
      </c>
      <c r="AD90" s="22" t="n">
        <f aca="false">IF(T90="Y",0,IF(ISNUMBER(X90),IF(X90&gt;0.7,Scoring!$C$25,IF(X90&gt;=0.5,Scoring!$C$26,IF(X90&gt;=0.3,Scoring!$C$27,Scoring!$C$28))),Scoring!$C$29))</f>
        <v>10</v>
      </c>
      <c r="AE90" s="22" t="n">
        <f aca="false">IF(D90="Expiring: notice window (verified)",Scoring!$C$30,IF(OR(D90="Expired (verified)",D90="30-yr mark: notice window (est.)",D90="Year-15 window"),Scoring!$C$31,IF(D90="Expiring: 10-yr horizon (verified)",Scoring!$C$32,IF(D90="Past 30-yr mark (verify)",Scoring!$C$33,IF(OR(D90="Credit period",D90="Superseded record"),Scoring!$C$35,Scoring!$C$34)))))</f>
        <v>8</v>
      </c>
      <c r="AF90" s="22" t="n">
        <f aca="false">IF(T90="Y",0,IF(ISNUMBER(V90),IF(Scoring!$B$4-V90&gt;15,Scoring!$C$36,IF(Scoring!$B$4-V90&gt;=10,Scoring!$C$37,IF(Scoring!$B$4-V90&gt;=5,Scoring!$C$38,Scoring!$C$39))),IF(OR(N90="",D90="Out of program"),Scoring!$C$40,IF(O90&gt;15,Scoring!$C$36,IF(O90&gt;=10,Scoring!$C$37,IF(O90&gt;=5,Scoring!$C$38,Scoring!$C$39))))))</f>
        <v>15</v>
      </c>
      <c r="AG90" s="22" t="n">
        <f aca="false">IF(T90="Y",0,IF(Y90="Y",Scoring!$C$41,IF(ISNUMBER(O90),IF(O90&gt;=25,Scoring!$C$42,IF(O90&gt;=15,Scoring!$C$43,Scoring!$C$44)),Scoring!$C$44)))</f>
        <v>8</v>
      </c>
      <c r="AH90" s="22" t="n">
        <f aca="false">IF(T90="Y",0,IF(W90="",Scoring!$C$49,IFERROR(VLOOKUP(W90,Scoring!$B$45:$C$48,2,FALSE()),Scoring!$C$49)))</f>
        <v>5</v>
      </c>
      <c r="AI90" s="23" t="n">
        <f aca="false">C90+IF(ISNUMBER(J90),J90,0)/100000+(10000-ROW())/1000000000</f>
        <v>64.00240991</v>
      </c>
      <c r="AJ90" s="18"/>
      <c r="AK90" s="18"/>
      <c r="AL90" s="18"/>
      <c r="AM90" s="18"/>
    </row>
    <row r="91" customFormat="false" ht="15" hidden="false" customHeight="false" outlineLevel="0" collapsed="false">
      <c r="A91" s="15" t="n">
        <f aca="false">RANK(AI91,$AI$2:$AI$755)</f>
        <v>90</v>
      </c>
      <c r="B91" s="16" t="str">
        <f aca="false">IF(T91="Y","Superseded",IF(C91&gt;=Scoring!$B$16,"Immediate",IF(C91&gt;=Scoring!$B$17,"This week",IF(C91&gt;=Scoring!$B$18,"Nurture","Low"))))</f>
        <v>This week</v>
      </c>
      <c r="C91" s="3" t="n">
        <f aca="false">SUM(AC91:AH91)</f>
        <v>64</v>
      </c>
      <c r="D91" s="15" t="str">
        <f aca="false">IF(T91="Y","Superseded record",IF(AND(U91&lt;&gt;"",AA91&lt;0),"Expired (verified)",IF(AND(U91&lt;&gt;"",AA91&lt;=Scoring!$B$5),"Expiring: notice window (verified)",IF(AND(U91&lt;&gt;"",AA91&lt;=Scoring!$B$6),"Expiring: 10-yr horizon (verified)",IF(M91="No Longer Monitored","Out of program",IF(N91="","Unknown vintage",IF(N91&lt;Scoring!$B$12,"Pre-1990, still listed",IF(AND(U91="",AA91&lt;0),"Past 30-yr mark (verify)",IF(AND(U91="",AA91&lt;=Scoring!$B$5),"30-yr mark: notice window (est.)",IF(AND(O91&gt;=Scoring!$B$7,O91&lt;=Scoring!$B$8),"Year-15 window",IF(O91&gt;=Scoring!$B$9,"Recap window",IF(O91&gt;=11,"Late compliance","Credit period"))))))))))))</f>
        <v>Past 30-yr mark (verify)</v>
      </c>
      <c r="E91" s="15" t="s">
        <v>452</v>
      </c>
      <c r="F91" s="15" t="s">
        <v>453</v>
      </c>
      <c r="G91" s="15" t="s">
        <v>454</v>
      </c>
      <c r="H91" s="15" t="s">
        <v>455</v>
      </c>
      <c r="I91" s="15" t="s">
        <v>152</v>
      </c>
      <c r="J91" s="15" t="n">
        <v>238</v>
      </c>
      <c r="K91" s="15" t="n">
        <v>238</v>
      </c>
      <c r="L91" s="15" t="n">
        <f aca="false">IF(OR(J91="",K91=""),"",MAX(J91-K91,0))</f>
        <v>0</v>
      </c>
      <c r="M91" s="15" t="s">
        <v>99</v>
      </c>
      <c r="N91" s="17" t="n">
        <v>1990</v>
      </c>
      <c r="O91" s="15" t="n">
        <f aca="false">IF(N91="","",Scoring!$B$4-N91)</f>
        <v>36</v>
      </c>
      <c r="P91" s="15" t="n">
        <f aca="false">IF(N91="","",N91+14)</f>
        <v>2004</v>
      </c>
      <c r="Q91" s="15" t="n">
        <f aca="false">IF(N91="","",IF(N91&lt;Scoring!$B$12,"n/a (pre-1990)",N91+Scoring!$B$13))</f>
        <v>2019</v>
      </c>
      <c r="R91" s="15" t="str">
        <f aca="false">IF(J91="","Unknown",IF(J91&gt;=5,"Yes","No (under 5 units)"))</f>
        <v>Yes</v>
      </c>
      <c r="S91" s="15"/>
      <c r="T91" s="18"/>
      <c r="U91" s="19"/>
      <c r="V91" s="18"/>
      <c r="W91" s="18"/>
      <c r="X91" s="20"/>
      <c r="Y91" s="18"/>
      <c r="Z91" s="18"/>
      <c r="AA91" s="21" t="n">
        <f aca="false">IF(U91&lt;&gt;"",(U91-Scoring!$B$3)/365.25,IF(N91="","",IF(N91&lt;Scoring!$B$12,"",(DATE(N91+Scoring!$B$13,12,31)-Scoring!$B$3)/365.25)))</f>
        <v>-6.75427789185489</v>
      </c>
      <c r="AB91" s="22" t="n">
        <f aca="false">IF(T91="Y",0,IF(OR(D91="Expired (verified)",D91="Expiring: notice window (verified)",D91="Expiring: 10-yr horizon (verified)",D91="Past 30-yr mark (verify)",D91="30-yr mark: notice window (est.)",D91="Year-15 window"),1,0)+IF(ISNUMBER(O91),IF(O91&gt;=Scoring!$B$10,1,0),0)+IF(AND(ISNUMBER(L91),ISNUMBER(J91)),IF(J91&gt;0,IF(L91/J91&gt;=Scoring!$B$11,1,0),0),0)+IF(ISNUMBER(Z91),MIN(Z91,3),0))</f>
        <v>2</v>
      </c>
      <c r="AC91" s="22" t="n">
        <f aca="false">IF(AB91&gt;=3,Scoring!$C$24,IF(AB91=2,Scoring!$C$23,IF(AB91=1,Scoring!$C$22,0)))</f>
        <v>18</v>
      </c>
      <c r="AD91" s="22" t="n">
        <f aca="false">IF(T91="Y",0,IF(ISNUMBER(X91),IF(X91&gt;0.7,Scoring!$C$25,IF(X91&gt;=0.5,Scoring!$C$26,IF(X91&gt;=0.3,Scoring!$C$27,Scoring!$C$28))),Scoring!$C$29))</f>
        <v>10</v>
      </c>
      <c r="AE91" s="22" t="n">
        <f aca="false">IF(D91="Expiring: notice window (verified)",Scoring!$C$30,IF(OR(D91="Expired (verified)",D91="30-yr mark: notice window (est.)",D91="Year-15 window"),Scoring!$C$31,IF(D91="Expiring: 10-yr horizon (verified)",Scoring!$C$32,IF(D91="Past 30-yr mark (verify)",Scoring!$C$33,IF(OR(D91="Credit period",D91="Superseded record"),Scoring!$C$35,Scoring!$C$34)))))</f>
        <v>8</v>
      </c>
      <c r="AF91" s="22" t="n">
        <f aca="false">IF(T91="Y",0,IF(ISNUMBER(V91),IF(Scoring!$B$4-V91&gt;15,Scoring!$C$36,IF(Scoring!$B$4-V91&gt;=10,Scoring!$C$37,IF(Scoring!$B$4-V91&gt;=5,Scoring!$C$38,Scoring!$C$39))),IF(OR(N91="",D91="Out of program"),Scoring!$C$40,IF(O91&gt;15,Scoring!$C$36,IF(O91&gt;=10,Scoring!$C$37,IF(O91&gt;=5,Scoring!$C$38,Scoring!$C$39))))))</f>
        <v>15</v>
      </c>
      <c r="AG91" s="22" t="n">
        <f aca="false">IF(T91="Y",0,IF(Y91="Y",Scoring!$C$41,IF(ISNUMBER(O91),IF(O91&gt;=25,Scoring!$C$42,IF(O91&gt;=15,Scoring!$C$43,Scoring!$C$44)),Scoring!$C$44)))</f>
        <v>8</v>
      </c>
      <c r="AH91" s="22" t="n">
        <f aca="false">IF(T91="Y",0,IF(W91="",Scoring!$C$49,IFERROR(VLOOKUP(W91,Scoring!$B$45:$C$48,2,FALSE()),Scoring!$C$49)))</f>
        <v>5</v>
      </c>
      <c r="AI91" s="23" t="n">
        <f aca="false">C91+IF(ISNUMBER(J91),J91,0)/100000+(10000-ROW())/1000000000</f>
        <v>64.002389909</v>
      </c>
      <c r="AJ91" s="18"/>
      <c r="AK91" s="18"/>
      <c r="AL91" s="18"/>
      <c r="AM91" s="18"/>
    </row>
    <row r="92" customFormat="false" ht="15" hidden="false" customHeight="false" outlineLevel="0" collapsed="false">
      <c r="A92" s="15" t="n">
        <f aca="false">RANK(AI92,$AI$2:$AI$755)</f>
        <v>91</v>
      </c>
      <c r="B92" s="16" t="str">
        <f aca="false">IF(T92="Y","Superseded",IF(C92&gt;=Scoring!$B$16,"Immediate",IF(C92&gt;=Scoring!$B$17,"This week",IF(C92&gt;=Scoring!$B$18,"Nurture","Low"))))</f>
        <v>This week</v>
      </c>
      <c r="C92" s="3" t="n">
        <f aca="false">SUM(AC92:AH92)</f>
        <v>64</v>
      </c>
      <c r="D92" s="15" t="str">
        <f aca="false">IF(T92="Y","Superseded record",IF(AND(U92&lt;&gt;"",AA92&lt;0),"Expired (verified)",IF(AND(U92&lt;&gt;"",AA92&lt;=Scoring!$B$5),"Expiring: notice window (verified)",IF(AND(U92&lt;&gt;"",AA92&lt;=Scoring!$B$6),"Expiring: 10-yr horizon (verified)",IF(M92="No Longer Monitored","Out of program",IF(N92="","Unknown vintage",IF(N92&lt;Scoring!$B$12,"Pre-1990, still listed",IF(AND(U92="",AA92&lt;0),"Past 30-yr mark (verify)",IF(AND(U92="",AA92&lt;=Scoring!$B$5),"30-yr mark: notice window (est.)",IF(AND(O92&gt;=Scoring!$B$7,O92&lt;=Scoring!$B$8),"Year-15 window",IF(O92&gt;=Scoring!$B$9,"Recap window",IF(O92&gt;=11,"Late compliance","Credit period"))))))))))))</f>
        <v>Past 30-yr mark (verify)</v>
      </c>
      <c r="E92" s="15" t="s">
        <v>456</v>
      </c>
      <c r="F92" s="15" t="s">
        <v>457</v>
      </c>
      <c r="G92" s="15" t="s">
        <v>458</v>
      </c>
      <c r="H92" s="15" t="s">
        <v>107</v>
      </c>
      <c r="I92" s="15" t="s">
        <v>459</v>
      </c>
      <c r="J92" s="15" t="n">
        <v>224</v>
      </c>
      <c r="K92" s="15" t="n">
        <v>224</v>
      </c>
      <c r="L92" s="15" t="n">
        <f aca="false">IF(OR(J92="",K92=""),"",MAX(J92-K92,0))</f>
        <v>0</v>
      </c>
      <c r="M92" s="15" t="s">
        <v>99</v>
      </c>
      <c r="N92" s="17" t="n">
        <v>1993</v>
      </c>
      <c r="O92" s="15" t="n">
        <f aca="false">IF(N92="","",Scoring!$B$4-N92)</f>
        <v>33</v>
      </c>
      <c r="P92" s="15" t="n">
        <f aca="false">IF(N92="","",N92+14)</f>
        <v>2007</v>
      </c>
      <c r="Q92" s="15" t="n">
        <f aca="false">IF(N92="","",IF(N92&lt;Scoring!$B$12,"n/a (pre-1990)",N92+Scoring!$B$13))</f>
        <v>2022</v>
      </c>
      <c r="R92" s="15" t="str">
        <f aca="false">IF(J92="","Unknown",IF(J92&gt;=5,"Yes","No (under 5 units)"))</f>
        <v>Yes</v>
      </c>
      <c r="S92" s="15"/>
      <c r="T92" s="18"/>
      <c r="U92" s="19"/>
      <c r="V92" s="18"/>
      <c r="W92" s="18"/>
      <c r="X92" s="20"/>
      <c r="Y92" s="18"/>
      <c r="Z92" s="18"/>
      <c r="AA92" s="21" t="n">
        <f aca="false">IF(U92&lt;&gt;"",(U92-Scoring!$B$3)/365.25,IF(N92="","",IF(N92&lt;Scoring!$B$12,"",(DATE(N92+Scoring!$B$13,12,31)-Scoring!$B$3)/365.25)))</f>
        <v>-3.75359342915811</v>
      </c>
      <c r="AB92" s="22" t="n">
        <f aca="false">IF(T92="Y",0,IF(OR(D92="Expired (verified)",D92="Expiring: notice window (verified)",D92="Expiring: 10-yr horizon (verified)",D92="Past 30-yr mark (verify)",D92="30-yr mark: notice window (est.)",D92="Year-15 window"),1,0)+IF(ISNUMBER(O92),IF(O92&gt;=Scoring!$B$10,1,0),0)+IF(AND(ISNUMBER(L92),ISNUMBER(J92)),IF(J92&gt;0,IF(L92/J92&gt;=Scoring!$B$11,1,0),0),0)+IF(ISNUMBER(Z92),MIN(Z92,3),0))</f>
        <v>2</v>
      </c>
      <c r="AC92" s="22" t="n">
        <f aca="false">IF(AB92&gt;=3,Scoring!$C$24,IF(AB92=2,Scoring!$C$23,IF(AB92=1,Scoring!$C$22,0)))</f>
        <v>18</v>
      </c>
      <c r="AD92" s="22" t="n">
        <f aca="false">IF(T92="Y",0,IF(ISNUMBER(X92),IF(X92&gt;0.7,Scoring!$C$25,IF(X92&gt;=0.5,Scoring!$C$26,IF(X92&gt;=0.3,Scoring!$C$27,Scoring!$C$28))),Scoring!$C$29))</f>
        <v>10</v>
      </c>
      <c r="AE92" s="22" t="n">
        <f aca="false">IF(D92="Expiring: notice window (verified)",Scoring!$C$30,IF(OR(D92="Expired (verified)",D92="30-yr mark: notice window (est.)",D92="Year-15 window"),Scoring!$C$31,IF(D92="Expiring: 10-yr horizon (verified)",Scoring!$C$32,IF(D92="Past 30-yr mark (verify)",Scoring!$C$33,IF(OR(D92="Credit period",D92="Superseded record"),Scoring!$C$35,Scoring!$C$34)))))</f>
        <v>8</v>
      </c>
      <c r="AF92" s="22" t="n">
        <f aca="false">IF(T92="Y",0,IF(ISNUMBER(V92),IF(Scoring!$B$4-V92&gt;15,Scoring!$C$36,IF(Scoring!$B$4-V92&gt;=10,Scoring!$C$37,IF(Scoring!$B$4-V92&gt;=5,Scoring!$C$38,Scoring!$C$39))),IF(OR(N92="",D92="Out of program"),Scoring!$C$40,IF(O92&gt;15,Scoring!$C$36,IF(O92&gt;=10,Scoring!$C$37,IF(O92&gt;=5,Scoring!$C$38,Scoring!$C$39))))))</f>
        <v>15</v>
      </c>
      <c r="AG92" s="22" t="n">
        <f aca="false">IF(T92="Y",0,IF(Y92="Y",Scoring!$C$41,IF(ISNUMBER(O92),IF(O92&gt;=25,Scoring!$C$42,IF(O92&gt;=15,Scoring!$C$43,Scoring!$C$44)),Scoring!$C$44)))</f>
        <v>8</v>
      </c>
      <c r="AH92" s="22" t="n">
        <f aca="false">IF(T92="Y",0,IF(W92="",Scoring!$C$49,IFERROR(VLOOKUP(W92,Scoring!$B$45:$C$48,2,FALSE()),Scoring!$C$49)))</f>
        <v>5</v>
      </c>
      <c r="AI92" s="23" t="n">
        <f aca="false">C92+IF(ISNUMBER(J92),J92,0)/100000+(10000-ROW())/1000000000</f>
        <v>64.002249908</v>
      </c>
      <c r="AJ92" s="18"/>
      <c r="AK92" s="18"/>
      <c r="AL92" s="18"/>
      <c r="AM92" s="18"/>
    </row>
    <row r="93" customFormat="false" ht="15" hidden="false" customHeight="false" outlineLevel="0" collapsed="false">
      <c r="A93" s="15" t="n">
        <f aca="false">RANK(AI93,$AI$2:$AI$755)</f>
        <v>92</v>
      </c>
      <c r="B93" s="16" t="str">
        <f aca="false">IF(T93="Y","Superseded",IF(C93&gt;=Scoring!$B$16,"Immediate",IF(C93&gt;=Scoring!$B$17,"This week",IF(C93&gt;=Scoring!$B$18,"Nurture","Low"))))</f>
        <v>This week</v>
      </c>
      <c r="C93" s="3" t="n">
        <f aca="false">SUM(AC93:AH93)</f>
        <v>64</v>
      </c>
      <c r="D93" s="15" t="str">
        <f aca="false">IF(T93="Y","Superseded record",IF(AND(U93&lt;&gt;"",AA93&lt;0),"Expired (verified)",IF(AND(U93&lt;&gt;"",AA93&lt;=Scoring!$B$5),"Expiring: notice window (verified)",IF(AND(U93&lt;&gt;"",AA93&lt;=Scoring!$B$6),"Expiring: 10-yr horizon (verified)",IF(M93="No Longer Monitored","Out of program",IF(N93="","Unknown vintage",IF(N93&lt;Scoring!$B$12,"Pre-1990, still listed",IF(AND(U93="",AA93&lt;0),"Past 30-yr mark (verify)",IF(AND(U93="",AA93&lt;=Scoring!$B$5),"30-yr mark: notice window (est.)",IF(AND(O93&gt;=Scoring!$B$7,O93&lt;=Scoring!$B$8),"Year-15 window",IF(O93&gt;=Scoring!$B$9,"Recap window",IF(O93&gt;=11,"Late compliance","Credit period"))))))))))))</f>
        <v>Past 30-yr mark (verify)</v>
      </c>
      <c r="E93" s="15" t="s">
        <v>460</v>
      </c>
      <c r="F93" s="15" t="s">
        <v>461</v>
      </c>
      <c r="G93" s="15" t="s">
        <v>462</v>
      </c>
      <c r="H93" s="15" t="s">
        <v>97</v>
      </c>
      <c r="I93" s="15" t="s">
        <v>463</v>
      </c>
      <c r="J93" s="15" t="n">
        <v>210</v>
      </c>
      <c r="K93" s="15" t="n">
        <v>210</v>
      </c>
      <c r="L93" s="15" t="n">
        <f aca="false">IF(OR(J93="",K93=""),"",MAX(J93-K93,0))</f>
        <v>0</v>
      </c>
      <c r="M93" s="15" t="s">
        <v>99</v>
      </c>
      <c r="N93" s="17" t="n">
        <v>1993</v>
      </c>
      <c r="O93" s="15" t="n">
        <f aca="false">IF(N93="","",Scoring!$B$4-N93)</f>
        <v>33</v>
      </c>
      <c r="P93" s="15" t="n">
        <f aca="false">IF(N93="","",N93+14)</f>
        <v>2007</v>
      </c>
      <c r="Q93" s="15" t="n">
        <f aca="false">IF(N93="","",IF(N93&lt;Scoring!$B$12,"n/a (pre-1990)",N93+Scoring!$B$13))</f>
        <v>2022</v>
      </c>
      <c r="R93" s="15" t="str">
        <f aca="false">IF(J93="","Unknown",IF(J93&gt;=5,"Yes","No (under 5 units)"))</f>
        <v>Yes</v>
      </c>
      <c r="S93" s="15"/>
      <c r="T93" s="18"/>
      <c r="U93" s="19"/>
      <c r="V93" s="18"/>
      <c r="W93" s="18"/>
      <c r="X93" s="20"/>
      <c r="Y93" s="18"/>
      <c r="Z93" s="18"/>
      <c r="AA93" s="21" t="n">
        <f aca="false">IF(U93&lt;&gt;"",(U93-Scoring!$B$3)/365.25,IF(N93="","",IF(N93&lt;Scoring!$B$12,"",(DATE(N93+Scoring!$B$13,12,31)-Scoring!$B$3)/365.25)))</f>
        <v>-3.75359342915811</v>
      </c>
      <c r="AB93" s="22" t="n">
        <f aca="false">IF(T93="Y",0,IF(OR(D93="Expired (verified)",D93="Expiring: notice window (verified)",D93="Expiring: 10-yr horizon (verified)",D93="Past 30-yr mark (verify)",D93="30-yr mark: notice window (est.)",D93="Year-15 window"),1,0)+IF(ISNUMBER(O93),IF(O93&gt;=Scoring!$B$10,1,0),0)+IF(AND(ISNUMBER(L93),ISNUMBER(J93)),IF(J93&gt;0,IF(L93/J93&gt;=Scoring!$B$11,1,0),0),0)+IF(ISNUMBER(Z93),MIN(Z93,3),0))</f>
        <v>2</v>
      </c>
      <c r="AC93" s="22" t="n">
        <f aca="false">IF(AB93&gt;=3,Scoring!$C$24,IF(AB93=2,Scoring!$C$23,IF(AB93=1,Scoring!$C$22,0)))</f>
        <v>18</v>
      </c>
      <c r="AD93" s="22" t="n">
        <f aca="false">IF(T93="Y",0,IF(ISNUMBER(X93),IF(X93&gt;0.7,Scoring!$C$25,IF(X93&gt;=0.5,Scoring!$C$26,IF(X93&gt;=0.3,Scoring!$C$27,Scoring!$C$28))),Scoring!$C$29))</f>
        <v>10</v>
      </c>
      <c r="AE93" s="22" t="n">
        <f aca="false">IF(D93="Expiring: notice window (verified)",Scoring!$C$30,IF(OR(D93="Expired (verified)",D93="30-yr mark: notice window (est.)",D93="Year-15 window"),Scoring!$C$31,IF(D93="Expiring: 10-yr horizon (verified)",Scoring!$C$32,IF(D93="Past 30-yr mark (verify)",Scoring!$C$33,IF(OR(D93="Credit period",D93="Superseded record"),Scoring!$C$35,Scoring!$C$34)))))</f>
        <v>8</v>
      </c>
      <c r="AF93" s="22" t="n">
        <f aca="false">IF(T93="Y",0,IF(ISNUMBER(V93),IF(Scoring!$B$4-V93&gt;15,Scoring!$C$36,IF(Scoring!$B$4-V93&gt;=10,Scoring!$C$37,IF(Scoring!$B$4-V93&gt;=5,Scoring!$C$38,Scoring!$C$39))),IF(OR(N93="",D93="Out of program"),Scoring!$C$40,IF(O93&gt;15,Scoring!$C$36,IF(O93&gt;=10,Scoring!$C$37,IF(O93&gt;=5,Scoring!$C$38,Scoring!$C$39))))))</f>
        <v>15</v>
      </c>
      <c r="AG93" s="22" t="n">
        <f aca="false">IF(T93="Y",0,IF(Y93="Y",Scoring!$C$41,IF(ISNUMBER(O93),IF(O93&gt;=25,Scoring!$C$42,IF(O93&gt;=15,Scoring!$C$43,Scoring!$C$44)),Scoring!$C$44)))</f>
        <v>8</v>
      </c>
      <c r="AH93" s="22" t="n">
        <f aca="false">IF(T93="Y",0,IF(W93="",Scoring!$C$49,IFERROR(VLOOKUP(W93,Scoring!$B$45:$C$48,2,FALSE()),Scoring!$C$49)))</f>
        <v>5</v>
      </c>
      <c r="AI93" s="23" t="n">
        <f aca="false">C93+IF(ISNUMBER(J93),J93,0)/100000+(10000-ROW())/1000000000</f>
        <v>64.002109907</v>
      </c>
      <c r="AJ93" s="18"/>
      <c r="AK93" s="18"/>
      <c r="AL93" s="18"/>
      <c r="AM93" s="18"/>
    </row>
    <row r="94" customFormat="false" ht="15" hidden="false" customHeight="false" outlineLevel="0" collapsed="false">
      <c r="A94" s="15" t="n">
        <f aca="false">RANK(AI94,$AI$2:$AI$755)</f>
        <v>93</v>
      </c>
      <c r="B94" s="16" t="str">
        <f aca="false">IF(T94="Y","Superseded",IF(C94&gt;=Scoring!$B$16,"Immediate",IF(C94&gt;=Scoring!$B$17,"This week",IF(C94&gt;=Scoring!$B$18,"Nurture","Low"))))</f>
        <v>This week</v>
      </c>
      <c r="C94" s="3" t="n">
        <f aca="false">SUM(AC94:AH94)</f>
        <v>64</v>
      </c>
      <c r="D94" s="15" t="str">
        <f aca="false">IF(T94="Y","Superseded record",IF(AND(U94&lt;&gt;"",AA94&lt;0),"Expired (verified)",IF(AND(U94&lt;&gt;"",AA94&lt;=Scoring!$B$5),"Expiring: notice window (verified)",IF(AND(U94&lt;&gt;"",AA94&lt;=Scoring!$B$6),"Expiring: 10-yr horizon (verified)",IF(M94="No Longer Monitored","Out of program",IF(N94="","Unknown vintage",IF(N94&lt;Scoring!$B$12,"Pre-1990, still listed",IF(AND(U94="",AA94&lt;0),"Past 30-yr mark (verify)",IF(AND(U94="",AA94&lt;=Scoring!$B$5),"30-yr mark: notice window (est.)",IF(AND(O94&gt;=Scoring!$B$7,O94&lt;=Scoring!$B$8),"Year-15 window",IF(O94&gt;=Scoring!$B$9,"Recap window",IF(O94&gt;=11,"Late compliance","Credit period"))))))))))))</f>
        <v>Past 30-yr mark (verify)</v>
      </c>
      <c r="E94" s="15" t="s">
        <v>464</v>
      </c>
      <c r="F94" s="15" t="s">
        <v>465</v>
      </c>
      <c r="G94" s="15" t="s">
        <v>462</v>
      </c>
      <c r="H94" s="15" t="s">
        <v>466</v>
      </c>
      <c r="I94" s="15" t="s">
        <v>463</v>
      </c>
      <c r="J94" s="15" t="n">
        <v>210</v>
      </c>
      <c r="K94" s="15" t="n">
        <v>209</v>
      </c>
      <c r="L94" s="15" t="n">
        <f aca="false">IF(OR(J94="",K94=""),"",MAX(J94-K94,0))</f>
        <v>1</v>
      </c>
      <c r="M94" s="15" t="s">
        <v>99</v>
      </c>
      <c r="N94" s="17" t="n">
        <v>1994</v>
      </c>
      <c r="O94" s="15" t="n">
        <f aca="false">IF(N94="","",Scoring!$B$4-N94)</f>
        <v>32</v>
      </c>
      <c r="P94" s="15" t="n">
        <f aca="false">IF(N94="","",N94+14)</f>
        <v>2008</v>
      </c>
      <c r="Q94" s="15" t="n">
        <f aca="false">IF(N94="","",IF(N94&lt;Scoring!$B$12,"n/a (pre-1990)",N94+Scoring!$B$13))</f>
        <v>2023</v>
      </c>
      <c r="R94" s="15" t="str">
        <f aca="false">IF(J94="","Unknown",IF(J94&gt;=5,"Yes","No (under 5 units)"))</f>
        <v>Yes</v>
      </c>
      <c r="S94" s="15"/>
      <c r="T94" s="18"/>
      <c r="U94" s="19"/>
      <c r="V94" s="18"/>
      <c r="W94" s="18"/>
      <c r="X94" s="20"/>
      <c r="Y94" s="18"/>
      <c r="Z94" s="18"/>
      <c r="AA94" s="21" t="n">
        <f aca="false">IF(U94&lt;&gt;"",(U94-Scoring!$B$3)/365.25,IF(N94="","",IF(N94&lt;Scoring!$B$12,"",(DATE(N94+Scoring!$B$13,12,31)-Scoring!$B$3)/365.25)))</f>
        <v>-2.75427789185489</v>
      </c>
      <c r="AB94" s="22" t="n">
        <f aca="false">IF(T94="Y",0,IF(OR(D94="Expired (verified)",D94="Expiring: notice window (verified)",D94="Expiring: 10-yr horizon (verified)",D94="Past 30-yr mark (verify)",D94="30-yr mark: notice window (est.)",D94="Year-15 window"),1,0)+IF(ISNUMBER(O94),IF(O94&gt;=Scoring!$B$10,1,0),0)+IF(AND(ISNUMBER(L94),ISNUMBER(J94)),IF(J94&gt;0,IF(L94/J94&gt;=Scoring!$B$11,1,0),0),0)+IF(ISNUMBER(Z94),MIN(Z94,3),0))</f>
        <v>2</v>
      </c>
      <c r="AC94" s="22" t="n">
        <f aca="false">IF(AB94&gt;=3,Scoring!$C$24,IF(AB94=2,Scoring!$C$23,IF(AB94=1,Scoring!$C$22,0)))</f>
        <v>18</v>
      </c>
      <c r="AD94" s="22" t="n">
        <f aca="false">IF(T94="Y",0,IF(ISNUMBER(X94),IF(X94&gt;0.7,Scoring!$C$25,IF(X94&gt;=0.5,Scoring!$C$26,IF(X94&gt;=0.3,Scoring!$C$27,Scoring!$C$28))),Scoring!$C$29))</f>
        <v>10</v>
      </c>
      <c r="AE94" s="22" t="n">
        <f aca="false">IF(D94="Expiring: notice window (verified)",Scoring!$C$30,IF(OR(D94="Expired (verified)",D94="30-yr mark: notice window (est.)",D94="Year-15 window"),Scoring!$C$31,IF(D94="Expiring: 10-yr horizon (verified)",Scoring!$C$32,IF(D94="Past 30-yr mark (verify)",Scoring!$C$33,IF(OR(D94="Credit period",D94="Superseded record"),Scoring!$C$35,Scoring!$C$34)))))</f>
        <v>8</v>
      </c>
      <c r="AF94" s="22" t="n">
        <f aca="false">IF(T94="Y",0,IF(ISNUMBER(V94),IF(Scoring!$B$4-V94&gt;15,Scoring!$C$36,IF(Scoring!$B$4-V94&gt;=10,Scoring!$C$37,IF(Scoring!$B$4-V94&gt;=5,Scoring!$C$38,Scoring!$C$39))),IF(OR(N94="",D94="Out of program"),Scoring!$C$40,IF(O94&gt;15,Scoring!$C$36,IF(O94&gt;=10,Scoring!$C$37,IF(O94&gt;=5,Scoring!$C$38,Scoring!$C$39))))))</f>
        <v>15</v>
      </c>
      <c r="AG94" s="22" t="n">
        <f aca="false">IF(T94="Y",0,IF(Y94="Y",Scoring!$C$41,IF(ISNUMBER(O94),IF(O94&gt;=25,Scoring!$C$42,IF(O94&gt;=15,Scoring!$C$43,Scoring!$C$44)),Scoring!$C$44)))</f>
        <v>8</v>
      </c>
      <c r="AH94" s="22" t="n">
        <f aca="false">IF(T94="Y",0,IF(W94="",Scoring!$C$49,IFERROR(VLOOKUP(W94,Scoring!$B$45:$C$48,2,FALSE()),Scoring!$C$49)))</f>
        <v>5</v>
      </c>
      <c r="AI94" s="23" t="n">
        <f aca="false">C94+IF(ISNUMBER(J94),J94,0)/100000+(10000-ROW())/1000000000</f>
        <v>64.002109906</v>
      </c>
      <c r="AJ94" s="18"/>
      <c r="AK94" s="18"/>
      <c r="AL94" s="18"/>
      <c r="AM94" s="18"/>
    </row>
    <row r="95" customFormat="false" ht="15" hidden="false" customHeight="false" outlineLevel="0" collapsed="false">
      <c r="A95" s="15" t="n">
        <f aca="false">RANK(AI95,$AI$2:$AI$755)</f>
        <v>94</v>
      </c>
      <c r="B95" s="16" t="str">
        <f aca="false">IF(T95="Y","Superseded",IF(C95&gt;=Scoring!$B$16,"Immediate",IF(C95&gt;=Scoring!$B$17,"This week",IF(C95&gt;=Scoring!$B$18,"Nurture","Low"))))</f>
        <v>This week</v>
      </c>
      <c r="C95" s="3" t="n">
        <f aca="false">SUM(AC95:AH95)</f>
        <v>64</v>
      </c>
      <c r="D95" s="15" t="str">
        <f aca="false">IF(T95="Y","Superseded record",IF(AND(U95&lt;&gt;"",AA95&lt;0),"Expired (verified)",IF(AND(U95&lt;&gt;"",AA95&lt;=Scoring!$B$5),"Expiring: notice window (verified)",IF(AND(U95&lt;&gt;"",AA95&lt;=Scoring!$B$6),"Expiring: 10-yr horizon (verified)",IF(M95="No Longer Monitored","Out of program",IF(N95="","Unknown vintage",IF(N95&lt;Scoring!$B$12,"Pre-1990, still listed",IF(AND(U95="",AA95&lt;0),"Past 30-yr mark (verify)",IF(AND(U95="",AA95&lt;=Scoring!$B$5),"30-yr mark: notice window (est.)",IF(AND(O95&gt;=Scoring!$B$7,O95&lt;=Scoring!$B$8),"Year-15 window",IF(O95&gt;=Scoring!$B$9,"Recap window",IF(O95&gt;=11,"Late compliance","Credit period"))))))))))))</f>
        <v>Past 30-yr mark (verify)</v>
      </c>
      <c r="E95" s="15" t="s">
        <v>467</v>
      </c>
      <c r="F95" s="15" t="s">
        <v>468</v>
      </c>
      <c r="G95" s="15" t="s">
        <v>469</v>
      </c>
      <c r="H95" s="15" t="s">
        <v>97</v>
      </c>
      <c r="I95" s="15" t="s">
        <v>399</v>
      </c>
      <c r="J95" s="15" t="n">
        <v>178</v>
      </c>
      <c r="K95" s="15" t="n">
        <v>178</v>
      </c>
      <c r="L95" s="15" t="n">
        <f aca="false">IF(OR(J95="",K95=""),"",MAX(J95-K95,0))</f>
        <v>0</v>
      </c>
      <c r="M95" s="15" t="s">
        <v>99</v>
      </c>
      <c r="N95" s="17" t="n">
        <v>1995</v>
      </c>
      <c r="O95" s="15" t="n">
        <f aca="false">IF(N95="","",Scoring!$B$4-N95)</f>
        <v>31</v>
      </c>
      <c r="P95" s="15" t="n">
        <f aca="false">IF(N95="","",N95+14)</f>
        <v>2009</v>
      </c>
      <c r="Q95" s="15" t="n">
        <f aca="false">IF(N95="","",IF(N95&lt;Scoring!$B$12,"n/a (pre-1990)",N95+Scoring!$B$13))</f>
        <v>2024</v>
      </c>
      <c r="R95" s="15" t="str">
        <f aca="false">IF(J95="","Unknown",IF(J95&gt;=5,"Yes","No (under 5 units)"))</f>
        <v>Yes</v>
      </c>
      <c r="S95" s="15"/>
      <c r="T95" s="18"/>
      <c r="U95" s="19"/>
      <c r="V95" s="18"/>
      <c r="W95" s="18"/>
      <c r="X95" s="20"/>
      <c r="Y95" s="18"/>
      <c r="Z95" s="18"/>
      <c r="AA95" s="21" t="n">
        <f aca="false">IF(U95&lt;&gt;"",(U95-Scoring!$B$3)/365.25,IF(N95="","",IF(N95&lt;Scoring!$B$12,"",(DATE(N95+Scoring!$B$13,12,31)-Scoring!$B$3)/365.25)))</f>
        <v>-1.75222450376454</v>
      </c>
      <c r="AB95" s="22" t="n">
        <f aca="false">IF(T95="Y",0,IF(OR(D95="Expired (verified)",D95="Expiring: notice window (verified)",D95="Expiring: 10-yr horizon (verified)",D95="Past 30-yr mark (verify)",D95="30-yr mark: notice window (est.)",D95="Year-15 window"),1,0)+IF(ISNUMBER(O95),IF(O95&gt;=Scoring!$B$10,1,0),0)+IF(AND(ISNUMBER(L95),ISNUMBER(J95)),IF(J95&gt;0,IF(L95/J95&gt;=Scoring!$B$11,1,0),0),0)+IF(ISNUMBER(Z95),MIN(Z95,3),0))</f>
        <v>2</v>
      </c>
      <c r="AC95" s="22" t="n">
        <f aca="false">IF(AB95&gt;=3,Scoring!$C$24,IF(AB95=2,Scoring!$C$23,IF(AB95=1,Scoring!$C$22,0)))</f>
        <v>18</v>
      </c>
      <c r="AD95" s="22" t="n">
        <f aca="false">IF(T95="Y",0,IF(ISNUMBER(X95),IF(X95&gt;0.7,Scoring!$C$25,IF(X95&gt;=0.5,Scoring!$C$26,IF(X95&gt;=0.3,Scoring!$C$27,Scoring!$C$28))),Scoring!$C$29))</f>
        <v>10</v>
      </c>
      <c r="AE95" s="22" t="n">
        <f aca="false">IF(D95="Expiring: notice window (verified)",Scoring!$C$30,IF(OR(D95="Expired (verified)",D95="30-yr mark: notice window (est.)",D95="Year-15 window"),Scoring!$C$31,IF(D95="Expiring: 10-yr horizon (verified)",Scoring!$C$32,IF(D95="Past 30-yr mark (verify)",Scoring!$C$33,IF(OR(D95="Credit period",D95="Superseded record"),Scoring!$C$35,Scoring!$C$34)))))</f>
        <v>8</v>
      </c>
      <c r="AF95" s="22" t="n">
        <f aca="false">IF(T95="Y",0,IF(ISNUMBER(V95),IF(Scoring!$B$4-V95&gt;15,Scoring!$C$36,IF(Scoring!$B$4-V95&gt;=10,Scoring!$C$37,IF(Scoring!$B$4-V95&gt;=5,Scoring!$C$38,Scoring!$C$39))),IF(OR(N95="",D95="Out of program"),Scoring!$C$40,IF(O95&gt;15,Scoring!$C$36,IF(O95&gt;=10,Scoring!$C$37,IF(O95&gt;=5,Scoring!$C$38,Scoring!$C$39))))))</f>
        <v>15</v>
      </c>
      <c r="AG95" s="22" t="n">
        <f aca="false">IF(T95="Y",0,IF(Y95="Y",Scoring!$C$41,IF(ISNUMBER(O95),IF(O95&gt;=25,Scoring!$C$42,IF(O95&gt;=15,Scoring!$C$43,Scoring!$C$44)),Scoring!$C$44)))</f>
        <v>8</v>
      </c>
      <c r="AH95" s="22" t="n">
        <f aca="false">IF(T95="Y",0,IF(W95="",Scoring!$C$49,IFERROR(VLOOKUP(W95,Scoring!$B$45:$C$48,2,FALSE()),Scoring!$C$49)))</f>
        <v>5</v>
      </c>
      <c r="AI95" s="23" t="n">
        <f aca="false">C95+IF(ISNUMBER(J95),J95,0)/100000+(10000-ROW())/1000000000</f>
        <v>64.001789905</v>
      </c>
      <c r="AJ95" s="18"/>
      <c r="AK95" s="18"/>
      <c r="AL95" s="18"/>
      <c r="AM95" s="18"/>
    </row>
    <row r="96" customFormat="false" ht="15" hidden="false" customHeight="false" outlineLevel="0" collapsed="false">
      <c r="A96" s="15" t="n">
        <f aca="false">RANK(AI96,$AI$2:$AI$755)</f>
        <v>95</v>
      </c>
      <c r="B96" s="16" t="str">
        <f aca="false">IF(T96="Y","Superseded",IF(C96&gt;=Scoring!$B$16,"Immediate",IF(C96&gt;=Scoring!$B$17,"This week",IF(C96&gt;=Scoring!$B$18,"Nurture","Low"))))</f>
        <v>This week</v>
      </c>
      <c r="C96" s="3" t="n">
        <f aca="false">SUM(AC96:AH96)</f>
        <v>64</v>
      </c>
      <c r="D96" s="15" t="str">
        <f aca="false">IF(T96="Y","Superseded record",IF(AND(U96&lt;&gt;"",AA96&lt;0),"Expired (verified)",IF(AND(U96&lt;&gt;"",AA96&lt;=Scoring!$B$5),"Expiring: notice window (verified)",IF(AND(U96&lt;&gt;"",AA96&lt;=Scoring!$B$6),"Expiring: 10-yr horizon (verified)",IF(M96="No Longer Monitored","Out of program",IF(N96="","Unknown vintage",IF(N96&lt;Scoring!$B$12,"Pre-1990, still listed",IF(AND(U96="",AA96&lt;0),"Past 30-yr mark (verify)",IF(AND(U96="",AA96&lt;=Scoring!$B$5),"30-yr mark: notice window (est.)",IF(AND(O96&gt;=Scoring!$B$7,O96&lt;=Scoring!$B$8),"Year-15 window",IF(O96&gt;=Scoring!$B$9,"Recap window",IF(O96&gt;=11,"Late compliance","Credit period"))))))))))))</f>
        <v>Past 30-yr mark (verify)</v>
      </c>
      <c r="E96" s="15" t="s">
        <v>470</v>
      </c>
      <c r="F96" s="15" t="s">
        <v>471</v>
      </c>
      <c r="G96" s="15" t="s">
        <v>472</v>
      </c>
      <c r="H96" s="15" t="s">
        <v>473</v>
      </c>
      <c r="I96" s="15" t="s">
        <v>463</v>
      </c>
      <c r="J96" s="15" t="n">
        <v>172</v>
      </c>
      <c r="K96" s="15" t="n">
        <v>172</v>
      </c>
      <c r="L96" s="15" t="n">
        <f aca="false">IF(OR(J96="",K96=""),"",MAX(J96-K96,0))</f>
        <v>0</v>
      </c>
      <c r="M96" s="15" t="s">
        <v>99</v>
      </c>
      <c r="N96" s="17" t="n">
        <v>1991</v>
      </c>
      <c r="O96" s="15" t="n">
        <f aca="false">IF(N96="","",Scoring!$B$4-N96)</f>
        <v>35</v>
      </c>
      <c r="P96" s="15" t="n">
        <f aca="false">IF(N96="","",N96+14)</f>
        <v>2005</v>
      </c>
      <c r="Q96" s="15" t="n">
        <f aca="false">IF(N96="","",IF(N96&lt;Scoring!$B$12,"n/a (pre-1990)",N96+Scoring!$B$13))</f>
        <v>2020</v>
      </c>
      <c r="R96" s="15" t="str">
        <f aca="false">IF(J96="","Unknown",IF(J96&gt;=5,"Yes","No (under 5 units)"))</f>
        <v>Yes</v>
      </c>
      <c r="S96" s="15"/>
      <c r="T96" s="18"/>
      <c r="U96" s="19"/>
      <c r="V96" s="18"/>
      <c r="W96" s="18"/>
      <c r="X96" s="20"/>
      <c r="Y96" s="18"/>
      <c r="Z96" s="18"/>
      <c r="AA96" s="21" t="n">
        <f aca="false">IF(U96&lt;&gt;"",(U96-Scoring!$B$3)/365.25,IF(N96="","",IF(N96&lt;Scoring!$B$12,"",(DATE(N96+Scoring!$B$13,12,31)-Scoring!$B$3)/365.25)))</f>
        <v>-5.75222450376455</v>
      </c>
      <c r="AB96" s="22" t="n">
        <f aca="false">IF(T96="Y",0,IF(OR(D96="Expired (verified)",D96="Expiring: notice window (verified)",D96="Expiring: 10-yr horizon (verified)",D96="Past 30-yr mark (verify)",D96="30-yr mark: notice window (est.)",D96="Year-15 window"),1,0)+IF(ISNUMBER(O96),IF(O96&gt;=Scoring!$B$10,1,0),0)+IF(AND(ISNUMBER(L96),ISNUMBER(J96)),IF(J96&gt;0,IF(L96/J96&gt;=Scoring!$B$11,1,0),0),0)+IF(ISNUMBER(Z96),MIN(Z96,3),0))</f>
        <v>2</v>
      </c>
      <c r="AC96" s="22" t="n">
        <f aca="false">IF(AB96&gt;=3,Scoring!$C$24,IF(AB96=2,Scoring!$C$23,IF(AB96=1,Scoring!$C$22,0)))</f>
        <v>18</v>
      </c>
      <c r="AD96" s="22" t="n">
        <f aca="false">IF(T96="Y",0,IF(ISNUMBER(X96),IF(X96&gt;0.7,Scoring!$C$25,IF(X96&gt;=0.5,Scoring!$C$26,IF(X96&gt;=0.3,Scoring!$C$27,Scoring!$C$28))),Scoring!$C$29))</f>
        <v>10</v>
      </c>
      <c r="AE96" s="22" t="n">
        <f aca="false">IF(D96="Expiring: notice window (verified)",Scoring!$C$30,IF(OR(D96="Expired (verified)",D96="30-yr mark: notice window (est.)",D96="Year-15 window"),Scoring!$C$31,IF(D96="Expiring: 10-yr horizon (verified)",Scoring!$C$32,IF(D96="Past 30-yr mark (verify)",Scoring!$C$33,IF(OR(D96="Credit period",D96="Superseded record"),Scoring!$C$35,Scoring!$C$34)))))</f>
        <v>8</v>
      </c>
      <c r="AF96" s="22" t="n">
        <f aca="false">IF(T96="Y",0,IF(ISNUMBER(V96),IF(Scoring!$B$4-V96&gt;15,Scoring!$C$36,IF(Scoring!$B$4-V96&gt;=10,Scoring!$C$37,IF(Scoring!$B$4-V96&gt;=5,Scoring!$C$38,Scoring!$C$39))),IF(OR(N96="",D96="Out of program"),Scoring!$C$40,IF(O96&gt;15,Scoring!$C$36,IF(O96&gt;=10,Scoring!$C$37,IF(O96&gt;=5,Scoring!$C$38,Scoring!$C$39))))))</f>
        <v>15</v>
      </c>
      <c r="AG96" s="22" t="n">
        <f aca="false">IF(T96="Y",0,IF(Y96="Y",Scoring!$C$41,IF(ISNUMBER(O96),IF(O96&gt;=25,Scoring!$C$42,IF(O96&gt;=15,Scoring!$C$43,Scoring!$C$44)),Scoring!$C$44)))</f>
        <v>8</v>
      </c>
      <c r="AH96" s="22" t="n">
        <f aca="false">IF(T96="Y",0,IF(W96="",Scoring!$C$49,IFERROR(VLOOKUP(W96,Scoring!$B$45:$C$48,2,FALSE()),Scoring!$C$49)))</f>
        <v>5</v>
      </c>
      <c r="AI96" s="23" t="n">
        <f aca="false">C96+IF(ISNUMBER(J96),J96,0)/100000+(10000-ROW())/1000000000</f>
        <v>64.001729904</v>
      </c>
      <c r="AJ96" s="18"/>
      <c r="AK96" s="18"/>
      <c r="AL96" s="18"/>
      <c r="AM96" s="18"/>
    </row>
    <row r="97" customFormat="false" ht="15" hidden="false" customHeight="false" outlineLevel="0" collapsed="false">
      <c r="A97" s="15" t="n">
        <f aca="false">RANK(AI97,$AI$2:$AI$755)</f>
        <v>96</v>
      </c>
      <c r="B97" s="16" t="str">
        <f aca="false">IF(T97="Y","Superseded",IF(C97&gt;=Scoring!$B$16,"Immediate",IF(C97&gt;=Scoring!$B$17,"This week",IF(C97&gt;=Scoring!$B$18,"Nurture","Low"))))</f>
        <v>This week</v>
      </c>
      <c r="C97" s="3" t="n">
        <f aca="false">SUM(AC97:AH97)</f>
        <v>64</v>
      </c>
      <c r="D97" s="15" t="str">
        <f aca="false">IF(T97="Y","Superseded record",IF(AND(U97&lt;&gt;"",AA97&lt;0),"Expired (verified)",IF(AND(U97&lt;&gt;"",AA97&lt;=Scoring!$B$5),"Expiring: notice window (verified)",IF(AND(U97&lt;&gt;"",AA97&lt;=Scoring!$B$6),"Expiring: 10-yr horizon (verified)",IF(M97="No Longer Monitored","Out of program",IF(N97="","Unknown vintage",IF(N97&lt;Scoring!$B$12,"Pre-1990, still listed",IF(AND(U97="",AA97&lt;0),"Past 30-yr mark (verify)",IF(AND(U97="",AA97&lt;=Scoring!$B$5),"30-yr mark: notice window (est.)",IF(AND(O97&gt;=Scoring!$B$7,O97&lt;=Scoring!$B$8),"Year-15 window",IF(O97&gt;=Scoring!$B$9,"Recap window",IF(O97&gt;=11,"Late compliance","Credit period"))))))))))))</f>
        <v>Past 30-yr mark (verify)</v>
      </c>
      <c r="E97" s="15" t="s">
        <v>474</v>
      </c>
      <c r="F97" s="15" t="s">
        <v>475</v>
      </c>
      <c r="G97" s="15" t="s">
        <v>476</v>
      </c>
      <c r="H97" s="15" t="s">
        <v>477</v>
      </c>
      <c r="I97" s="15" t="s">
        <v>478</v>
      </c>
      <c r="J97" s="15" t="n">
        <v>160</v>
      </c>
      <c r="K97" s="15"/>
      <c r="L97" s="15" t="str">
        <f aca="false">IF(OR(J97="",K97=""),"",MAX(J97-K97,0))</f>
        <v/>
      </c>
      <c r="M97" s="15" t="s">
        <v>99</v>
      </c>
      <c r="N97" s="17" t="n">
        <v>1996</v>
      </c>
      <c r="O97" s="15" t="n">
        <f aca="false">IF(N97="","",Scoring!$B$4-N97)</f>
        <v>30</v>
      </c>
      <c r="P97" s="15" t="n">
        <f aca="false">IF(N97="","",N97+14)</f>
        <v>2010</v>
      </c>
      <c r="Q97" s="15" t="n">
        <f aca="false">IF(N97="","",IF(N97&lt;Scoring!$B$12,"n/a (pre-1990)",N97+Scoring!$B$13))</f>
        <v>2025</v>
      </c>
      <c r="R97" s="15" t="str">
        <f aca="false">IF(J97="","Unknown",IF(J97&gt;=5,"Yes","No (under 5 units)"))</f>
        <v>Yes</v>
      </c>
      <c r="S97" s="15"/>
      <c r="T97" s="18"/>
      <c r="U97" s="19"/>
      <c r="V97" s="18"/>
      <c r="W97" s="18"/>
      <c r="X97" s="20"/>
      <c r="Y97" s="18"/>
      <c r="Z97" s="18"/>
      <c r="AA97" s="21" t="n">
        <f aca="false">IF(U97&lt;&gt;"",(U97-Scoring!$B$3)/365.25,IF(N97="","",IF(N97&lt;Scoring!$B$12,"",(DATE(N97+Scoring!$B$13,12,31)-Scoring!$B$3)/365.25)))</f>
        <v>-0.752908966461328</v>
      </c>
      <c r="AB97" s="22" t="n">
        <f aca="false">IF(T97="Y",0,IF(OR(D97="Expired (verified)",D97="Expiring: notice window (verified)",D97="Expiring: 10-yr horizon (verified)",D97="Past 30-yr mark (verify)",D97="30-yr mark: notice window (est.)",D97="Year-15 window"),1,0)+IF(ISNUMBER(O97),IF(O97&gt;=Scoring!$B$10,1,0),0)+IF(AND(ISNUMBER(L97),ISNUMBER(J97)),IF(J97&gt;0,IF(L97/J97&gt;=Scoring!$B$11,1,0),0),0)+IF(ISNUMBER(Z97),MIN(Z97,3),0))</f>
        <v>2</v>
      </c>
      <c r="AC97" s="22" t="n">
        <f aca="false">IF(AB97&gt;=3,Scoring!$C$24,IF(AB97=2,Scoring!$C$23,IF(AB97=1,Scoring!$C$22,0)))</f>
        <v>18</v>
      </c>
      <c r="AD97" s="22" t="n">
        <f aca="false">IF(T97="Y",0,IF(ISNUMBER(X97),IF(X97&gt;0.7,Scoring!$C$25,IF(X97&gt;=0.5,Scoring!$C$26,IF(X97&gt;=0.3,Scoring!$C$27,Scoring!$C$28))),Scoring!$C$29))</f>
        <v>10</v>
      </c>
      <c r="AE97" s="22" t="n">
        <f aca="false">IF(D97="Expiring: notice window (verified)",Scoring!$C$30,IF(OR(D97="Expired (verified)",D97="30-yr mark: notice window (est.)",D97="Year-15 window"),Scoring!$C$31,IF(D97="Expiring: 10-yr horizon (verified)",Scoring!$C$32,IF(D97="Past 30-yr mark (verify)",Scoring!$C$33,IF(OR(D97="Credit period",D97="Superseded record"),Scoring!$C$35,Scoring!$C$34)))))</f>
        <v>8</v>
      </c>
      <c r="AF97" s="22" t="n">
        <f aca="false">IF(T97="Y",0,IF(ISNUMBER(V97),IF(Scoring!$B$4-V97&gt;15,Scoring!$C$36,IF(Scoring!$B$4-V97&gt;=10,Scoring!$C$37,IF(Scoring!$B$4-V97&gt;=5,Scoring!$C$38,Scoring!$C$39))),IF(OR(N97="",D97="Out of program"),Scoring!$C$40,IF(O97&gt;15,Scoring!$C$36,IF(O97&gt;=10,Scoring!$C$37,IF(O97&gt;=5,Scoring!$C$38,Scoring!$C$39))))))</f>
        <v>15</v>
      </c>
      <c r="AG97" s="22" t="n">
        <f aca="false">IF(T97="Y",0,IF(Y97="Y",Scoring!$C$41,IF(ISNUMBER(O97),IF(O97&gt;=25,Scoring!$C$42,IF(O97&gt;=15,Scoring!$C$43,Scoring!$C$44)),Scoring!$C$44)))</f>
        <v>8</v>
      </c>
      <c r="AH97" s="22" t="n">
        <f aca="false">IF(T97="Y",0,IF(W97="",Scoring!$C$49,IFERROR(VLOOKUP(W97,Scoring!$B$45:$C$48,2,FALSE()),Scoring!$C$49)))</f>
        <v>5</v>
      </c>
      <c r="AI97" s="23" t="n">
        <f aca="false">C97+IF(ISNUMBER(J97),J97,0)/100000+(10000-ROW())/1000000000</f>
        <v>64.001609903</v>
      </c>
      <c r="AJ97" s="18"/>
      <c r="AK97" s="18"/>
      <c r="AL97" s="18"/>
      <c r="AM97" s="18"/>
    </row>
    <row r="98" customFormat="false" ht="15" hidden="false" customHeight="false" outlineLevel="0" collapsed="false">
      <c r="A98" s="15" t="n">
        <f aca="false">RANK(AI98,$AI$2:$AI$755)</f>
        <v>97</v>
      </c>
      <c r="B98" s="16" t="str">
        <f aca="false">IF(T98="Y","Superseded",IF(C98&gt;=Scoring!$B$16,"Immediate",IF(C98&gt;=Scoring!$B$17,"This week",IF(C98&gt;=Scoring!$B$18,"Nurture","Low"))))</f>
        <v>This week</v>
      </c>
      <c r="C98" s="3" t="n">
        <f aca="false">SUM(AC98:AH98)</f>
        <v>64</v>
      </c>
      <c r="D98" s="15" t="str">
        <f aca="false">IF(T98="Y","Superseded record",IF(AND(U98&lt;&gt;"",AA98&lt;0),"Expired (verified)",IF(AND(U98&lt;&gt;"",AA98&lt;=Scoring!$B$5),"Expiring: notice window (verified)",IF(AND(U98&lt;&gt;"",AA98&lt;=Scoring!$B$6),"Expiring: 10-yr horizon (verified)",IF(M98="No Longer Monitored","Out of program",IF(N98="","Unknown vintage",IF(N98&lt;Scoring!$B$12,"Pre-1990, still listed",IF(AND(U98="",AA98&lt;0),"Past 30-yr mark (verify)",IF(AND(U98="",AA98&lt;=Scoring!$B$5),"30-yr mark: notice window (est.)",IF(AND(O98&gt;=Scoring!$B$7,O98&lt;=Scoring!$B$8),"Year-15 window",IF(O98&gt;=Scoring!$B$9,"Recap window",IF(O98&gt;=11,"Late compliance","Credit period"))))))))))))</f>
        <v>Past 30-yr mark (verify)</v>
      </c>
      <c r="E98" s="15" t="s">
        <v>479</v>
      </c>
      <c r="F98" s="15" t="s">
        <v>480</v>
      </c>
      <c r="G98" s="15" t="s">
        <v>481</v>
      </c>
      <c r="H98" s="15" t="s">
        <v>97</v>
      </c>
      <c r="I98" s="15" t="s">
        <v>112</v>
      </c>
      <c r="J98" s="15" t="n">
        <v>154</v>
      </c>
      <c r="K98" s="15" t="n">
        <v>154</v>
      </c>
      <c r="L98" s="15" t="n">
        <f aca="false">IF(OR(J98="",K98=""),"",MAX(J98-K98,0))</f>
        <v>0</v>
      </c>
      <c r="M98" s="15" t="s">
        <v>99</v>
      </c>
      <c r="N98" s="17" t="n">
        <v>1990</v>
      </c>
      <c r="O98" s="15" t="n">
        <f aca="false">IF(N98="","",Scoring!$B$4-N98)</f>
        <v>36</v>
      </c>
      <c r="P98" s="15" t="n">
        <f aca="false">IF(N98="","",N98+14)</f>
        <v>2004</v>
      </c>
      <c r="Q98" s="15" t="n">
        <f aca="false">IF(N98="","",IF(N98&lt;Scoring!$B$12,"n/a (pre-1990)",N98+Scoring!$B$13))</f>
        <v>2019</v>
      </c>
      <c r="R98" s="15" t="str">
        <f aca="false">IF(J98="","Unknown",IF(J98&gt;=5,"Yes","No (under 5 units)"))</f>
        <v>Yes</v>
      </c>
      <c r="S98" s="15"/>
      <c r="T98" s="18"/>
      <c r="U98" s="19"/>
      <c r="V98" s="18"/>
      <c r="W98" s="18"/>
      <c r="X98" s="20"/>
      <c r="Y98" s="18"/>
      <c r="Z98" s="18"/>
      <c r="AA98" s="21" t="n">
        <f aca="false">IF(U98&lt;&gt;"",(U98-Scoring!$B$3)/365.25,IF(N98="","",IF(N98&lt;Scoring!$B$12,"",(DATE(N98+Scoring!$B$13,12,31)-Scoring!$B$3)/365.25)))</f>
        <v>-6.75427789185489</v>
      </c>
      <c r="AB98" s="22" t="n">
        <f aca="false">IF(T98="Y",0,IF(OR(D98="Expired (verified)",D98="Expiring: notice window (verified)",D98="Expiring: 10-yr horizon (verified)",D98="Past 30-yr mark (verify)",D98="30-yr mark: notice window (est.)",D98="Year-15 window"),1,0)+IF(ISNUMBER(O98),IF(O98&gt;=Scoring!$B$10,1,0),0)+IF(AND(ISNUMBER(L98),ISNUMBER(J98)),IF(J98&gt;0,IF(L98/J98&gt;=Scoring!$B$11,1,0),0),0)+IF(ISNUMBER(Z98),MIN(Z98,3),0))</f>
        <v>2</v>
      </c>
      <c r="AC98" s="22" t="n">
        <f aca="false">IF(AB98&gt;=3,Scoring!$C$24,IF(AB98=2,Scoring!$C$23,IF(AB98=1,Scoring!$C$22,0)))</f>
        <v>18</v>
      </c>
      <c r="AD98" s="22" t="n">
        <f aca="false">IF(T98="Y",0,IF(ISNUMBER(X98),IF(X98&gt;0.7,Scoring!$C$25,IF(X98&gt;=0.5,Scoring!$C$26,IF(X98&gt;=0.3,Scoring!$C$27,Scoring!$C$28))),Scoring!$C$29))</f>
        <v>10</v>
      </c>
      <c r="AE98" s="22" t="n">
        <f aca="false">IF(D98="Expiring: notice window (verified)",Scoring!$C$30,IF(OR(D98="Expired (verified)",D98="30-yr mark: notice window (est.)",D98="Year-15 window"),Scoring!$C$31,IF(D98="Expiring: 10-yr horizon (verified)",Scoring!$C$32,IF(D98="Past 30-yr mark (verify)",Scoring!$C$33,IF(OR(D98="Credit period",D98="Superseded record"),Scoring!$C$35,Scoring!$C$34)))))</f>
        <v>8</v>
      </c>
      <c r="AF98" s="22" t="n">
        <f aca="false">IF(T98="Y",0,IF(ISNUMBER(V98),IF(Scoring!$B$4-V98&gt;15,Scoring!$C$36,IF(Scoring!$B$4-V98&gt;=10,Scoring!$C$37,IF(Scoring!$B$4-V98&gt;=5,Scoring!$C$38,Scoring!$C$39))),IF(OR(N98="",D98="Out of program"),Scoring!$C$40,IF(O98&gt;15,Scoring!$C$36,IF(O98&gt;=10,Scoring!$C$37,IF(O98&gt;=5,Scoring!$C$38,Scoring!$C$39))))))</f>
        <v>15</v>
      </c>
      <c r="AG98" s="22" t="n">
        <f aca="false">IF(T98="Y",0,IF(Y98="Y",Scoring!$C$41,IF(ISNUMBER(O98),IF(O98&gt;=25,Scoring!$C$42,IF(O98&gt;=15,Scoring!$C$43,Scoring!$C$44)),Scoring!$C$44)))</f>
        <v>8</v>
      </c>
      <c r="AH98" s="22" t="n">
        <f aca="false">IF(T98="Y",0,IF(W98="",Scoring!$C$49,IFERROR(VLOOKUP(W98,Scoring!$B$45:$C$48,2,FALSE()),Scoring!$C$49)))</f>
        <v>5</v>
      </c>
      <c r="AI98" s="23" t="n">
        <f aca="false">C98+IF(ISNUMBER(J98),J98,0)/100000+(10000-ROW())/1000000000</f>
        <v>64.001549902</v>
      </c>
      <c r="AJ98" s="18"/>
      <c r="AK98" s="18"/>
      <c r="AL98" s="18"/>
      <c r="AM98" s="18"/>
    </row>
    <row r="99" customFormat="false" ht="15" hidden="false" customHeight="false" outlineLevel="0" collapsed="false">
      <c r="A99" s="15" t="n">
        <f aca="false">RANK(AI99,$AI$2:$AI$755)</f>
        <v>98</v>
      </c>
      <c r="B99" s="16" t="str">
        <f aca="false">IF(T99="Y","Superseded",IF(C99&gt;=Scoring!$B$16,"Immediate",IF(C99&gt;=Scoring!$B$17,"This week",IF(C99&gt;=Scoring!$B$18,"Nurture","Low"))))</f>
        <v>This week</v>
      </c>
      <c r="C99" s="3" t="n">
        <f aca="false">SUM(AC99:AH99)</f>
        <v>64</v>
      </c>
      <c r="D99" s="15" t="str">
        <f aca="false">IF(T99="Y","Superseded record",IF(AND(U99&lt;&gt;"",AA99&lt;0),"Expired (verified)",IF(AND(U99&lt;&gt;"",AA99&lt;=Scoring!$B$5),"Expiring: notice window (verified)",IF(AND(U99&lt;&gt;"",AA99&lt;=Scoring!$B$6),"Expiring: 10-yr horizon (verified)",IF(M99="No Longer Monitored","Out of program",IF(N99="","Unknown vintage",IF(N99&lt;Scoring!$B$12,"Pre-1990, still listed",IF(AND(U99="",AA99&lt;0),"Past 30-yr mark (verify)",IF(AND(U99="",AA99&lt;=Scoring!$B$5),"30-yr mark: notice window (est.)",IF(AND(O99&gt;=Scoring!$B$7,O99&lt;=Scoring!$B$8),"Year-15 window",IF(O99&gt;=Scoring!$B$9,"Recap window",IF(O99&gt;=11,"Late compliance","Credit period"))))))))))))</f>
        <v>Past 30-yr mark (verify)</v>
      </c>
      <c r="E99" s="15" t="s">
        <v>482</v>
      </c>
      <c r="F99" s="15" t="s">
        <v>483</v>
      </c>
      <c r="G99" s="15" t="s">
        <v>484</v>
      </c>
      <c r="H99" s="15" t="s">
        <v>485</v>
      </c>
      <c r="I99" s="15" t="s">
        <v>486</v>
      </c>
      <c r="J99" s="15" t="n">
        <v>152</v>
      </c>
      <c r="K99" s="15" t="n">
        <v>152</v>
      </c>
      <c r="L99" s="15" t="n">
        <f aca="false">IF(OR(J99="",K99=""),"",MAX(J99-K99,0))</f>
        <v>0</v>
      </c>
      <c r="M99" s="15" t="s">
        <v>99</v>
      </c>
      <c r="N99" s="17" t="n">
        <v>1992</v>
      </c>
      <c r="O99" s="15" t="n">
        <f aca="false">IF(N99="","",Scoring!$B$4-N99)</f>
        <v>34</v>
      </c>
      <c r="P99" s="15" t="n">
        <f aca="false">IF(N99="","",N99+14)</f>
        <v>2006</v>
      </c>
      <c r="Q99" s="15" t="n">
        <f aca="false">IF(N99="","",IF(N99&lt;Scoring!$B$12,"n/a (pre-1990)",N99+Scoring!$B$13))</f>
        <v>2021</v>
      </c>
      <c r="R99" s="15" t="str">
        <f aca="false">IF(J99="","Unknown",IF(J99&gt;=5,"Yes","No (under 5 units)"))</f>
        <v>Yes</v>
      </c>
      <c r="S99" s="15"/>
      <c r="T99" s="18"/>
      <c r="U99" s="19"/>
      <c r="V99" s="18"/>
      <c r="W99" s="18"/>
      <c r="X99" s="20"/>
      <c r="Y99" s="18"/>
      <c r="Z99" s="18"/>
      <c r="AA99" s="21" t="n">
        <f aca="false">IF(U99&lt;&gt;"",(U99-Scoring!$B$3)/365.25,IF(N99="","",IF(N99&lt;Scoring!$B$12,"",(DATE(N99+Scoring!$B$13,12,31)-Scoring!$B$3)/365.25)))</f>
        <v>-4.75290896646133</v>
      </c>
      <c r="AB99" s="22" t="n">
        <f aca="false">IF(T99="Y",0,IF(OR(D99="Expired (verified)",D99="Expiring: notice window (verified)",D99="Expiring: 10-yr horizon (verified)",D99="Past 30-yr mark (verify)",D99="30-yr mark: notice window (est.)",D99="Year-15 window"),1,0)+IF(ISNUMBER(O99),IF(O99&gt;=Scoring!$B$10,1,0),0)+IF(AND(ISNUMBER(L99),ISNUMBER(J99)),IF(J99&gt;0,IF(L99/J99&gt;=Scoring!$B$11,1,0),0),0)+IF(ISNUMBER(Z99),MIN(Z99,3),0))</f>
        <v>2</v>
      </c>
      <c r="AC99" s="22" t="n">
        <f aca="false">IF(AB99&gt;=3,Scoring!$C$24,IF(AB99=2,Scoring!$C$23,IF(AB99=1,Scoring!$C$22,0)))</f>
        <v>18</v>
      </c>
      <c r="AD99" s="22" t="n">
        <f aca="false">IF(T99="Y",0,IF(ISNUMBER(X99),IF(X99&gt;0.7,Scoring!$C$25,IF(X99&gt;=0.5,Scoring!$C$26,IF(X99&gt;=0.3,Scoring!$C$27,Scoring!$C$28))),Scoring!$C$29))</f>
        <v>10</v>
      </c>
      <c r="AE99" s="22" t="n">
        <f aca="false">IF(D99="Expiring: notice window (verified)",Scoring!$C$30,IF(OR(D99="Expired (verified)",D99="30-yr mark: notice window (est.)",D99="Year-15 window"),Scoring!$C$31,IF(D99="Expiring: 10-yr horizon (verified)",Scoring!$C$32,IF(D99="Past 30-yr mark (verify)",Scoring!$C$33,IF(OR(D99="Credit period",D99="Superseded record"),Scoring!$C$35,Scoring!$C$34)))))</f>
        <v>8</v>
      </c>
      <c r="AF99" s="22" t="n">
        <f aca="false">IF(T99="Y",0,IF(ISNUMBER(V99),IF(Scoring!$B$4-V99&gt;15,Scoring!$C$36,IF(Scoring!$B$4-V99&gt;=10,Scoring!$C$37,IF(Scoring!$B$4-V99&gt;=5,Scoring!$C$38,Scoring!$C$39))),IF(OR(N99="",D99="Out of program"),Scoring!$C$40,IF(O99&gt;15,Scoring!$C$36,IF(O99&gt;=10,Scoring!$C$37,IF(O99&gt;=5,Scoring!$C$38,Scoring!$C$39))))))</f>
        <v>15</v>
      </c>
      <c r="AG99" s="22" t="n">
        <f aca="false">IF(T99="Y",0,IF(Y99="Y",Scoring!$C$41,IF(ISNUMBER(O99),IF(O99&gt;=25,Scoring!$C$42,IF(O99&gt;=15,Scoring!$C$43,Scoring!$C$44)),Scoring!$C$44)))</f>
        <v>8</v>
      </c>
      <c r="AH99" s="22" t="n">
        <f aca="false">IF(T99="Y",0,IF(W99="",Scoring!$C$49,IFERROR(VLOOKUP(W99,Scoring!$B$45:$C$48,2,FALSE()),Scoring!$C$49)))</f>
        <v>5</v>
      </c>
      <c r="AI99" s="23" t="n">
        <f aca="false">C99+IF(ISNUMBER(J99),J99,0)/100000+(10000-ROW())/1000000000</f>
        <v>64.001529901</v>
      </c>
      <c r="AJ99" s="18"/>
      <c r="AK99" s="18"/>
      <c r="AL99" s="18"/>
      <c r="AM99" s="18"/>
    </row>
    <row r="100" customFormat="false" ht="15" hidden="false" customHeight="false" outlineLevel="0" collapsed="false">
      <c r="A100" s="15" t="n">
        <f aca="false">RANK(AI100,$AI$2:$AI$755)</f>
        <v>99</v>
      </c>
      <c r="B100" s="16" t="str">
        <f aca="false">IF(T100="Y","Superseded",IF(C100&gt;=Scoring!$B$16,"Immediate",IF(C100&gt;=Scoring!$B$17,"This week",IF(C100&gt;=Scoring!$B$18,"Nurture","Low"))))</f>
        <v>This week</v>
      </c>
      <c r="C100" s="3" t="n">
        <f aca="false">SUM(AC100:AH100)</f>
        <v>64</v>
      </c>
      <c r="D100" s="15" t="str">
        <f aca="false">IF(T100="Y","Superseded record",IF(AND(U100&lt;&gt;"",AA100&lt;0),"Expired (verified)",IF(AND(U100&lt;&gt;"",AA100&lt;=Scoring!$B$5),"Expiring: notice window (verified)",IF(AND(U100&lt;&gt;"",AA100&lt;=Scoring!$B$6),"Expiring: 10-yr horizon (verified)",IF(M100="No Longer Monitored","Out of program",IF(N100="","Unknown vintage",IF(N100&lt;Scoring!$B$12,"Pre-1990, still listed",IF(AND(U100="",AA100&lt;0),"Past 30-yr mark (verify)",IF(AND(U100="",AA100&lt;=Scoring!$B$5),"30-yr mark: notice window (est.)",IF(AND(O100&gt;=Scoring!$B$7,O100&lt;=Scoring!$B$8),"Year-15 window",IF(O100&gt;=Scoring!$B$9,"Recap window",IF(O100&gt;=11,"Late compliance","Credit period"))))))))))))</f>
        <v>Past 30-yr mark (verify)</v>
      </c>
      <c r="E100" s="15" t="s">
        <v>487</v>
      </c>
      <c r="F100" s="15" t="s">
        <v>488</v>
      </c>
      <c r="G100" s="15" t="s">
        <v>489</v>
      </c>
      <c r="H100" s="15" t="s">
        <v>97</v>
      </c>
      <c r="I100" s="15" t="s">
        <v>271</v>
      </c>
      <c r="J100" s="15" t="n">
        <v>144</v>
      </c>
      <c r="K100" s="15" t="n">
        <v>144</v>
      </c>
      <c r="L100" s="15" t="n">
        <f aca="false">IF(OR(J100="",K100=""),"",MAX(J100-K100,0))</f>
        <v>0</v>
      </c>
      <c r="M100" s="15" t="s">
        <v>99</v>
      </c>
      <c r="N100" s="17" t="n">
        <v>1990</v>
      </c>
      <c r="O100" s="15" t="n">
        <f aca="false">IF(N100="","",Scoring!$B$4-N100)</f>
        <v>36</v>
      </c>
      <c r="P100" s="15" t="n">
        <f aca="false">IF(N100="","",N100+14)</f>
        <v>2004</v>
      </c>
      <c r="Q100" s="15" t="n">
        <f aca="false">IF(N100="","",IF(N100&lt;Scoring!$B$12,"n/a (pre-1990)",N100+Scoring!$B$13))</f>
        <v>2019</v>
      </c>
      <c r="R100" s="15" t="str">
        <f aca="false">IF(J100="","Unknown",IF(J100&gt;=5,"Yes","No (under 5 units)"))</f>
        <v>Yes</v>
      </c>
      <c r="S100" s="15"/>
      <c r="T100" s="18"/>
      <c r="U100" s="19"/>
      <c r="V100" s="18"/>
      <c r="W100" s="18"/>
      <c r="X100" s="20"/>
      <c r="Y100" s="18"/>
      <c r="Z100" s="18"/>
      <c r="AA100" s="21" t="n">
        <f aca="false">IF(U100&lt;&gt;"",(U100-Scoring!$B$3)/365.25,IF(N100="","",IF(N100&lt;Scoring!$B$12,"",(DATE(N100+Scoring!$B$13,12,31)-Scoring!$B$3)/365.25)))</f>
        <v>-6.75427789185489</v>
      </c>
      <c r="AB100" s="22" t="n">
        <f aca="false">IF(T100="Y",0,IF(OR(D100="Expired (verified)",D100="Expiring: notice window (verified)",D100="Expiring: 10-yr horizon (verified)",D100="Past 30-yr mark (verify)",D100="30-yr mark: notice window (est.)",D100="Year-15 window"),1,0)+IF(ISNUMBER(O100),IF(O100&gt;=Scoring!$B$10,1,0),0)+IF(AND(ISNUMBER(L100),ISNUMBER(J100)),IF(J100&gt;0,IF(L100/J100&gt;=Scoring!$B$11,1,0),0),0)+IF(ISNUMBER(Z100),MIN(Z100,3),0))</f>
        <v>2</v>
      </c>
      <c r="AC100" s="22" t="n">
        <f aca="false">IF(AB100&gt;=3,Scoring!$C$24,IF(AB100=2,Scoring!$C$23,IF(AB100=1,Scoring!$C$22,0)))</f>
        <v>18</v>
      </c>
      <c r="AD100" s="22" t="n">
        <f aca="false">IF(T100="Y",0,IF(ISNUMBER(X100),IF(X100&gt;0.7,Scoring!$C$25,IF(X100&gt;=0.5,Scoring!$C$26,IF(X100&gt;=0.3,Scoring!$C$27,Scoring!$C$28))),Scoring!$C$29))</f>
        <v>10</v>
      </c>
      <c r="AE100" s="22" t="n">
        <f aca="false">IF(D100="Expiring: notice window (verified)",Scoring!$C$30,IF(OR(D100="Expired (verified)",D100="30-yr mark: notice window (est.)",D100="Year-15 window"),Scoring!$C$31,IF(D100="Expiring: 10-yr horizon (verified)",Scoring!$C$32,IF(D100="Past 30-yr mark (verify)",Scoring!$C$33,IF(OR(D100="Credit period",D100="Superseded record"),Scoring!$C$35,Scoring!$C$34)))))</f>
        <v>8</v>
      </c>
      <c r="AF100" s="22" t="n">
        <f aca="false">IF(T100="Y",0,IF(ISNUMBER(V100),IF(Scoring!$B$4-V100&gt;15,Scoring!$C$36,IF(Scoring!$B$4-V100&gt;=10,Scoring!$C$37,IF(Scoring!$B$4-V100&gt;=5,Scoring!$C$38,Scoring!$C$39))),IF(OR(N100="",D100="Out of program"),Scoring!$C$40,IF(O100&gt;15,Scoring!$C$36,IF(O100&gt;=10,Scoring!$C$37,IF(O100&gt;=5,Scoring!$C$38,Scoring!$C$39))))))</f>
        <v>15</v>
      </c>
      <c r="AG100" s="22" t="n">
        <f aca="false">IF(T100="Y",0,IF(Y100="Y",Scoring!$C$41,IF(ISNUMBER(O100),IF(O100&gt;=25,Scoring!$C$42,IF(O100&gt;=15,Scoring!$C$43,Scoring!$C$44)),Scoring!$C$44)))</f>
        <v>8</v>
      </c>
      <c r="AH100" s="22" t="n">
        <f aca="false">IF(T100="Y",0,IF(W100="",Scoring!$C$49,IFERROR(VLOOKUP(W100,Scoring!$B$45:$C$48,2,FALSE()),Scoring!$C$49)))</f>
        <v>5</v>
      </c>
      <c r="AI100" s="23" t="n">
        <f aca="false">C100+IF(ISNUMBER(J100),J100,0)/100000+(10000-ROW())/1000000000</f>
        <v>64.0014499</v>
      </c>
      <c r="AJ100" s="18"/>
      <c r="AK100" s="18"/>
      <c r="AL100" s="18"/>
      <c r="AM100" s="18"/>
    </row>
    <row r="101" customFormat="false" ht="15" hidden="false" customHeight="false" outlineLevel="0" collapsed="false">
      <c r="A101" s="15" t="n">
        <f aca="false">RANK(AI101,$AI$2:$AI$755)</f>
        <v>100</v>
      </c>
      <c r="B101" s="16" t="str">
        <f aca="false">IF(T101="Y","Superseded",IF(C101&gt;=Scoring!$B$16,"Immediate",IF(C101&gt;=Scoring!$B$17,"This week",IF(C101&gt;=Scoring!$B$18,"Nurture","Low"))))</f>
        <v>This week</v>
      </c>
      <c r="C101" s="3" t="n">
        <f aca="false">SUM(AC101:AH101)</f>
        <v>64</v>
      </c>
      <c r="D101" s="15" t="str">
        <f aca="false">IF(T101="Y","Superseded record",IF(AND(U101&lt;&gt;"",AA101&lt;0),"Expired (verified)",IF(AND(U101&lt;&gt;"",AA101&lt;=Scoring!$B$5),"Expiring: notice window (verified)",IF(AND(U101&lt;&gt;"",AA101&lt;=Scoring!$B$6),"Expiring: 10-yr horizon (verified)",IF(M101="No Longer Monitored","Out of program",IF(N101="","Unknown vintage",IF(N101&lt;Scoring!$B$12,"Pre-1990, still listed",IF(AND(U101="",AA101&lt;0),"Past 30-yr mark (verify)",IF(AND(U101="",AA101&lt;=Scoring!$B$5),"30-yr mark: notice window (est.)",IF(AND(O101&gt;=Scoring!$B$7,O101&lt;=Scoring!$B$8),"Year-15 window",IF(O101&gt;=Scoring!$B$9,"Recap window",IF(O101&gt;=11,"Late compliance","Credit period"))))))))))))</f>
        <v>Past 30-yr mark (verify)</v>
      </c>
      <c r="E101" s="15" t="s">
        <v>490</v>
      </c>
      <c r="F101" s="15" t="s">
        <v>491</v>
      </c>
      <c r="G101" s="15" t="s">
        <v>492</v>
      </c>
      <c r="H101" s="15" t="s">
        <v>97</v>
      </c>
      <c r="I101" s="15" t="s">
        <v>399</v>
      </c>
      <c r="J101" s="15" t="n">
        <v>133</v>
      </c>
      <c r="K101" s="15" t="n">
        <v>132</v>
      </c>
      <c r="L101" s="15" t="n">
        <f aca="false">IF(OR(J101="",K101=""),"",MAX(J101-K101,0))</f>
        <v>1</v>
      </c>
      <c r="M101" s="15" t="s">
        <v>99</v>
      </c>
      <c r="N101" s="17" t="n">
        <v>1995</v>
      </c>
      <c r="O101" s="15" t="n">
        <f aca="false">IF(N101="","",Scoring!$B$4-N101)</f>
        <v>31</v>
      </c>
      <c r="P101" s="15" t="n">
        <f aca="false">IF(N101="","",N101+14)</f>
        <v>2009</v>
      </c>
      <c r="Q101" s="15" t="n">
        <f aca="false">IF(N101="","",IF(N101&lt;Scoring!$B$12,"n/a (pre-1990)",N101+Scoring!$B$13))</f>
        <v>2024</v>
      </c>
      <c r="R101" s="15" t="str">
        <f aca="false">IF(J101="","Unknown",IF(J101&gt;=5,"Yes","No (under 5 units)"))</f>
        <v>Yes</v>
      </c>
      <c r="S101" s="15"/>
      <c r="T101" s="18"/>
      <c r="U101" s="19"/>
      <c r="V101" s="18"/>
      <c r="W101" s="18"/>
      <c r="X101" s="20"/>
      <c r="Y101" s="18"/>
      <c r="Z101" s="18"/>
      <c r="AA101" s="21" t="n">
        <f aca="false">IF(U101&lt;&gt;"",(U101-Scoring!$B$3)/365.25,IF(N101="","",IF(N101&lt;Scoring!$B$12,"",(DATE(N101+Scoring!$B$13,12,31)-Scoring!$B$3)/365.25)))</f>
        <v>-1.75222450376454</v>
      </c>
      <c r="AB101" s="22" t="n">
        <f aca="false">IF(T101="Y",0,IF(OR(D101="Expired (verified)",D101="Expiring: notice window (verified)",D101="Expiring: 10-yr horizon (verified)",D101="Past 30-yr mark (verify)",D101="30-yr mark: notice window (est.)",D101="Year-15 window"),1,0)+IF(ISNUMBER(O101),IF(O101&gt;=Scoring!$B$10,1,0),0)+IF(AND(ISNUMBER(L101),ISNUMBER(J101)),IF(J101&gt;0,IF(L101/J101&gt;=Scoring!$B$11,1,0),0),0)+IF(ISNUMBER(Z101),MIN(Z101,3),0))</f>
        <v>2</v>
      </c>
      <c r="AC101" s="22" t="n">
        <f aca="false">IF(AB101&gt;=3,Scoring!$C$24,IF(AB101=2,Scoring!$C$23,IF(AB101=1,Scoring!$C$22,0)))</f>
        <v>18</v>
      </c>
      <c r="AD101" s="22" t="n">
        <f aca="false">IF(T101="Y",0,IF(ISNUMBER(X101),IF(X101&gt;0.7,Scoring!$C$25,IF(X101&gt;=0.5,Scoring!$C$26,IF(X101&gt;=0.3,Scoring!$C$27,Scoring!$C$28))),Scoring!$C$29))</f>
        <v>10</v>
      </c>
      <c r="AE101" s="22" t="n">
        <f aca="false">IF(D101="Expiring: notice window (verified)",Scoring!$C$30,IF(OR(D101="Expired (verified)",D101="30-yr mark: notice window (est.)",D101="Year-15 window"),Scoring!$C$31,IF(D101="Expiring: 10-yr horizon (verified)",Scoring!$C$32,IF(D101="Past 30-yr mark (verify)",Scoring!$C$33,IF(OR(D101="Credit period",D101="Superseded record"),Scoring!$C$35,Scoring!$C$34)))))</f>
        <v>8</v>
      </c>
      <c r="AF101" s="22" t="n">
        <f aca="false">IF(T101="Y",0,IF(ISNUMBER(V101),IF(Scoring!$B$4-V101&gt;15,Scoring!$C$36,IF(Scoring!$B$4-V101&gt;=10,Scoring!$C$37,IF(Scoring!$B$4-V101&gt;=5,Scoring!$C$38,Scoring!$C$39))),IF(OR(N101="",D101="Out of program"),Scoring!$C$40,IF(O101&gt;15,Scoring!$C$36,IF(O101&gt;=10,Scoring!$C$37,IF(O101&gt;=5,Scoring!$C$38,Scoring!$C$39))))))</f>
        <v>15</v>
      </c>
      <c r="AG101" s="22" t="n">
        <f aca="false">IF(T101="Y",0,IF(Y101="Y",Scoring!$C$41,IF(ISNUMBER(O101),IF(O101&gt;=25,Scoring!$C$42,IF(O101&gt;=15,Scoring!$C$43,Scoring!$C$44)),Scoring!$C$44)))</f>
        <v>8</v>
      </c>
      <c r="AH101" s="22" t="n">
        <f aca="false">IF(T101="Y",0,IF(W101="",Scoring!$C$49,IFERROR(VLOOKUP(W101,Scoring!$B$45:$C$48,2,FALSE()),Scoring!$C$49)))</f>
        <v>5</v>
      </c>
      <c r="AI101" s="23" t="n">
        <f aca="false">C101+IF(ISNUMBER(J101),J101,0)/100000+(10000-ROW())/1000000000</f>
        <v>64.001339899</v>
      </c>
      <c r="AJ101" s="18"/>
      <c r="AK101" s="18"/>
      <c r="AL101" s="18"/>
      <c r="AM101" s="18"/>
    </row>
    <row r="102" customFormat="false" ht="15" hidden="false" customHeight="false" outlineLevel="0" collapsed="false">
      <c r="A102" s="15" t="n">
        <f aca="false">RANK(AI102,$AI$2:$AI$755)</f>
        <v>101</v>
      </c>
      <c r="B102" s="16" t="str">
        <f aca="false">IF(T102="Y","Superseded",IF(C102&gt;=Scoring!$B$16,"Immediate",IF(C102&gt;=Scoring!$B$17,"This week",IF(C102&gt;=Scoring!$B$18,"Nurture","Low"))))</f>
        <v>This week</v>
      </c>
      <c r="C102" s="3" t="n">
        <f aca="false">SUM(AC102:AH102)</f>
        <v>64</v>
      </c>
      <c r="D102" s="15" t="str">
        <f aca="false">IF(T102="Y","Superseded record",IF(AND(U102&lt;&gt;"",AA102&lt;0),"Expired (verified)",IF(AND(U102&lt;&gt;"",AA102&lt;=Scoring!$B$5),"Expiring: notice window (verified)",IF(AND(U102&lt;&gt;"",AA102&lt;=Scoring!$B$6),"Expiring: 10-yr horizon (verified)",IF(M102="No Longer Monitored","Out of program",IF(N102="","Unknown vintage",IF(N102&lt;Scoring!$B$12,"Pre-1990, still listed",IF(AND(U102="",AA102&lt;0),"Past 30-yr mark (verify)",IF(AND(U102="",AA102&lt;=Scoring!$B$5),"30-yr mark: notice window (est.)",IF(AND(O102&gt;=Scoring!$B$7,O102&lt;=Scoring!$B$8),"Year-15 window",IF(O102&gt;=Scoring!$B$9,"Recap window",IF(O102&gt;=11,"Late compliance","Credit period"))))))))))))</f>
        <v>Past 30-yr mark (verify)</v>
      </c>
      <c r="E102" s="15" t="s">
        <v>493</v>
      </c>
      <c r="F102" s="15" t="s">
        <v>494</v>
      </c>
      <c r="G102" s="15" t="s">
        <v>495</v>
      </c>
      <c r="H102" s="15" t="s">
        <v>97</v>
      </c>
      <c r="I102" s="15" t="s">
        <v>195</v>
      </c>
      <c r="J102" s="15" t="n">
        <v>132</v>
      </c>
      <c r="K102" s="15" t="n">
        <v>132</v>
      </c>
      <c r="L102" s="15" t="n">
        <f aca="false">IF(OR(J102="",K102=""),"",MAX(J102-K102,0))</f>
        <v>0</v>
      </c>
      <c r="M102" s="15" t="s">
        <v>99</v>
      </c>
      <c r="N102" s="17" t="n">
        <v>1992</v>
      </c>
      <c r="O102" s="15" t="n">
        <f aca="false">IF(N102="","",Scoring!$B$4-N102)</f>
        <v>34</v>
      </c>
      <c r="P102" s="15" t="n">
        <f aca="false">IF(N102="","",N102+14)</f>
        <v>2006</v>
      </c>
      <c r="Q102" s="15" t="n">
        <f aca="false">IF(N102="","",IF(N102&lt;Scoring!$B$12,"n/a (pre-1990)",N102+Scoring!$B$13))</f>
        <v>2021</v>
      </c>
      <c r="R102" s="15" t="str">
        <f aca="false">IF(J102="","Unknown",IF(J102&gt;=5,"Yes","No (under 5 units)"))</f>
        <v>Yes</v>
      </c>
      <c r="S102" s="15"/>
      <c r="T102" s="18"/>
      <c r="U102" s="19"/>
      <c r="V102" s="18"/>
      <c r="W102" s="18"/>
      <c r="X102" s="20"/>
      <c r="Y102" s="18"/>
      <c r="Z102" s="18"/>
      <c r="AA102" s="21" t="n">
        <f aca="false">IF(U102&lt;&gt;"",(U102-Scoring!$B$3)/365.25,IF(N102="","",IF(N102&lt;Scoring!$B$12,"",(DATE(N102+Scoring!$B$13,12,31)-Scoring!$B$3)/365.25)))</f>
        <v>-4.75290896646133</v>
      </c>
      <c r="AB102" s="22" t="n">
        <f aca="false">IF(T102="Y",0,IF(OR(D102="Expired (verified)",D102="Expiring: notice window (verified)",D102="Expiring: 10-yr horizon (verified)",D102="Past 30-yr mark (verify)",D102="30-yr mark: notice window (est.)",D102="Year-15 window"),1,0)+IF(ISNUMBER(O102),IF(O102&gt;=Scoring!$B$10,1,0),0)+IF(AND(ISNUMBER(L102),ISNUMBER(J102)),IF(J102&gt;0,IF(L102/J102&gt;=Scoring!$B$11,1,0),0),0)+IF(ISNUMBER(Z102),MIN(Z102,3),0))</f>
        <v>2</v>
      </c>
      <c r="AC102" s="22" t="n">
        <f aca="false">IF(AB102&gt;=3,Scoring!$C$24,IF(AB102=2,Scoring!$C$23,IF(AB102=1,Scoring!$C$22,0)))</f>
        <v>18</v>
      </c>
      <c r="AD102" s="22" t="n">
        <f aca="false">IF(T102="Y",0,IF(ISNUMBER(X102),IF(X102&gt;0.7,Scoring!$C$25,IF(X102&gt;=0.5,Scoring!$C$26,IF(X102&gt;=0.3,Scoring!$C$27,Scoring!$C$28))),Scoring!$C$29))</f>
        <v>10</v>
      </c>
      <c r="AE102" s="22" t="n">
        <f aca="false">IF(D102="Expiring: notice window (verified)",Scoring!$C$30,IF(OR(D102="Expired (verified)",D102="30-yr mark: notice window (est.)",D102="Year-15 window"),Scoring!$C$31,IF(D102="Expiring: 10-yr horizon (verified)",Scoring!$C$32,IF(D102="Past 30-yr mark (verify)",Scoring!$C$33,IF(OR(D102="Credit period",D102="Superseded record"),Scoring!$C$35,Scoring!$C$34)))))</f>
        <v>8</v>
      </c>
      <c r="AF102" s="22" t="n">
        <f aca="false">IF(T102="Y",0,IF(ISNUMBER(V102),IF(Scoring!$B$4-V102&gt;15,Scoring!$C$36,IF(Scoring!$B$4-V102&gt;=10,Scoring!$C$37,IF(Scoring!$B$4-V102&gt;=5,Scoring!$C$38,Scoring!$C$39))),IF(OR(N102="",D102="Out of program"),Scoring!$C$40,IF(O102&gt;15,Scoring!$C$36,IF(O102&gt;=10,Scoring!$C$37,IF(O102&gt;=5,Scoring!$C$38,Scoring!$C$39))))))</f>
        <v>15</v>
      </c>
      <c r="AG102" s="22" t="n">
        <f aca="false">IF(T102="Y",0,IF(Y102="Y",Scoring!$C$41,IF(ISNUMBER(O102),IF(O102&gt;=25,Scoring!$C$42,IF(O102&gt;=15,Scoring!$C$43,Scoring!$C$44)),Scoring!$C$44)))</f>
        <v>8</v>
      </c>
      <c r="AH102" s="22" t="n">
        <f aca="false">IF(T102="Y",0,IF(W102="",Scoring!$C$49,IFERROR(VLOOKUP(W102,Scoring!$B$45:$C$48,2,FALSE()),Scoring!$C$49)))</f>
        <v>5</v>
      </c>
      <c r="AI102" s="23" t="n">
        <f aca="false">C102+IF(ISNUMBER(J102),J102,0)/100000+(10000-ROW())/1000000000</f>
        <v>64.001329898</v>
      </c>
      <c r="AJ102" s="18"/>
      <c r="AK102" s="18"/>
      <c r="AL102" s="18"/>
      <c r="AM102" s="18"/>
    </row>
    <row r="103" customFormat="false" ht="15" hidden="false" customHeight="false" outlineLevel="0" collapsed="false">
      <c r="A103" s="15" t="n">
        <f aca="false">RANK(AI103,$AI$2:$AI$755)</f>
        <v>102</v>
      </c>
      <c r="B103" s="16" t="str">
        <f aca="false">IF(T103="Y","Superseded",IF(C103&gt;=Scoring!$B$16,"Immediate",IF(C103&gt;=Scoring!$B$17,"This week",IF(C103&gt;=Scoring!$B$18,"Nurture","Low"))))</f>
        <v>This week</v>
      </c>
      <c r="C103" s="3" t="n">
        <f aca="false">SUM(AC103:AH103)</f>
        <v>64</v>
      </c>
      <c r="D103" s="15" t="str">
        <f aca="false">IF(T103="Y","Superseded record",IF(AND(U103&lt;&gt;"",AA103&lt;0),"Expired (verified)",IF(AND(U103&lt;&gt;"",AA103&lt;=Scoring!$B$5),"Expiring: notice window (verified)",IF(AND(U103&lt;&gt;"",AA103&lt;=Scoring!$B$6),"Expiring: 10-yr horizon (verified)",IF(M103="No Longer Monitored","Out of program",IF(N103="","Unknown vintage",IF(N103&lt;Scoring!$B$12,"Pre-1990, still listed",IF(AND(U103="",AA103&lt;0),"Past 30-yr mark (verify)",IF(AND(U103="",AA103&lt;=Scoring!$B$5),"30-yr mark: notice window (est.)",IF(AND(O103&gt;=Scoring!$B$7,O103&lt;=Scoring!$B$8),"Year-15 window",IF(O103&gt;=Scoring!$B$9,"Recap window",IF(O103&gt;=11,"Late compliance","Credit period"))))))))))))</f>
        <v>Past 30-yr mark (verify)</v>
      </c>
      <c r="E103" s="15" t="s">
        <v>496</v>
      </c>
      <c r="F103" s="15" t="s">
        <v>497</v>
      </c>
      <c r="G103" s="15" t="s">
        <v>498</v>
      </c>
      <c r="H103" s="15" t="s">
        <v>499</v>
      </c>
      <c r="I103" s="15" t="s">
        <v>500</v>
      </c>
      <c r="J103" s="15" t="n">
        <v>124</v>
      </c>
      <c r="K103" s="15" t="n">
        <v>124</v>
      </c>
      <c r="L103" s="15" t="n">
        <f aca="false">IF(OR(J103="",K103=""),"",MAX(J103-K103,0))</f>
        <v>0</v>
      </c>
      <c r="M103" s="15" t="s">
        <v>99</v>
      </c>
      <c r="N103" s="17" t="n">
        <v>1991</v>
      </c>
      <c r="O103" s="15" t="n">
        <f aca="false">IF(N103="","",Scoring!$B$4-N103)</f>
        <v>35</v>
      </c>
      <c r="P103" s="15" t="n">
        <f aca="false">IF(N103="","",N103+14)</f>
        <v>2005</v>
      </c>
      <c r="Q103" s="15" t="n">
        <f aca="false">IF(N103="","",IF(N103&lt;Scoring!$B$12,"n/a (pre-1990)",N103+Scoring!$B$13))</f>
        <v>2020</v>
      </c>
      <c r="R103" s="15" t="str">
        <f aca="false">IF(J103="","Unknown",IF(J103&gt;=5,"Yes","No (under 5 units)"))</f>
        <v>Yes</v>
      </c>
      <c r="S103" s="15"/>
      <c r="T103" s="18"/>
      <c r="U103" s="19"/>
      <c r="V103" s="18"/>
      <c r="W103" s="18"/>
      <c r="X103" s="20"/>
      <c r="Y103" s="18"/>
      <c r="Z103" s="18"/>
      <c r="AA103" s="21" t="n">
        <f aca="false">IF(U103&lt;&gt;"",(U103-Scoring!$B$3)/365.25,IF(N103="","",IF(N103&lt;Scoring!$B$12,"",(DATE(N103+Scoring!$B$13,12,31)-Scoring!$B$3)/365.25)))</f>
        <v>-5.75222450376455</v>
      </c>
      <c r="AB103" s="22" t="n">
        <f aca="false">IF(T103="Y",0,IF(OR(D103="Expired (verified)",D103="Expiring: notice window (verified)",D103="Expiring: 10-yr horizon (verified)",D103="Past 30-yr mark (verify)",D103="30-yr mark: notice window (est.)",D103="Year-15 window"),1,0)+IF(ISNUMBER(O103),IF(O103&gt;=Scoring!$B$10,1,0),0)+IF(AND(ISNUMBER(L103),ISNUMBER(J103)),IF(J103&gt;0,IF(L103/J103&gt;=Scoring!$B$11,1,0),0),0)+IF(ISNUMBER(Z103),MIN(Z103,3),0))</f>
        <v>2</v>
      </c>
      <c r="AC103" s="22" t="n">
        <f aca="false">IF(AB103&gt;=3,Scoring!$C$24,IF(AB103=2,Scoring!$C$23,IF(AB103=1,Scoring!$C$22,0)))</f>
        <v>18</v>
      </c>
      <c r="AD103" s="22" t="n">
        <f aca="false">IF(T103="Y",0,IF(ISNUMBER(X103),IF(X103&gt;0.7,Scoring!$C$25,IF(X103&gt;=0.5,Scoring!$C$26,IF(X103&gt;=0.3,Scoring!$C$27,Scoring!$C$28))),Scoring!$C$29))</f>
        <v>10</v>
      </c>
      <c r="AE103" s="22" t="n">
        <f aca="false">IF(D103="Expiring: notice window (verified)",Scoring!$C$30,IF(OR(D103="Expired (verified)",D103="30-yr mark: notice window (est.)",D103="Year-15 window"),Scoring!$C$31,IF(D103="Expiring: 10-yr horizon (verified)",Scoring!$C$32,IF(D103="Past 30-yr mark (verify)",Scoring!$C$33,IF(OR(D103="Credit period",D103="Superseded record"),Scoring!$C$35,Scoring!$C$34)))))</f>
        <v>8</v>
      </c>
      <c r="AF103" s="22" t="n">
        <f aca="false">IF(T103="Y",0,IF(ISNUMBER(V103),IF(Scoring!$B$4-V103&gt;15,Scoring!$C$36,IF(Scoring!$B$4-V103&gt;=10,Scoring!$C$37,IF(Scoring!$B$4-V103&gt;=5,Scoring!$C$38,Scoring!$C$39))),IF(OR(N103="",D103="Out of program"),Scoring!$C$40,IF(O103&gt;15,Scoring!$C$36,IF(O103&gt;=10,Scoring!$C$37,IF(O103&gt;=5,Scoring!$C$38,Scoring!$C$39))))))</f>
        <v>15</v>
      </c>
      <c r="AG103" s="22" t="n">
        <f aca="false">IF(T103="Y",0,IF(Y103="Y",Scoring!$C$41,IF(ISNUMBER(O103),IF(O103&gt;=25,Scoring!$C$42,IF(O103&gt;=15,Scoring!$C$43,Scoring!$C$44)),Scoring!$C$44)))</f>
        <v>8</v>
      </c>
      <c r="AH103" s="22" t="n">
        <f aca="false">IF(T103="Y",0,IF(W103="",Scoring!$C$49,IFERROR(VLOOKUP(W103,Scoring!$B$45:$C$48,2,FALSE()),Scoring!$C$49)))</f>
        <v>5</v>
      </c>
      <c r="AI103" s="23" t="n">
        <f aca="false">C103+IF(ISNUMBER(J103),J103,0)/100000+(10000-ROW())/1000000000</f>
        <v>64.001249897</v>
      </c>
      <c r="AJ103" s="18"/>
      <c r="AK103" s="18"/>
      <c r="AL103" s="18"/>
      <c r="AM103" s="18"/>
    </row>
    <row r="104" customFormat="false" ht="15" hidden="false" customHeight="false" outlineLevel="0" collapsed="false">
      <c r="A104" s="15" t="n">
        <f aca="false">RANK(AI104,$AI$2:$AI$755)</f>
        <v>103</v>
      </c>
      <c r="B104" s="16" t="str">
        <f aca="false">IF(T104="Y","Superseded",IF(C104&gt;=Scoring!$B$16,"Immediate",IF(C104&gt;=Scoring!$B$17,"This week",IF(C104&gt;=Scoring!$B$18,"Nurture","Low"))))</f>
        <v>This week</v>
      </c>
      <c r="C104" s="3" t="n">
        <f aca="false">SUM(AC104:AH104)</f>
        <v>64</v>
      </c>
      <c r="D104" s="15" t="str">
        <f aca="false">IF(T104="Y","Superseded record",IF(AND(U104&lt;&gt;"",AA104&lt;0),"Expired (verified)",IF(AND(U104&lt;&gt;"",AA104&lt;=Scoring!$B$5),"Expiring: notice window (verified)",IF(AND(U104&lt;&gt;"",AA104&lt;=Scoring!$B$6),"Expiring: 10-yr horizon (verified)",IF(M104="No Longer Monitored","Out of program",IF(N104="","Unknown vintage",IF(N104&lt;Scoring!$B$12,"Pre-1990, still listed",IF(AND(U104="",AA104&lt;0),"Past 30-yr mark (verify)",IF(AND(U104="",AA104&lt;=Scoring!$B$5),"30-yr mark: notice window (est.)",IF(AND(O104&gt;=Scoring!$B$7,O104&lt;=Scoring!$B$8),"Year-15 window",IF(O104&gt;=Scoring!$B$9,"Recap window",IF(O104&gt;=11,"Late compliance","Credit period"))))))))))))</f>
        <v>Past 30-yr mark (verify)</v>
      </c>
      <c r="E104" s="15" t="s">
        <v>501</v>
      </c>
      <c r="F104" s="15" t="s">
        <v>502</v>
      </c>
      <c r="G104" s="15" t="s">
        <v>503</v>
      </c>
      <c r="H104" s="15" t="s">
        <v>97</v>
      </c>
      <c r="I104" s="15" t="s">
        <v>116</v>
      </c>
      <c r="J104" s="15" t="n">
        <v>120</v>
      </c>
      <c r="K104" s="15" t="n">
        <v>120</v>
      </c>
      <c r="L104" s="15" t="n">
        <f aca="false">IF(OR(J104="",K104=""),"",MAX(J104-K104,0))</f>
        <v>0</v>
      </c>
      <c r="M104" s="15" t="s">
        <v>99</v>
      </c>
      <c r="N104" s="17" t="n">
        <v>1996</v>
      </c>
      <c r="O104" s="15" t="n">
        <f aca="false">IF(N104="","",Scoring!$B$4-N104)</f>
        <v>30</v>
      </c>
      <c r="P104" s="15" t="n">
        <f aca="false">IF(N104="","",N104+14)</f>
        <v>2010</v>
      </c>
      <c r="Q104" s="15" t="n">
        <f aca="false">IF(N104="","",IF(N104&lt;Scoring!$B$12,"n/a (pre-1990)",N104+Scoring!$B$13))</f>
        <v>2025</v>
      </c>
      <c r="R104" s="15" t="str">
        <f aca="false">IF(J104="","Unknown",IF(J104&gt;=5,"Yes","No (under 5 units)"))</f>
        <v>Yes</v>
      </c>
      <c r="S104" s="15"/>
      <c r="T104" s="18"/>
      <c r="U104" s="19"/>
      <c r="V104" s="18"/>
      <c r="W104" s="18"/>
      <c r="X104" s="20"/>
      <c r="Y104" s="18"/>
      <c r="Z104" s="18"/>
      <c r="AA104" s="21" t="n">
        <f aca="false">IF(U104&lt;&gt;"",(U104-Scoring!$B$3)/365.25,IF(N104="","",IF(N104&lt;Scoring!$B$12,"",(DATE(N104+Scoring!$B$13,12,31)-Scoring!$B$3)/365.25)))</f>
        <v>-0.752908966461328</v>
      </c>
      <c r="AB104" s="22" t="n">
        <f aca="false">IF(T104="Y",0,IF(OR(D104="Expired (verified)",D104="Expiring: notice window (verified)",D104="Expiring: 10-yr horizon (verified)",D104="Past 30-yr mark (verify)",D104="30-yr mark: notice window (est.)",D104="Year-15 window"),1,0)+IF(ISNUMBER(O104),IF(O104&gt;=Scoring!$B$10,1,0),0)+IF(AND(ISNUMBER(L104),ISNUMBER(J104)),IF(J104&gt;0,IF(L104/J104&gt;=Scoring!$B$11,1,0),0),0)+IF(ISNUMBER(Z104),MIN(Z104,3),0))</f>
        <v>2</v>
      </c>
      <c r="AC104" s="22" t="n">
        <f aca="false">IF(AB104&gt;=3,Scoring!$C$24,IF(AB104=2,Scoring!$C$23,IF(AB104=1,Scoring!$C$22,0)))</f>
        <v>18</v>
      </c>
      <c r="AD104" s="22" t="n">
        <f aca="false">IF(T104="Y",0,IF(ISNUMBER(X104),IF(X104&gt;0.7,Scoring!$C$25,IF(X104&gt;=0.5,Scoring!$C$26,IF(X104&gt;=0.3,Scoring!$C$27,Scoring!$C$28))),Scoring!$C$29))</f>
        <v>10</v>
      </c>
      <c r="AE104" s="22" t="n">
        <f aca="false">IF(D104="Expiring: notice window (verified)",Scoring!$C$30,IF(OR(D104="Expired (verified)",D104="30-yr mark: notice window (est.)",D104="Year-15 window"),Scoring!$C$31,IF(D104="Expiring: 10-yr horizon (verified)",Scoring!$C$32,IF(D104="Past 30-yr mark (verify)",Scoring!$C$33,IF(OR(D104="Credit period",D104="Superseded record"),Scoring!$C$35,Scoring!$C$34)))))</f>
        <v>8</v>
      </c>
      <c r="AF104" s="22" t="n">
        <f aca="false">IF(T104="Y",0,IF(ISNUMBER(V104),IF(Scoring!$B$4-V104&gt;15,Scoring!$C$36,IF(Scoring!$B$4-V104&gt;=10,Scoring!$C$37,IF(Scoring!$B$4-V104&gt;=5,Scoring!$C$38,Scoring!$C$39))),IF(OR(N104="",D104="Out of program"),Scoring!$C$40,IF(O104&gt;15,Scoring!$C$36,IF(O104&gt;=10,Scoring!$C$37,IF(O104&gt;=5,Scoring!$C$38,Scoring!$C$39))))))</f>
        <v>15</v>
      </c>
      <c r="AG104" s="22" t="n">
        <f aca="false">IF(T104="Y",0,IF(Y104="Y",Scoring!$C$41,IF(ISNUMBER(O104),IF(O104&gt;=25,Scoring!$C$42,IF(O104&gt;=15,Scoring!$C$43,Scoring!$C$44)),Scoring!$C$44)))</f>
        <v>8</v>
      </c>
      <c r="AH104" s="22" t="n">
        <f aca="false">IF(T104="Y",0,IF(W104="",Scoring!$C$49,IFERROR(VLOOKUP(W104,Scoring!$B$45:$C$48,2,FALSE()),Scoring!$C$49)))</f>
        <v>5</v>
      </c>
      <c r="AI104" s="23" t="n">
        <f aca="false">C104+IF(ISNUMBER(J104),J104,0)/100000+(10000-ROW())/1000000000</f>
        <v>64.001209896</v>
      </c>
      <c r="AJ104" s="18"/>
      <c r="AK104" s="18"/>
      <c r="AL104" s="18"/>
      <c r="AM104" s="18"/>
    </row>
    <row r="105" customFormat="false" ht="15" hidden="false" customHeight="false" outlineLevel="0" collapsed="false">
      <c r="A105" s="15" t="n">
        <f aca="false">RANK(AI105,$AI$2:$AI$755)</f>
        <v>104</v>
      </c>
      <c r="B105" s="16" t="str">
        <f aca="false">IF(T105="Y","Superseded",IF(C105&gt;=Scoring!$B$16,"Immediate",IF(C105&gt;=Scoring!$B$17,"This week",IF(C105&gt;=Scoring!$B$18,"Nurture","Low"))))</f>
        <v>This week</v>
      </c>
      <c r="C105" s="3" t="n">
        <f aca="false">SUM(AC105:AH105)</f>
        <v>64</v>
      </c>
      <c r="D105" s="15" t="str">
        <f aca="false">IF(T105="Y","Superseded record",IF(AND(U105&lt;&gt;"",AA105&lt;0),"Expired (verified)",IF(AND(U105&lt;&gt;"",AA105&lt;=Scoring!$B$5),"Expiring: notice window (verified)",IF(AND(U105&lt;&gt;"",AA105&lt;=Scoring!$B$6),"Expiring: 10-yr horizon (verified)",IF(M105="No Longer Monitored","Out of program",IF(N105="","Unknown vintage",IF(N105&lt;Scoring!$B$12,"Pre-1990, still listed",IF(AND(U105="",AA105&lt;0),"Past 30-yr mark (verify)",IF(AND(U105="",AA105&lt;=Scoring!$B$5),"30-yr mark: notice window (est.)",IF(AND(O105&gt;=Scoring!$B$7,O105&lt;=Scoring!$B$8),"Year-15 window",IF(O105&gt;=Scoring!$B$9,"Recap window",IF(O105&gt;=11,"Late compliance","Credit period"))))))))))))</f>
        <v>Past 30-yr mark (verify)</v>
      </c>
      <c r="E105" s="15" t="s">
        <v>504</v>
      </c>
      <c r="F105" s="15" t="s">
        <v>505</v>
      </c>
      <c r="G105" s="15" t="s">
        <v>506</v>
      </c>
      <c r="H105" s="15" t="s">
        <v>97</v>
      </c>
      <c r="I105" s="15" t="s">
        <v>98</v>
      </c>
      <c r="J105" s="15" t="n">
        <v>119</v>
      </c>
      <c r="K105" s="15" t="n">
        <v>118</v>
      </c>
      <c r="L105" s="15" t="n">
        <f aca="false">IF(OR(J105="",K105=""),"",MAX(J105-K105,0))</f>
        <v>1</v>
      </c>
      <c r="M105" s="15" t="s">
        <v>99</v>
      </c>
      <c r="N105" s="17" t="n">
        <v>1994</v>
      </c>
      <c r="O105" s="15" t="n">
        <f aca="false">IF(N105="","",Scoring!$B$4-N105)</f>
        <v>32</v>
      </c>
      <c r="P105" s="15" t="n">
        <f aca="false">IF(N105="","",N105+14)</f>
        <v>2008</v>
      </c>
      <c r="Q105" s="15" t="n">
        <f aca="false">IF(N105="","",IF(N105&lt;Scoring!$B$12,"n/a (pre-1990)",N105+Scoring!$B$13))</f>
        <v>2023</v>
      </c>
      <c r="R105" s="15" t="str">
        <f aca="false">IF(J105="","Unknown",IF(J105&gt;=5,"Yes","No (under 5 units)"))</f>
        <v>Yes</v>
      </c>
      <c r="S105" s="15"/>
      <c r="T105" s="18"/>
      <c r="U105" s="19"/>
      <c r="V105" s="18"/>
      <c r="W105" s="18"/>
      <c r="X105" s="20"/>
      <c r="Y105" s="18"/>
      <c r="Z105" s="18"/>
      <c r="AA105" s="21" t="n">
        <f aca="false">IF(U105&lt;&gt;"",(U105-Scoring!$B$3)/365.25,IF(N105="","",IF(N105&lt;Scoring!$B$12,"",(DATE(N105+Scoring!$B$13,12,31)-Scoring!$B$3)/365.25)))</f>
        <v>-2.75427789185489</v>
      </c>
      <c r="AB105" s="22" t="n">
        <f aca="false">IF(T105="Y",0,IF(OR(D105="Expired (verified)",D105="Expiring: notice window (verified)",D105="Expiring: 10-yr horizon (verified)",D105="Past 30-yr mark (verify)",D105="30-yr mark: notice window (est.)",D105="Year-15 window"),1,0)+IF(ISNUMBER(O105),IF(O105&gt;=Scoring!$B$10,1,0),0)+IF(AND(ISNUMBER(L105),ISNUMBER(J105)),IF(J105&gt;0,IF(L105/J105&gt;=Scoring!$B$11,1,0),0),0)+IF(ISNUMBER(Z105),MIN(Z105,3),0))</f>
        <v>2</v>
      </c>
      <c r="AC105" s="22" t="n">
        <f aca="false">IF(AB105&gt;=3,Scoring!$C$24,IF(AB105=2,Scoring!$C$23,IF(AB105=1,Scoring!$C$22,0)))</f>
        <v>18</v>
      </c>
      <c r="AD105" s="22" t="n">
        <f aca="false">IF(T105="Y",0,IF(ISNUMBER(X105),IF(X105&gt;0.7,Scoring!$C$25,IF(X105&gt;=0.5,Scoring!$C$26,IF(X105&gt;=0.3,Scoring!$C$27,Scoring!$C$28))),Scoring!$C$29))</f>
        <v>10</v>
      </c>
      <c r="AE105" s="22" t="n">
        <f aca="false">IF(D105="Expiring: notice window (verified)",Scoring!$C$30,IF(OR(D105="Expired (verified)",D105="30-yr mark: notice window (est.)",D105="Year-15 window"),Scoring!$C$31,IF(D105="Expiring: 10-yr horizon (verified)",Scoring!$C$32,IF(D105="Past 30-yr mark (verify)",Scoring!$C$33,IF(OR(D105="Credit period",D105="Superseded record"),Scoring!$C$35,Scoring!$C$34)))))</f>
        <v>8</v>
      </c>
      <c r="AF105" s="22" t="n">
        <f aca="false">IF(T105="Y",0,IF(ISNUMBER(V105),IF(Scoring!$B$4-V105&gt;15,Scoring!$C$36,IF(Scoring!$B$4-V105&gt;=10,Scoring!$C$37,IF(Scoring!$B$4-V105&gt;=5,Scoring!$C$38,Scoring!$C$39))),IF(OR(N105="",D105="Out of program"),Scoring!$C$40,IF(O105&gt;15,Scoring!$C$36,IF(O105&gt;=10,Scoring!$C$37,IF(O105&gt;=5,Scoring!$C$38,Scoring!$C$39))))))</f>
        <v>15</v>
      </c>
      <c r="AG105" s="22" t="n">
        <f aca="false">IF(T105="Y",0,IF(Y105="Y",Scoring!$C$41,IF(ISNUMBER(O105),IF(O105&gt;=25,Scoring!$C$42,IF(O105&gt;=15,Scoring!$C$43,Scoring!$C$44)),Scoring!$C$44)))</f>
        <v>8</v>
      </c>
      <c r="AH105" s="22" t="n">
        <f aca="false">IF(T105="Y",0,IF(W105="",Scoring!$C$49,IFERROR(VLOOKUP(W105,Scoring!$B$45:$C$48,2,FALSE()),Scoring!$C$49)))</f>
        <v>5</v>
      </c>
      <c r="AI105" s="23" t="n">
        <f aca="false">C105+IF(ISNUMBER(J105),J105,0)/100000+(10000-ROW())/1000000000</f>
        <v>64.001199895</v>
      </c>
      <c r="AJ105" s="18"/>
      <c r="AK105" s="18"/>
      <c r="AL105" s="18"/>
      <c r="AM105" s="18"/>
    </row>
    <row r="106" customFormat="false" ht="15" hidden="false" customHeight="false" outlineLevel="0" collapsed="false">
      <c r="A106" s="15" t="n">
        <f aca="false">RANK(AI106,$AI$2:$AI$755)</f>
        <v>105</v>
      </c>
      <c r="B106" s="16" t="str">
        <f aca="false">IF(T106="Y","Superseded",IF(C106&gt;=Scoring!$B$16,"Immediate",IF(C106&gt;=Scoring!$B$17,"This week",IF(C106&gt;=Scoring!$B$18,"Nurture","Low"))))</f>
        <v>This week</v>
      </c>
      <c r="C106" s="3" t="n">
        <f aca="false">SUM(AC106:AH106)</f>
        <v>64</v>
      </c>
      <c r="D106" s="15" t="str">
        <f aca="false">IF(T106="Y","Superseded record",IF(AND(U106&lt;&gt;"",AA106&lt;0),"Expired (verified)",IF(AND(U106&lt;&gt;"",AA106&lt;=Scoring!$B$5),"Expiring: notice window (verified)",IF(AND(U106&lt;&gt;"",AA106&lt;=Scoring!$B$6),"Expiring: 10-yr horizon (verified)",IF(M106="No Longer Monitored","Out of program",IF(N106="","Unknown vintage",IF(N106&lt;Scoring!$B$12,"Pre-1990, still listed",IF(AND(U106="",AA106&lt;0),"Past 30-yr mark (verify)",IF(AND(U106="",AA106&lt;=Scoring!$B$5),"30-yr mark: notice window (est.)",IF(AND(O106&gt;=Scoring!$B$7,O106&lt;=Scoring!$B$8),"Year-15 window",IF(O106&gt;=Scoring!$B$9,"Recap window",IF(O106&gt;=11,"Late compliance","Credit period"))))))))))))</f>
        <v>Past 30-yr mark (verify)</v>
      </c>
      <c r="E106" s="15" t="s">
        <v>507</v>
      </c>
      <c r="F106" s="15" t="s">
        <v>508</v>
      </c>
      <c r="G106" s="15" t="s">
        <v>509</v>
      </c>
      <c r="H106" s="15" t="s">
        <v>97</v>
      </c>
      <c r="I106" s="15" t="s">
        <v>510</v>
      </c>
      <c r="J106" s="15" t="n">
        <v>119</v>
      </c>
      <c r="K106" s="15"/>
      <c r="L106" s="15" t="str">
        <f aca="false">IF(OR(J106="",K106=""),"",MAX(J106-K106,0))</f>
        <v/>
      </c>
      <c r="M106" s="15" t="s">
        <v>99</v>
      </c>
      <c r="N106" s="17" t="n">
        <v>1996</v>
      </c>
      <c r="O106" s="15" t="n">
        <f aca="false">IF(N106="","",Scoring!$B$4-N106)</f>
        <v>30</v>
      </c>
      <c r="P106" s="15" t="n">
        <f aca="false">IF(N106="","",N106+14)</f>
        <v>2010</v>
      </c>
      <c r="Q106" s="15" t="n">
        <f aca="false">IF(N106="","",IF(N106&lt;Scoring!$B$12,"n/a (pre-1990)",N106+Scoring!$B$13))</f>
        <v>2025</v>
      </c>
      <c r="R106" s="15" t="str">
        <f aca="false">IF(J106="","Unknown",IF(J106&gt;=5,"Yes","No (under 5 units)"))</f>
        <v>Yes</v>
      </c>
      <c r="S106" s="15"/>
      <c r="T106" s="18"/>
      <c r="U106" s="19"/>
      <c r="V106" s="18"/>
      <c r="W106" s="18"/>
      <c r="X106" s="20"/>
      <c r="Y106" s="18"/>
      <c r="Z106" s="18"/>
      <c r="AA106" s="21" t="n">
        <f aca="false">IF(U106&lt;&gt;"",(U106-Scoring!$B$3)/365.25,IF(N106="","",IF(N106&lt;Scoring!$B$12,"",(DATE(N106+Scoring!$B$13,12,31)-Scoring!$B$3)/365.25)))</f>
        <v>-0.752908966461328</v>
      </c>
      <c r="AB106" s="22" t="n">
        <f aca="false">IF(T106="Y",0,IF(OR(D106="Expired (verified)",D106="Expiring: notice window (verified)",D106="Expiring: 10-yr horizon (verified)",D106="Past 30-yr mark (verify)",D106="30-yr mark: notice window (est.)",D106="Year-15 window"),1,0)+IF(ISNUMBER(O106),IF(O106&gt;=Scoring!$B$10,1,0),0)+IF(AND(ISNUMBER(L106),ISNUMBER(J106)),IF(J106&gt;0,IF(L106/J106&gt;=Scoring!$B$11,1,0),0),0)+IF(ISNUMBER(Z106),MIN(Z106,3),0))</f>
        <v>2</v>
      </c>
      <c r="AC106" s="22" t="n">
        <f aca="false">IF(AB106&gt;=3,Scoring!$C$24,IF(AB106=2,Scoring!$C$23,IF(AB106=1,Scoring!$C$22,0)))</f>
        <v>18</v>
      </c>
      <c r="AD106" s="22" t="n">
        <f aca="false">IF(T106="Y",0,IF(ISNUMBER(X106),IF(X106&gt;0.7,Scoring!$C$25,IF(X106&gt;=0.5,Scoring!$C$26,IF(X106&gt;=0.3,Scoring!$C$27,Scoring!$C$28))),Scoring!$C$29))</f>
        <v>10</v>
      </c>
      <c r="AE106" s="22" t="n">
        <f aca="false">IF(D106="Expiring: notice window (verified)",Scoring!$C$30,IF(OR(D106="Expired (verified)",D106="30-yr mark: notice window (est.)",D106="Year-15 window"),Scoring!$C$31,IF(D106="Expiring: 10-yr horizon (verified)",Scoring!$C$32,IF(D106="Past 30-yr mark (verify)",Scoring!$C$33,IF(OR(D106="Credit period",D106="Superseded record"),Scoring!$C$35,Scoring!$C$34)))))</f>
        <v>8</v>
      </c>
      <c r="AF106" s="22" t="n">
        <f aca="false">IF(T106="Y",0,IF(ISNUMBER(V106),IF(Scoring!$B$4-V106&gt;15,Scoring!$C$36,IF(Scoring!$B$4-V106&gt;=10,Scoring!$C$37,IF(Scoring!$B$4-V106&gt;=5,Scoring!$C$38,Scoring!$C$39))),IF(OR(N106="",D106="Out of program"),Scoring!$C$40,IF(O106&gt;15,Scoring!$C$36,IF(O106&gt;=10,Scoring!$C$37,IF(O106&gt;=5,Scoring!$C$38,Scoring!$C$39))))))</f>
        <v>15</v>
      </c>
      <c r="AG106" s="22" t="n">
        <f aca="false">IF(T106="Y",0,IF(Y106="Y",Scoring!$C$41,IF(ISNUMBER(O106),IF(O106&gt;=25,Scoring!$C$42,IF(O106&gt;=15,Scoring!$C$43,Scoring!$C$44)),Scoring!$C$44)))</f>
        <v>8</v>
      </c>
      <c r="AH106" s="22" t="n">
        <f aca="false">IF(T106="Y",0,IF(W106="",Scoring!$C$49,IFERROR(VLOOKUP(W106,Scoring!$B$45:$C$48,2,FALSE()),Scoring!$C$49)))</f>
        <v>5</v>
      </c>
      <c r="AI106" s="23" t="n">
        <f aca="false">C106+IF(ISNUMBER(J106),J106,0)/100000+(10000-ROW())/1000000000</f>
        <v>64.001199894</v>
      </c>
      <c r="AJ106" s="18"/>
      <c r="AK106" s="18"/>
      <c r="AL106" s="18"/>
      <c r="AM106" s="18"/>
    </row>
    <row r="107" customFormat="false" ht="15" hidden="false" customHeight="false" outlineLevel="0" collapsed="false">
      <c r="A107" s="15" t="n">
        <f aca="false">RANK(AI107,$AI$2:$AI$755)</f>
        <v>106</v>
      </c>
      <c r="B107" s="16" t="str">
        <f aca="false">IF(T107="Y","Superseded",IF(C107&gt;=Scoring!$B$16,"Immediate",IF(C107&gt;=Scoring!$B$17,"This week",IF(C107&gt;=Scoring!$B$18,"Nurture","Low"))))</f>
        <v>This week</v>
      </c>
      <c r="C107" s="3" t="n">
        <f aca="false">SUM(AC107:AH107)</f>
        <v>64</v>
      </c>
      <c r="D107" s="15" t="str">
        <f aca="false">IF(T107="Y","Superseded record",IF(AND(U107&lt;&gt;"",AA107&lt;0),"Expired (verified)",IF(AND(U107&lt;&gt;"",AA107&lt;=Scoring!$B$5),"Expiring: notice window (verified)",IF(AND(U107&lt;&gt;"",AA107&lt;=Scoring!$B$6),"Expiring: 10-yr horizon (verified)",IF(M107="No Longer Monitored","Out of program",IF(N107="","Unknown vintage",IF(N107&lt;Scoring!$B$12,"Pre-1990, still listed",IF(AND(U107="",AA107&lt;0),"Past 30-yr mark (verify)",IF(AND(U107="",AA107&lt;=Scoring!$B$5),"30-yr mark: notice window (est.)",IF(AND(O107&gt;=Scoring!$B$7,O107&lt;=Scoring!$B$8),"Year-15 window",IF(O107&gt;=Scoring!$B$9,"Recap window",IF(O107&gt;=11,"Late compliance","Credit period"))))))))))))</f>
        <v>Past 30-yr mark (verify)</v>
      </c>
      <c r="E107" s="15" t="s">
        <v>511</v>
      </c>
      <c r="F107" s="15" t="s">
        <v>512</v>
      </c>
      <c r="G107" s="15" t="s">
        <v>513</v>
      </c>
      <c r="H107" s="15" t="s">
        <v>107</v>
      </c>
      <c r="I107" s="15" t="s">
        <v>514</v>
      </c>
      <c r="J107" s="15" t="n">
        <v>112</v>
      </c>
      <c r="K107" s="15" t="n">
        <v>112</v>
      </c>
      <c r="L107" s="15" t="n">
        <f aca="false">IF(OR(J107="",K107=""),"",MAX(J107-K107,0))</f>
        <v>0</v>
      </c>
      <c r="M107" s="15" t="s">
        <v>99</v>
      </c>
      <c r="N107" s="17" t="n">
        <v>1993</v>
      </c>
      <c r="O107" s="15" t="n">
        <f aca="false">IF(N107="","",Scoring!$B$4-N107)</f>
        <v>33</v>
      </c>
      <c r="P107" s="15" t="n">
        <f aca="false">IF(N107="","",N107+14)</f>
        <v>2007</v>
      </c>
      <c r="Q107" s="15" t="n">
        <f aca="false">IF(N107="","",IF(N107&lt;Scoring!$B$12,"n/a (pre-1990)",N107+Scoring!$B$13))</f>
        <v>2022</v>
      </c>
      <c r="R107" s="15" t="str">
        <f aca="false">IF(J107="","Unknown",IF(J107&gt;=5,"Yes","No (under 5 units)"))</f>
        <v>Yes</v>
      </c>
      <c r="S107" s="15"/>
      <c r="T107" s="18"/>
      <c r="U107" s="19"/>
      <c r="V107" s="18"/>
      <c r="W107" s="18"/>
      <c r="X107" s="20"/>
      <c r="Y107" s="18"/>
      <c r="Z107" s="18"/>
      <c r="AA107" s="21" t="n">
        <f aca="false">IF(U107&lt;&gt;"",(U107-Scoring!$B$3)/365.25,IF(N107="","",IF(N107&lt;Scoring!$B$12,"",(DATE(N107+Scoring!$B$13,12,31)-Scoring!$B$3)/365.25)))</f>
        <v>-3.75359342915811</v>
      </c>
      <c r="AB107" s="22" t="n">
        <f aca="false">IF(T107="Y",0,IF(OR(D107="Expired (verified)",D107="Expiring: notice window (verified)",D107="Expiring: 10-yr horizon (verified)",D107="Past 30-yr mark (verify)",D107="30-yr mark: notice window (est.)",D107="Year-15 window"),1,0)+IF(ISNUMBER(O107),IF(O107&gt;=Scoring!$B$10,1,0),0)+IF(AND(ISNUMBER(L107),ISNUMBER(J107)),IF(J107&gt;0,IF(L107/J107&gt;=Scoring!$B$11,1,0),0),0)+IF(ISNUMBER(Z107),MIN(Z107,3),0))</f>
        <v>2</v>
      </c>
      <c r="AC107" s="22" t="n">
        <f aca="false">IF(AB107&gt;=3,Scoring!$C$24,IF(AB107=2,Scoring!$C$23,IF(AB107=1,Scoring!$C$22,0)))</f>
        <v>18</v>
      </c>
      <c r="AD107" s="22" t="n">
        <f aca="false">IF(T107="Y",0,IF(ISNUMBER(X107),IF(X107&gt;0.7,Scoring!$C$25,IF(X107&gt;=0.5,Scoring!$C$26,IF(X107&gt;=0.3,Scoring!$C$27,Scoring!$C$28))),Scoring!$C$29))</f>
        <v>10</v>
      </c>
      <c r="AE107" s="22" t="n">
        <f aca="false">IF(D107="Expiring: notice window (verified)",Scoring!$C$30,IF(OR(D107="Expired (verified)",D107="30-yr mark: notice window (est.)",D107="Year-15 window"),Scoring!$C$31,IF(D107="Expiring: 10-yr horizon (verified)",Scoring!$C$32,IF(D107="Past 30-yr mark (verify)",Scoring!$C$33,IF(OR(D107="Credit period",D107="Superseded record"),Scoring!$C$35,Scoring!$C$34)))))</f>
        <v>8</v>
      </c>
      <c r="AF107" s="22" t="n">
        <f aca="false">IF(T107="Y",0,IF(ISNUMBER(V107),IF(Scoring!$B$4-V107&gt;15,Scoring!$C$36,IF(Scoring!$B$4-V107&gt;=10,Scoring!$C$37,IF(Scoring!$B$4-V107&gt;=5,Scoring!$C$38,Scoring!$C$39))),IF(OR(N107="",D107="Out of program"),Scoring!$C$40,IF(O107&gt;15,Scoring!$C$36,IF(O107&gt;=10,Scoring!$C$37,IF(O107&gt;=5,Scoring!$C$38,Scoring!$C$39))))))</f>
        <v>15</v>
      </c>
      <c r="AG107" s="22" t="n">
        <f aca="false">IF(T107="Y",0,IF(Y107="Y",Scoring!$C$41,IF(ISNUMBER(O107),IF(O107&gt;=25,Scoring!$C$42,IF(O107&gt;=15,Scoring!$C$43,Scoring!$C$44)),Scoring!$C$44)))</f>
        <v>8</v>
      </c>
      <c r="AH107" s="22" t="n">
        <f aca="false">IF(T107="Y",0,IF(W107="",Scoring!$C$49,IFERROR(VLOOKUP(W107,Scoring!$B$45:$C$48,2,FALSE()),Scoring!$C$49)))</f>
        <v>5</v>
      </c>
      <c r="AI107" s="23" t="n">
        <f aca="false">C107+IF(ISNUMBER(J107),J107,0)/100000+(10000-ROW())/1000000000</f>
        <v>64.001129893</v>
      </c>
      <c r="AJ107" s="18"/>
      <c r="AK107" s="18"/>
      <c r="AL107" s="18"/>
      <c r="AM107" s="18"/>
    </row>
    <row r="108" customFormat="false" ht="15" hidden="false" customHeight="false" outlineLevel="0" collapsed="false">
      <c r="A108" s="15" t="n">
        <f aca="false">RANK(AI108,$AI$2:$AI$755)</f>
        <v>107</v>
      </c>
      <c r="B108" s="16" t="str">
        <f aca="false">IF(T108="Y","Superseded",IF(C108&gt;=Scoring!$B$16,"Immediate",IF(C108&gt;=Scoring!$B$17,"This week",IF(C108&gt;=Scoring!$B$18,"Nurture","Low"))))</f>
        <v>This week</v>
      </c>
      <c r="C108" s="3" t="n">
        <f aca="false">SUM(AC108:AH108)</f>
        <v>64</v>
      </c>
      <c r="D108" s="15" t="str">
        <f aca="false">IF(T108="Y","Superseded record",IF(AND(U108&lt;&gt;"",AA108&lt;0),"Expired (verified)",IF(AND(U108&lt;&gt;"",AA108&lt;=Scoring!$B$5),"Expiring: notice window (verified)",IF(AND(U108&lt;&gt;"",AA108&lt;=Scoring!$B$6),"Expiring: 10-yr horizon (verified)",IF(M108="No Longer Monitored","Out of program",IF(N108="","Unknown vintage",IF(N108&lt;Scoring!$B$12,"Pre-1990, still listed",IF(AND(U108="",AA108&lt;0),"Past 30-yr mark (verify)",IF(AND(U108="",AA108&lt;=Scoring!$B$5),"30-yr mark: notice window (est.)",IF(AND(O108&gt;=Scoring!$B$7,O108&lt;=Scoring!$B$8),"Year-15 window",IF(O108&gt;=Scoring!$B$9,"Recap window",IF(O108&gt;=11,"Late compliance","Credit period"))))))))))))</f>
        <v>Past 30-yr mark (verify)</v>
      </c>
      <c r="E108" s="15" t="s">
        <v>515</v>
      </c>
      <c r="F108" s="15" t="s">
        <v>516</v>
      </c>
      <c r="G108" s="15" t="s">
        <v>517</v>
      </c>
      <c r="H108" s="15" t="s">
        <v>97</v>
      </c>
      <c r="I108" s="15"/>
      <c r="J108" s="15" t="n">
        <v>106</v>
      </c>
      <c r="K108" s="15" t="n">
        <v>106</v>
      </c>
      <c r="L108" s="15" t="n">
        <f aca="false">IF(OR(J108="",K108=""),"",MAX(J108-K108,0))</f>
        <v>0</v>
      </c>
      <c r="M108" s="15" t="s">
        <v>99</v>
      </c>
      <c r="N108" s="17" t="n">
        <v>1995</v>
      </c>
      <c r="O108" s="15" t="n">
        <f aca="false">IF(N108="","",Scoring!$B$4-N108)</f>
        <v>31</v>
      </c>
      <c r="P108" s="15" t="n">
        <f aca="false">IF(N108="","",N108+14)</f>
        <v>2009</v>
      </c>
      <c r="Q108" s="15" t="n">
        <f aca="false">IF(N108="","",IF(N108&lt;Scoring!$B$12,"n/a (pre-1990)",N108+Scoring!$B$13))</f>
        <v>2024</v>
      </c>
      <c r="R108" s="15" t="str">
        <f aca="false">IF(J108="","Unknown",IF(J108&gt;=5,"Yes","No (under 5 units)"))</f>
        <v>Yes</v>
      </c>
      <c r="S108" s="15"/>
      <c r="T108" s="18"/>
      <c r="U108" s="19"/>
      <c r="V108" s="18"/>
      <c r="W108" s="18"/>
      <c r="X108" s="20"/>
      <c r="Y108" s="18"/>
      <c r="Z108" s="18"/>
      <c r="AA108" s="21" t="n">
        <f aca="false">IF(U108&lt;&gt;"",(U108-Scoring!$B$3)/365.25,IF(N108="","",IF(N108&lt;Scoring!$B$12,"",(DATE(N108+Scoring!$B$13,12,31)-Scoring!$B$3)/365.25)))</f>
        <v>-1.75222450376454</v>
      </c>
      <c r="AB108" s="22" t="n">
        <f aca="false">IF(T108="Y",0,IF(OR(D108="Expired (verified)",D108="Expiring: notice window (verified)",D108="Expiring: 10-yr horizon (verified)",D108="Past 30-yr mark (verify)",D108="30-yr mark: notice window (est.)",D108="Year-15 window"),1,0)+IF(ISNUMBER(O108),IF(O108&gt;=Scoring!$B$10,1,0),0)+IF(AND(ISNUMBER(L108),ISNUMBER(J108)),IF(J108&gt;0,IF(L108/J108&gt;=Scoring!$B$11,1,0),0),0)+IF(ISNUMBER(Z108),MIN(Z108,3),0))</f>
        <v>2</v>
      </c>
      <c r="AC108" s="22" t="n">
        <f aca="false">IF(AB108&gt;=3,Scoring!$C$24,IF(AB108=2,Scoring!$C$23,IF(AB108=1,Scoring!$C$22,0)))</f>
        <v>18</v>
      </c>
      <c r="AD108" s="22" t="n">
        <f aca="false">IF(T108="Y",0,IF(ISNUMBER(X108),IF(X108&gt;0.7,Scoring!$C$25,IF(X108&gt;=0.5,Scoring!$C$26,IF(X108&gt;=0.3,Scoring!$C$27,Scoring!$C$28))),Scoring!$C$29))</f>
        <v>10</v>
      </c>
      <c r="AE108" s="22" t="n">
        <f aca="false">IF(D108="Expiring: notice window (verified)",Scoring!$C$30,IF(OR(D108="Expired (verified)",D108="30-yr mark: notice window (est.)",D108="Year-15 window"),Scoring!$C$31,IF(D108="Expiring: 10-yr horizon (verified)",Scoring!$C$32,IF(D108="Past 30-yr mark (verify)",Scoring!$C$33,IF(OR(D108="Credit period",D108="Superseded record"),Scoring!$C$35,Scoring!$C$34)))))</f>
        <v>8</v>
      </c>
      <c r="AF108" s="22" t="n">
        <f aca="false">IF(T108="Y",0,IF(ISNUMBER(V108),IF(Scoring!$B$4-V108&gt;15,Scoring!$C$36,IF(Scoring!$B$4-V108&gt;=10,Scoring!$C$37,IF(Scoring!$B$4-V108&gt;=5,Scoring!$C$38,Scoring!$C$39))),IF(OR(N108="",D108="Out of program"),Scoring!$C$40,IF(O108&gt;15,Scoring!$C$36,IF(O108&gt;=10,Scoring!$C$37,IF(O108&gt;=5,Scoring!$C$38,Scoring!$C$39))))))</f>
        <v>15</v>
      </c>
      <c r="AG108" s="22" t="n">
        <f aca="false">IF(T108="Y",0,IF(Y108="Y",Scoring!$C$41,IF(ISNUMBER(O108),IF(O108&gt;=25,Scoring!$C$42,IF(O108&gt;=15,Scoring!$C$43,Scoring!$C$44)),Scoring!$C$44)))</f>
        <v>8</v>
      </c>
      <c r="AH108" s="22" t="n">
        <f aca="false">IF(T108="Y",0,IF(W108="",Scoring!$C$49,IFERROR(VLOOKUP(W108,Scoring!$B$45:$C$48,2,FALSE()),Scoring!$C$49)))</f>
        <v>5</v>
      </c>
      <c r="AI108" s="23" t="n">
        <f aca="false">C108+IF(ISNUMBER(J108),J108,0)/100000+(10000-ROW())/1000000000</f>
        <v>64.001069892</v>
      </c>
      <c r="AJ108" s="18"/>
      <c r="AK108" s="18"/>
      <c r="AL108" s="18"/>
      <c r="AM108" s="18"/>
    </row>
    <row r="109" customFormat="false" ht="15" hidden="false" customHeight="false" outlineLevel="0" collapsed="false">
      <c r="A109" s="15" t="n">
        <f aca="false">RANK(AI109,$AI$2:$AI$755)</f>
        <v>108</v>
      </c>
      <c r="B109" s="16" t="str">
        <f aca="false">IF(T109="Y","Superseded",IF(C109&gt;=Scoring!$B$16,"Immediate",IF(C109&gt;=Scoring!$B$17,"This week",IF(C109&gt;=Scoring!$B$18,"Nurture","Low"))))</f>
        <v>This week</v>
      </c>
      <c r="C109" s="3" t="n">
        <f aca="false">SUM(AC109:AH109)</f>
        <v>64</v>
      </c>
      <c r="D109" s="15" t="str">
        <f aca="false">IF(T109="Y","Superseded record",IF(AND(U109&lt;&gt;"",AA109&lt;0),"Expired (verified)",IF(AND(U109&lt;&gt;"",AA109&lt;=Scoring!$B$5),"Expiring: notice window (verified)",IF(AND(U109&lt;&gt;"",AA109&lt;=Scoring!$B$6),"Expiring: 10-yr horizon (verified)",IF(M109="No Longer Monitored","Out of program",IF(N109="","Unknown vintage",IF(N109&lt;Scoring!$B$12,"Pre-1990, still listed",IF(AND(U109="",AA109&lt;0),"Past 30-yr mark (verify)",IF(AND(U109="",AA109&lt;=Scoring!$B$5),"30-yr mark: notice window (est.)",IF(AND(O109&gt;=Scoring!$B$7,O109&lt;=Scoring!$B$8),"Year-15 window",IF(O109&gt;=Scoring!$B$9,"Recap window",IF(O109&gt;=11,"Late compliance","Credit period"))))))))))))</f>
        <v>Past 30-yr mark (verify)</v>
      </c>
      <c r="E109" s="15" t="s">
        <v>518</v>
      </c>
      <c r="F109" s="15" t="s">
        <v>519</v>
      </c>
      <c r="G109" s="15" t="s">
        <v>520</v>
      </c>
      <c r="H109" s="15" t="s">
        <v>107</v>
      </c>
      <c r="I109" s="15" t="s">
        <v>459</v>
      </c>
      <c r="J109" s="15" t="n">
        <v>104</v>
      </c>
      <c r="K109" s="15" t="n">
        <v>104</v>
      </c>
      <c r="L109" s="15" t="n">
        <f aca="false">IF(OR(J109="",K109=""),"",MAX(J109-K109,0))</f>
        <v>0</v>
      </c>
      <c r="M109" s="15" t="s">
        <v>99</v>
      </c>
      <c r="N109" s="17" t="n">
        <v>1992</v>
      </c>
      <c r="O109" s="15" t="n">
        <f aca="false">IF(N109="","",Scoring!$B$4-N109)</f>
        <v>34</v>
      </c>
      <c r="P109" s="15" t="n">
        <f aca="false">IF(N109="","",N109+14)</f>
        <v>2006</v>
      </c>
      <c r="Q109" s="15" t="n">
        <f aca="false">IF(N109="","",IF(N109&lt;Scoring!$B$12,"n/a (pre-1990)",N109+Scoring!$B$13))</f>
        <v>2021</v>
      </c>
      <c r="R109" s="15" t="str">
        <f aca="false">IF(J109="","Unknown",IF(J109&gt;=5,"Yes","No (under 5 units)"))</f>
        <v>Yes</v>
      </c>
      <c r="S109" s="15"/>
      <c r="T109" s="18"/>
      <c r="U109" s="19"/>
      <c r="V109" s="18"/>
      <c r="W109" s="18"/>
      <c r="X109" s="20"/>
      <c r="Y109" s="18"/>
      <c r="Z109" s="18"/>
      <c r="AA109" s="21" t="n">
        <f aca="false">IF(U109&lt;&gt;"",(U109-Scoring!$B$3)/365.25,IF(N109="","",IF(N109&lt;Scoring!$B$12,"",(DATE(N109+Scoring!$B$13,12,31)-Scoring!$B$3)/365.25)))</f>
        <v>-4.75290896646133</v>
      </c>
      <c r="AB109" s="22" t="n">
        <f aca="false">IF(T109="Y",0,IF(OR(D109="Expired (verified)",D109="Expiring: notice window (verified)",D109="Expiring: 10-yr horizon (verified)",D109="Past 30-yr mark (verify)",D109="30-yr mark: notice window (est.)",D109="Year-15 window"),1,0)+IF(ISNUMBER(O109),IF(O109&gt;=Scoring!$B$10,1,0),0)+IF(AND(ISNUMBER(L109),ISNUMBER(J109)),IF(J109&gt;0,IF(L109/J109&gt;=Scoring!$B$11,1,0),0),0)+IF(ISNUMBER(Z109),MIN(Z109,3),0))</f>
        <v>2</v>
      </c>
      <c r="AC109" s="22" t="n">
        <f aca="false">IF(AB109&gt;=3,Scoring!$C$24,IF(AB109=2,Scoring!$C$23,IF(AB109=1,Scoring!$C$22,0)))</f>
        <v>18</v>
      </c>
      <c r="AD109" s="22" t="n">
        <f aca="false">IF(T109="Y",0,IF(ISNUMBER(X109),IF(X109&gt;0.7,Scoring!$C$25,IF(X109&gt;=0.5,Scoring!$C$26,IF(X109&gt;=0.3,Scoring!$C$27,Scoring!$C$28))),Scoring!$C$29))</f>
        <v>10</v>
      </c>
      <c r="AE109" s="22" t="n">
        <f aca="false">IF(D109="Expiring: notice window (verified)",Scoring!$C$30,IF(OR(D109="Expired (verified)",D109="30-yr mark: notice window (est.)",D109="Year-15 window"),Scoring!$C$31,IF(D109="Expiring: 10-yr horizon (verified)",Scoring!$C$32,IF(D109="Past 30-yr mark (verify)",Scoring!$C$33,IF(OR(D109="Credit period",D109="Superseded record"),Scoring!$C$35,Scoring!$C$34)))))</f>
        <v>8</v>
      </c>
      <c r="AF109" s="22" t="n">
        <f aca="false">IF(T109="Y",0,IF(ISNUMBER(V109),IF(Scoring!$B$4-V109&gt;15,Scoring!$C$36,IF(Scoring!$B$4-V109&gt;=10,Scoring!$C$37,IF(Scoring!$B$4-V109&gt;=5,Scoring!$C$38,Scoring!$C$39))),IF(OR(N109="",D109="Out of program"),Scoring!$C$40,IF(O109&gt;15,Scoring!$C$36,IF(O109&gt;=10,Scoring!$C$37,IF(O109&gt;=5,Scoring!$C$38,Scoring!$C$39))))))</f>
        <v>15</v>
      </c>
      <c r="AG109" s="22" t="n">
        <f aca="false">IF(T109="Y",0,IF(Y109="Y",Scoring!$C$41,IF(ISNUMBER(O109),IF(O109&gt;=25,Scoring!$C$42,IF(O109&gt;=15,Scoring!$C$43,Scoring!$C$44)),Scoring!$C$44)))</f>
        <v>8</v>
      </c>
      <c r="AH109" s="22" t="n">
        <f aca="false">IF(T109="Y",0,IF(W109="",Scoring!$C$49,IFERROR(VLOOKUP(W109,Scoring!$B$45:$C$48,2,FALSE()),Scoring!$C$49)))</f>
        <v>5</v>
      </c>
      <c r="AI109" s="23" t="n">
        <f aca="false">C109+IF(ISNUMBER(J109),J109,0)/100000+(10000-ROW())/1000000000</f>
        <v>64.001049891</v>
      </c>
      <c r="AJ109" s="18"/>
      <c r="AK109" s="18"/>
      <c r="AL109" s="18"/>
      <c r="AM109" s="18"/>
    </row>
    <row r="110" customFormat="false" ht="15" hidden="false" customHeight="false" outlineLevel="0" collapsed="false">
      <c r="A110" s="15" t="n">
        <f aca="false">RANK(AI110,$AI$2:$AI$755)</f>
        <v>109</v>
      </c>
      <c r="B110" s="16" t="str">
        <f aca="false">IF(T110="Y","Superseded",IF(C110&gt;=Scoring!$B$16,"Immediate",IF(C110&gt;=Scoring!$B$17,"This week",IF(C110&gt;=Scoring!$B$18,"Nurture","Low"))))</f>
        <v>This week</v>
      </c>
      <c r="C110" s="3" t="n">
        <f aca="false">SUM(AC110:AH110)</f>
        <v>64</v>
      </c>
      <c r="D110" s="15" t="str">
        <f aca="false">IF(T110="Y","Superseded record",IF(AND(U110&lt;&gt;"",AA110&lt;0),"Expired (verified)",IF(AND(U110&lt;&gt;"",AA110&lt;=Scoring!$B$5),"Expiring: notice window (verified)",IF(AND(U110&lt;&gt;"",AA110&lt;=Scoring!$B$6),"Expiring: 10-yr horizon (verified)",IF(M110="No Longer Monitored","Out of program",IF(N110="","Unknown vintage",IF(N110&lt;Scoring!$B$12,"Pre-1990, still listed",IF(AND(U110="",AA110&lt;0),"Past 30-yr mark (verify)",IF(AND(U110="",AA110&lt;=Scoring!$B$5),"30-yr mark: notice window (est.)",IF(AND(O110&gt;=Scoring!$B$7,O110&lt;=Scoring!$B$8),"Year-15 window",IF(O110&gt;=Scoring!$B$9,"Recap window",IF(O110&gt;=11,"Late compliance","Credit period"))))))))))))</f>
        <v>Past 30-yr mark (verify)</v>
      </c>
      <c r="E110" s="15" t="s">
        <v>521</v>
      </c>
      <c r="F110" s="15" t="s">
        <v>522</v>
      </c>
      <c r="G110" s="15" t="s">
        <v>523</v>
      </c>
      <c r="H110" s="15" t="s">
        <v>97</v>
      </c>
      <c r="I110" s="15" t="s">
        <v>160</v>
      </c>
      <c r="J110" s="15" t="n">
        <v>102</v>
      </c>
      <c r="K110" s="15" t="n">
        <v>102</v>
      </c>
      <c r="L110" s="15" t="n">
        <f aca="false">IF(OR(J110="",K110=""),"",MAX(J110-K110,0))</f>
        <v>0</v>
      </c>
      <c r="M110" s="15" t="s">
        <v>99</v>
      </c>
      <c r="N110" s="17" t="n">
        <v>1994</v>
      </c>
      <c r="O110" s="15" t="n">
        <f aca="false">IF(N110="","",Scoring!$B$4-N110)</f>
        <v>32</v>
      </c>
      <c r="P110" s="15" t="n">
        <f aca="false">IF(N110="","",N110+14)</f>
        <v>2008</v>
      </c>
      <c r="Q110" s="15" t="n">
        <f aca="false">IF(N110="","",IF(N110&lt;Scoring!$B$12,"n/a (pre-1990)",N110+Scoring!$B$13))</f>
        <v>2023</v>
      </c>
      <c r="R110" s="15" t="str">
        <f aca="false">IF(J110="","Unknown",IF(J110&gt;=5,"Yes","No (under 5 units)"))</f>
        <v>Yes</v>
      </c>
      <c r="S110" s="15"/>
      <c r="T110" s="18"/>
      <c r="U110" s="19"/>
      <c r="V110" s="18"/>
      <c r="W110" s="18"/>
      <c r="X110" s="20"/>
      <c r="Y110" s="18"/>
      <c r="Z110" s="18"/>
      <c r="AA110" s="21" t="n">
        <f aca="false">IF(U110&lt;&gt;"",(U110-Scoring!$B$3)/365.25,IF(N110="","",IF(N110&lt;Scoring!$B$12,"",(DATE(N110+Scoring!$B$13,12,31)-Scoring!$B$3)/365.25)))</f>
        <v>-2.75427789185489</v>
      </c>
      <c r="AB110" s="22" t="n">
        <f aca="false">IF(T110="Y",0,IF(OR(D110="Expired (verified)",D110="Expiring: notice window (verified)",D110="Expiring: 10-yr horizon (verified)",D110="Past 30-yr mark (verify)",D110="30-yr mark: notice window (est.)",D110="Year-15 window"),1,0)+IF(ISNUMBER(O110),IF(O110&gt;=Scoring!$B$10,1,0),0)+IF(AND(ISNUMBER(L110),ISNUMBER(J110)),IF(J110&gt;0,IF(L110/J110&gt;=Scoring!$B$11,1,0),0),0)+IF(ISNUMBER(Z110),MIN(Z110,3),0))</f>
        <v>2</v>
      </c>
      <c r="AC110" s="22" t="n">
        <f aca="false">IF(AB110&gt;=3,Scoring!$C$24,IF(AB110=2,Scoring!$C$23,IF(AB110=1,Scoring!$C$22,0)))</f>
        <v>18</v>
      </c>
      <c r="AD110" s="22" t="n">
        <f aca="false">IF(T110="Y",0,IF(ISNUMBER(X110),IF(X110&gt;0.7,Scoring!$C$25,IF(X110&gt;=0.5,Scoring!$C$26,IF(X110&gt;=0.3,Scoring!$C$27,Scoring!$C$28))),Scoring!$C$29))</f>
        <v>10</v>
      </c>
      <c r="AE110" s="22" t="n">
        <f aca="false">IF(D110="Expiring: notice window (verified)",Scoring!$C$30,IF(OR(D110="Expired (verified)",D110="30-yr mark: notice window (est.)",D110="Year-15 window"),Scoring!$C$31,IF(D110="Expiring: 10-yr horizon (verified)",Scoring!$C$32,IF(D110="Past 30-yr mark (verify)",Scoring!$C$33,IF(OR(D110="Credit period",D110="Superseded record"),Scoring!$C$35,Scoring!$C$34)))))</f>
        <v>8</v>
      </c>
      <c r="AF110" s="22" t="n">
        <f aca="false">IF(T110="Y",0,IF(ISNUMBER(V110),IF(Scoring!$B$4-V110&gt;15,Scoring!$C$36,IF(Scoring!$B$4-V110&gt;=10,Scoring!$C$37,IF(Scoring!$B$4-V110&gt;=5,Scoring!$C$38,Scoring!$C$39))),IF(OR(N110="",D110="Out of program"),Scoring!$C$40,IF(O110&gt;15,Scoring!$C$36,IF(O110&gt;=10,Scoring!$C$37,IF(O110&gt;=5,Scoring!$C$38,Scoring!$C$39))))))</f>
        <v>15</v>
      </c>
      <c r="AG110" s="22" t="n">
        <f aca="false">IF(T110="Y",0,IF(Y110="Y",Scoring!$C$41,IF(ISNUMBER(O110),IF(O110&gt;=25,Scoring!$C$42,IF(O110&gt;=15,Scoring!$C$43,Scoring!$C$44)),Scoring!$C$44)))</f>
        <v>8</v>
      </c>
      <c r="AH110" s="22" t="n">
        <f aca="false">IF(T110="Y",0,IF(W110="",Scoring!$C$49,IFERROR(VLOOKUP(W110,Scoring!$B$45:$C$48,2,FALSE()),Scoring!$C$49)))</f>
        <v>5</v>
      </c>
      <c r="AI110" s="23" t="n">
        <f aca="false">C110+IF(ISNUMBER(J110),J110,0)/100000+(10000-ROW())/1000000000</f>
        <v>64.00102989</v>
      </c>
      <c r="AJ110" s="18"/>
      <c r="AK110" s="18"/>
      <c r="AL110" s="18"/>
      <c r="AM110" s="18"/>
    </row>
    <row r="111" customFormat="false" ht="15" hidden="false" customHeight="false" outlineLevel="0" collapsed="false">
      <c r="A111" s="15" t="n">
        <f aca="false">RANK(AI111,$AI$2:$AI$755)</f>
        <v>110</v>
      </c>
      <c r="B111" s="16" t="str">
        <f aca="false">IF(T111="Y","Superseded",IF(C111&gt;=Scoring!$B$16,"Immediate",IF(C111&gt;=Scoring!$B$17,"This week",IF(C111&gt;=Scoring!$B$18,"Nurture","Low"))))</f>
        <v>This week</v>
      </c>
      <c r="C111" s="3" t="n">
        <f aca="false">SUM(AC111:AH111)</f>
        <v>64</v>
      </c>
      <c r="D111" s="15" t="str">
        <f aca="false">IF(T111="Y","Superseded record",IF(AND(U111&lt;&gt;"",AA111&lt;0),"Expired (verified)",IF(AND(U111&lt;&gt;"",AA111&lt;=Scoring!$B$5),"Expiring: notice window (verified)",IF(AND(U111&lt;&gt;"",AA111&lt;=Scoring!$B$6),"Expiring: 10-yr horizon (verified)",IF(M111="No Longer Monitored","Out of program",IF(N111="","Unknown vintage",IF(N111&lt;Scoring!$B$12,"Pre-1990, still listed",IF(AND(U111="",AA111&lt;0),"Past 30-yr mark (verify)",IF(AND(U111="",AA111&lt;=Scoring!$B$5),"30-yr mark: notice window (est.)",IF(AND(O111&gt;=Scoring!$B$7,O111&lt;=Scoring!$B$8),"Year-15 window",IF(O111&gt;=Scoring!$B$9,"Recap window",IF(O111&gt;=11,"Late compliance","Credit period"))))))))))))</f>
        <v>Past 30-yr mark (verify)</v>
      </c>
      <c r="E111" s="15" t="s">
        <v>524</v>
      </c>
      <c r="F111" s="15" t="s">
        <v>525</v>
      </c>
      <c r="G111" s="15" t="s">
        <v>526</v>
      </c>
      <c r="H111" s="15" t="s">
        <v>207</v>
      </c>
      <c r="I111" s="15" t="s">
        <v>208</v>
      </c>
      <c r="J111" s="15" t="n">
        <v>100</v>
      </c>
      <c r="K111" s="15" t="n">
        <v>100</v>
      </c>
      <c r="L111" s="15" t="n">
        <f aca="false">IF(OR(J111="",K111=""),"",MAX(J111-K111,0))</f>
        <v>0</v>
      </c>
      <c r="M111" s="15" t="s">
        <v>99</v>
      </c>
      <c r="N111" s="17" t="n">
        <v>1993</v>
      </c>
      <c r="O111" s="15" t="n">
        <f aca="false">IF(N111="","",Scoring!$B$4-N111)</f>
        <v>33</v>
      </c>
      <c r="P111" s="15" t="n">
        <f aca="false">IF(N111="","",N111+14)</f>
        <v>2007</v>
      </c>
      <c r="Q111" s="15" t="n">
        <f aca="false">IF(N111="","",IF(N111&lt;Scoring!$B$12,"n/a (pre-1990)",N111+Scoring!$B$13))</f>
        <v>2022</v>
      </c>
      <c r="R111" s="15" t="str">
        <f aca="false">IF(J111="","Unknown",IF(J111&gt;=5,"Yes","No (under 5 units)"))</f>
        <v>Yes</v>
      </c>
      <c r="S111" s="15"/>
      <c r="T111" s="18"/>
      <c r="U111" s="19"/>
      <c r="V111" s="18"/>
      <c r="W111" s="18"/>
      <c r="X111" s="20"/>
      <c r="Y111" s="18"/>
      <c r="Z111" s="18"/>
      <c r="AA111" s="21" t="n">
        <f aca="false">IF(U111&lt;&gt;"",(U111-Scoring!$B$3)/365.25,IF(N111="","",IF(N111&lt;Scoring!$B$12,"",(DATE(N111+Scoring!$B$13,12,31)-Scoring!$B$3)/365.25)))</f>
        <v>-3.75359342915811</v>
      </c>
      <c r="AB111" s="22" t="n">
        <f aca="false">IF(T111="Y",0,IF(OR(D111="Expired (verified)",D111="Expiring: notice window (verified)",D111="Expiring: 10-yr horizon (verified)",D111="Past 30-yr mark (verify)",D111="30-yr mark: notice window (est.)",D111="Year-15 window"),1,0)+IF(ISNUMBER(O111),IF(O111&gt;=Scoring!$B$10,1,0),0)+IF(AND(ISNUMBER(L111),ISNUMBER(J111)),IF(J111&gt;0,IF(L111/J111&gt;=Scoring!$B$11,1,0),0),0)+IF(ISNUMBER(Z111),MIN(Z111,3),0))</f>
        <v>2</v>
      </c>
      <c r="AC111" s="22" t="n">
        <f aca="false">IF(AB111&gt;=3,Scoring!$C$24,IF(AB111=2,Scoring!$C$23,IF(AB111=1,Scoring!$C$22,0)))</f>
        <v>18</v>
      </c>
      <c r="AD111" s="22" t="n">
        <f aca="false">IF(T111="Y",0,IF(ISNUMBER(X111),IF(X111&gt;0.7,Scoring!$C$25,IF(X111&gt;=0.5,Scoring!$C$26,IF(X111&gt;=0.3,Scoring!$C$27,Scoring!$C$28))),Scoring!$C$29))</f>
        <v>10</v>
      </c>
      <c r="AE111" s="22" t="n">
        <f aca="false">IF(D111="Expiring: notice window (verified)",Scoring!$C$30,IF(OR(D111="Expired (verified)",D111="30-yr mark: notice window (est.)",D111="Year-15 window"),Scoring!$C$31,IF(D111="Expiring: 10-yr horizon (verified)",Scoring!$C$32,IF(D111="Past 30-yr mark (verify)",Scoring!$C$33,IF(OR(D111="Credit period",D111="Superseded record"),Scoring!$C$35,Scoring!$C$34)))))</f>
        <v>8</v>
      </c>
      <c r="AF111" s="22" t="n">
        <f aca="false">IF(T111="Y",0,IF(ISNUMBER(V111),IF(Scoring!$B$4-V111&gt;15,Scoring!$C$36,IF(Scoring!$B$4-V111&gt;=10,Scoring!$C$37,IF(Scoring!$B$4-V111&gt;=5,Scoring!$C$38,Scoring!$C$39))),IF(OR(N111="",D111="Out of program"),Scoring!$C$40,IF(O111&gt;15,Scoring!$C$36,IF(O111&gt;=10,Scoring!$C$37,IF(O111&gt;=5,Scoring!$C$38,Scoring!$C$39))))))</f>
        <v>15</v>
      </c>
      <c r="AG111" s="22" t="n">
        <f aca="false">IF(T111="Y",0,IF(Y111="Y",Scoring!$C$41,IF(ISNUMBER(O111),IF(O111&gt;=25,Scoring!$C$42,IF(O111&gt;=15,Scoring!$C$43,Scoring!$C$44)),Scoring!$C$44)))</f>
        <v>8</v>
      </c>
      <c r="AH111" s="22" t="n">
        <f aca="false">IF(T111="Y",0,IF(W111="",Scoring!$C$49,IFERROR(VLOOKUP(W111,Scoring!$B$45:$C$48,2,FALSE()),Scoring!$C$49)))</f>
        <v>5</v>
      </c>
      <c r="AI111" s="23" t="n">
        <f aca="false">C111+IF(ISNUMBER(J111),J111,0)/100000+(10000-ROW())/1000000000</f>
        <v>64.001009889</v>
      </c>
      <c r="AJ111" s="18"/>
      <c r="AK111" s="18"/>
      <c r="AL111" s="18"/>
      <c r="AM111" s="18"/>
    </row>
    <row r="112" customFormat="false" ht="15" hidden="false" customHeight="false" outlineLevel="0" collapsed="false">
      <c r="A112" s="15" t="n">
        <f aca="false">RANK(AI112,$AI$2:$AI$755)</f>
        <v>111</v>
      </c>
      <c r="B112" s="16" t="str">
        <f aca="false">IF(T112="Y","Superseded",IF(C112&gt;=Scoring!$B$16,"Immediate",IF(C112&gt;=Scoring!$B$17,"This week",IF(C112&gt;=Scoring!$B$18,"Nurture","Low"))))</f>
        <v>This week</v>
      </c>
      <c r="C112" s="3" t="n">
        <f aca="false">SUM(AC112:AH112)</f>
        <v>64</v>
      </c>
      <c r="D112" s="15" t="str">
        <f aca="false">IF(T112="Y","Superseded record",IF(AND(U112&lt;&gt;"",AA112&lt;0),"Expired (verified)",IF(AND(U112&lt;&gt;"",AA112&lt;=Scoring!$B$5),"Expiring: notice window (verified)",IF(AND(U112&lt;&gt;"",AA112&lt;=Scoring!$B$6),"Expiring: 10-yr horizon (verified)",IF(M112="No Longer Monitored","Out of program",IF(N112="","Unknown vintage",IF(N112&lt;Scoring!$B$12,"Pre-1990, still listed",IF(AND(U112="",AA112&lt;0),"Past 30-yr mark (verify)",IF(AND(U112="",AA112&lt;=Scoring!$B$5),"30-yr mark: notice window (est.)",IF(AND(O112&gt;=Scoring!$B$7,O112&lt;=Scoring!$B$8),"Year-15 window",IF(O112&gt;=Scoring!$B$9,"Recap window",IF(O112&gt;=11,"Late compliance","Credit period"))))))))))))</f>
        <v>Past 30-yr mark (verify)</v>
      </c>
      <c r="E112" s="15" t="s">
        <v>527</v>
      </c>
      <c r="F112" s="15" t="s">
        <v>528</v>
      </c>
      <c r="G112" s="15" t="s">
        <v>529</v>
      </c>
      <c r="H112" s="15" t="s">
        <v>97</v>
      </c>
      <c r="I112" s="15" t="s">
        <v>160</v>
      </c>
      <c r="J112" s="15" t="n">
        <v>95</v>
      </c>
      <c r="K112" s="15" t="n">
        <v>95</v>
      </c>
      <c r="L112" s="15" t="n">
        <f aca="false">IF(OR(J112="",K112=""),"",MAX(J112-K112,0))</f>
        <v>0</v>
      </c>
      <c r="M112" s="15" t="s">
        <v>99</v>
      </c>
      <c r="N112" s="17" t="n">
        <v>1992</v>
      </c>
      <c r="O112" s="15" t="n">
        <f aca="false">IF(N112="","",Scoring!$B$4-N112)</f>
        <v>34</v>
      </c>
      <c r="P112" s="15" t="n">
        <f aca="false">IF(N112="","",N112+14)</f>
        <v>2006</v>
      </c>
      <c r="Q112" s="15" t="n">
        <f aca="false">IF(N112="","",IF(N112&lt;Scoring!$B$12,"n/a (pre-1990)",N112+Scoring!$B$13))</f>
        <v>2021</v>
      </c>
      <c r="R112" s="15" t="str">
        <f aca="false">IF(J112="","Unknown",IF(J112&gt;=5,"Yes","No (under 5 units)"))</f>
        <v>Yes</v>
      </c>
      <c r="S112" s="15"/>
      <c r="T112" s="18"/>
      <c r="U112" s="19"/>
      <c r="V112" s="18"/>
      <c r="W112" s="18"/>
      <c r="X112" s="20"/>
      <c r="Y112" s="18"/>
      <c r="Z112" s="18"/>
      <c r="AA112" s="21" t="n">
        <f aca="false">IF(U112&lt;&gt;"",(U112-Scoring!$B$3)/365.25,IF(N112="","",IF(N112&lt;Scoring!$B$12,"",(DATE(N112+Scoring!$B$13,12,31)-Scoring!$B$3)/365.25)))</f>
        <v>-4.75290896646133</v>
      </c>
      <c r="AB112" s="22" t="n">
        <f aca="false">IF(T112="Y",0,IF(OR(D112="Expired (verified)",D112="Expiring: notice window (verified)",D112="Expiring: 10-yr horizon (verified)",D112="Past 30-yr mark (verify)",D112="30-yr mark: notice window (est.)",D112="Year-15 window"),1,0)+IF(ISNUMBER(O112),IF(O112&gt;=Scoring!$B$10,1,0),0)+IF(AND(ISNUMBER(L112),ISNUMBER(J112)),IF(J112&gt;0,IF(L112/J112&gt;=Scoring!$B$11,1,0),0),0)+IF(ISNUMBER(Z112),MIN(Z112,3),0))</f>
        <v>2</v>
      </c>
      <c r="AC112" s="22" t="n">
        <f aca="false">IF(AB112&gt;=3,Scoring!$C$24,IF(AB112=2,Scoring!$C$23,IF(AB112=1,Scoring!$C$22,0)))</f>
        <v>18</v>
      </c>
      <c r="AD112" s="22" t="n">
        <f aca="false">IF(T112="Y",0,IF(ISNUMBER(X112),IF(X112&gt;0.7,Scoring!$C$25,IF(X112&gt;=0.5,Scoring!$C$26,IF(X112&gt;=0.3,Scoring!$C$27,Scoring!$C$28))),Scoring!$C$29))</f>
        <v>10</v>
      </c>
      <c r="AE112" s="22" t="n">
        <f aca="false">IF(D112="Expiring: notice window (verified)",Scoring!$C$30,IF(OR(D112="Expired (verified)",D112="30-yr mark: notice window (est.)",D112="Year-15 window"),Scoring!$C$31,IF(D112="Expiring: 10-yr horizon (verified)",Scoring!$C$32,IF(D112="Past 30-yr mark (verify)",Scoring!$C$33,IF(OR(D112="Credit period",D112="Superseded record"),Scoring!$C$35,Scoring!$C$34)))))</f>
        <v>8</v>
      </c>
      <c r="AF112" s="22" t="n">
        <f aca="false">IF(T112="Y",0,IF(ISNUMBER(V112),IF(Scoring!$B$4-V112&gt;15,Scoring!$C$36,IF(Scoring!$B$4-V112&gt;=10,Scoring!$C$37,IF(Scoring!$B$4-V112&gt;=5,Scoring!$C$38,Scoring!$C$39))),IF(OR(N112="",D112="Out of program"),Scoring!$C$40,IF(O112&gt;15,Scoring!$C$36,IF(O112&gt;=10,Scoring!$C$37,IF(O112&gt;=5,Scoring!$C$38,Scoring!$C$39))))))</f>
        <v>15</v>
      </c>
      <c r="AG112" s="22" t="n">
        <f aca="false">IF(T112="Y",0,IF(Y112="Y",Scoring!$C$41,IF(ISNUMBER(O112),IF(O112&gt;=25,Scoring!$C$42,IF(O112&gt;=15,Scoring!$C$43,Scoring!$C$44)),Scoring!$C$44)))</f>
        <v>8</v>
      </c>
      <c r="AH112" s="22" t="n">
        <f aca="false">IF(T112="Y",0,IF(W112="",Scoring!$C$49,IFERROR(VLOOKUP(W112,Scoring!$B$45:$C$48,2,FALSE()),Scoring!$C$49)))</f>
        <v>5</v>
      </c>
      <c r="AI112" s="23" t="n">
        <f aca="false">C112+IF(ISNUMBER(J112),J112,0)/100000+(10000-ROW())/1000000000</f>
        <v>64.000959888</v>
      </c>
      <c r="AJ112" s="18"/>
      <c r="AK112" s="18"/>
      <c r="AL112" s="18"/>
      <c r="AM112" s="18"/>
    </row>
    <row r="113" customFormat="false" ht="15" hidden="false" customHeight="false" outlineLevel="0" collapsed="false">
      <c r="A113" s="15" t="n">
        <f aca="false">RANK(AI113,$AI$2:$AI$755)</f>
        <v>112</v>
      </c>
      <c r="B113" s="16" t="str">
        <f aca="false">IF(T113="Y","Superseded",IF(C113&gt;=Scoring!$B$16,"Immediate",IF(C113&gt;=Scoring!$B$17,"This week",IF(C113&gt;=Scoring!$B$18,"Nurture","Low"))))</f>
        <v>This week</v>
      </c>
      <c r="C113" s="3" t="n">
        <f aca="false">SUM(AC113:AH113)</f>
        <v>64</v>
      </c>
      <c r="D113" s="15" t="str">
        <f aca="false">IF(T113="Y","Superseded record",IF(AND(U113&lt;&gt;"",AA113&lt;0),"Expired (verified)",IF(AND(U113&lt;&gt;"",AA113&lt;=Scoring!$B$5),"Expiring: notice window (verified)",IF(AND(U113&lt;&gt;"",AA113&lt;=Scoring!$B$6),"Expiring: 10-yr horizon (verified)",IF(M113="No Longer Monitored","Out of program",IF(N113="","Unknown vintage",IF(N113&lt;Scoring!$B$12,"Pre-1990, still listed",IF(AND(U113="",AA113&lt;0),"Past 30-yr mark (verify)",IF(AND(U113="",AA113&lt;=Scoring!$B$5),"30-yr mark: notice window (est.)",IF(AND(O113&gt;=Scoring!$B$7,O113&lt;=Scoring!$B$8),"Year-15 window",IF(O113&gt;=Scoring!$B$9,"Recap window",IF(O113&gt;=11,"Late compliance","Credit period"))))))))))))</f>
        <v>Past 30-yr mark (verify)</v>
      </c>
      <c r="E113" s="15" t="s">
        <v>530</v>
      </c>
      <c r="F113" s="15" t="s">
        <v>531</v>
      </c>
      <c r="G113" s="15" t="s">
        <v>532</v>
      </c>
      <c r="H113" s="15" t="s">
        <v>97</v>
      </c>
      <c r="I113" s="15" t="s">
        <v>98</v>
      </c>
      <c r="J113" s="15" t="n">
        <v>92</v>
      </c>
      <c r="K113" s="15" t="n">
        <v>92</v>
      </c>
      <c r="L113" s="15" t="n">
        <f aca="false">IF(OR(J113="",K113=""),"",MAX(J113-K113,0))</f>
        <v>0</v>
      </c>
      <c r="M113" s="15" t="s">
        <v>99</v>
      </c>
      <c r="N113" s="17" t="n">
        <v>1995</v>
      </c>
      <c r="O113" s="15" t="n">
        <f aca="false">IF(N113="","",Scoring!$B$4-N113)</f>
        <v>31</v>
      </c>
      <c r="P113" s="15" t="n">
        <f aca="false">IF(N113="","",N113+14)</f>
        <v>2009</v>
      </c>
      <c r="Q113" s="15" t="n">
        <f aca="false">IF(N113="","",IF(N113&lt;Scoring!$B$12,"n/a (pre-1990)",N113+Scoring!$B$13))</f>
        <v>2024</v>
      </c>
      <c r="R113" s="15" t="str">
        <f aca="false">IF(J113="","Unknown",IF(J113&gt;=5,"Yes","No (under 5 units)"))</f>
        <v>Yes</v>
      </c>
      <c r="S113" s="15"/>
      <c r="T113" s="18"/>
      <c r="U113" s="19"/>
      <c r="V113" s="18"/>
      <c r="W113" s="18"/>
      <c r="X113" s="20"/>
      <c r="Y113" s="18"/>
      <c r="Z113" s="18"/>
      <c r="AA113" s="21" t="n">
        <f aca="false">IF(U113&lt;&gt;"",(U113-Scoring!$B$3)/365.25,IF(N113="","",IF(N113&lt;Scoring!$B$12,"",(DATE(N113+Scoring!$B$13,12,31)-Scoring!$B$3)/365.25)))</f>
        <v>-1.75222450376454</v>
      </c>
      <c r="AB113" s="22" t="n">
        <f aca="false">IF(T113="Y",0,IF(OR(D113="Expired (verified)",D113="Expiring: notice window (verified)",D113="Expiring: 10-yr horizon (verified)",D113="Past 30-yr mark (verify)",D113="30-yr mark: notice window (est.)",D113="Year-15 window"),1,0)+IF(ISNUMBER(O113),IF(O113&gt;=Scoring!$B$10,1,0),0)+IF(AND(ISNUMBER(L113),ISNUMBER(J113)),IF(J113&gt;0,IF(L113/J113&gt;=Scoring!$B$11,1,0),0),0)+IF(ISNUMBER(Z113),MIN(Z113,3),0))</f>
        <v>2</v>
      </c>
      <c r="AC113" s="22" t="n">
        <f aca="false">IF(AB113&gt;=3,Scoring!$C$24,IF(AB113=2,Scoring!$C$23,IF(AB113=1,Scoring!$C$22,0)))</f>
        <v>18</v>
      </c>
      <c r="AD113" s="22" t="n">
        <f aca="false">IF(T113="Y",0,IF(ISNUMBER(X113),IF(X113&gt;0.7,Scoring!$C$25,IF(X113&gt;=0.5,Scoring!$C$26,IF(X113&gt;=0.3,Scoring!$C$27,Scoring!$C$28))),Scoring!$C$29))</f>
        <v>10</v>
      </c>
      <c r="AE113" s="22" t="n">
        <f aca="false">IF(D113="Expiring: notice window (verified)",Scoring!$C$30,IF(OR(D113="Expired (verified)",D113="30-yr mark: notice window (est.)",D113="Year-15 window"),Scoring!$C$31,IF(D113="Expiring: 10-yr horizon (verified)",Scoring!$C$32,IF(D113="Past 30-yr mark (verify)",Scoring!$C$33,IF(OR(D113="Credit period",D113="Superseded record"),Scoring!$C$35,Scoring!$C$34)))))</f>
        <v>8</v>
      </c>
      <c r="AF113" s="22" t="n">
        <f aca="false">IF(T113="Y",0,IF(ISNUMBER(V113),IF(Scoring!$B$4-V113&gt;15,Scoring!$C$36,IF(Scoring!$B$4-V113&gt;=10,Scoring!$C$37,IF(Scoring!$B$4-V113&gt;=5,Scoring!$C$38,Scoring!$C$39))),IF(OR(N113="",D113="Out of program"),Scoring!$C$40,IF(O113&gt;15,Scoring!$C$36,IF(O113&gt;=10,Scoring!$C$37,IF(O113&gt;=5,Scoring!$C$38,Scoring!$C$39))))))</f>
        <v>15</v>
      </c>
      <c r="AG113" s="22" t="n">
        <f aca="false">IF(T113="Y",0,IF(Y113="Y",Scoring!$C$41,IF(ISNUMBER(O113),IF(O113&gt;=25,Scoring!$C$42,IF(O113&gt;=15,Scoring!$C$43,Scoring!$C$44)),Scoring!$C$44)))</f>
        <v>8</v>
      </c>
      <c r="AH113" s="22" t="n">
        <f aca="false">IF(T113="Y",0,IF(W113="",Scoring!$C$49,IFERROR(VLOOKUP(W113,Scoring!$B$45:$C$48,2,FALSE()),Scoring!$C$49)))</f>
        <v>5</v>
      </c>
      <c r="AI113" s="23" t="n">
        <f aca="false">C113+IF(ISNUMBER(J113),J113,0)/100000+(10000-ROW())/1000000000</f>
        <v>64.000929887</v>
      </c>
      <c r="AJ113" s="18"/>
      <c r="AK113" s="18"/>
      <c r="AL113" s="18"/>
      <c r="AM113" s="18"/>
    </row>
    <row r="114" customFormat="false" ht="15" hidden="false" customHeight="false" outlineLevel="0" collapsed="false">
      <c r="A114" s="15" t="n">
        <f aca="false">RANK(AI114,$AI$2:$AI$755)</f>
        <v>113</v>
      </c>
      <c r="B114" s="16" t="str">
        <f aca="false">IF(T114="Y","Superseded",IF(C114&gt;=Scoring!$B$16,"Immediate",IF(C114&gt;=Scoring!$B$17,"This week",IF(C114&gt;=Scoring!$B$18,"Nurture","Low"))))</f>
        <v>This week</v>
      </c>
      <c r="C114" s="3" t="n">
        <f aca="false">SUM(AC114:AH114)</f>
        <v>64</v>
      </c>
      <c r="D114" s="15" t="str">
        <f aca="false">IF(T114="Y","Superseded record",IF(AND(U114&lt;&gt;"",AA114&lt;0),"Expired (verified)",IF(AND(U114&lt;&gt;"",AA114&lt;=Scoring!$B$5),"Expiring: notice window (verified)",IF(AND(U114&lt;&gt;"",AA114&lt;=Scoring!$B$6),"Expiring: 10-yr horizon (verified)",IF(M114="No Longer Monitored","Out of program",IF(N114="","Unknown vintage",IF(N114&lt;Scoring!$B$12,"Pre-1990, still listed",IF(AND(U114="",AA114&lt;0),"Past 30-yr mark (verify)",IF(AND(U114="",AA114&lt;=Scoring!$B$5),"30-yr mark: notice window (est.)",IF(AND(O114&gt;=Scoring!$B$7,O114&lt;=Scoring!$B$8),"Year-15 window",IF(O114&gt;=Scoring!$B$9,"Recap window",IF(O114&gt;=11,"Late compliance","Credit period"))))))))))))</f>
        <v>Past 30-yr mark (verify)</v>
      </c>
      <c r="E114" s="15" t="s">
        <v>533</v>
      </c>
      <c r="F114" s="15" t="s">
        <v>534</v>
      </c>
      <c r="G114" s="15" t="s">
        <v>535</v>
      </c>
      <c r="H114" s="15" t="s">
        <v>536</v>
      </c>
      <c r="I114" s="15" t="s">
        <v>537</v>
      </c>
      <c r="J114" s="15" t="n">
        <v>82</v>
      </c>
      <c r="K114" s="15" t="n">
        <v>82</v>
      </c>
      <c r="L114" s="15" t="n">
        <f aca="false">IF(OR(J114="",K114=""),"",MAX(J114-K114,0))</f>
        <v>0</v>
      </c>
      <c r="M114" s="15" t="s">
        <v>99</v>
      </c>
      <c r="N114" s="17" t="n">
        <v>1996</v>
      </c>
      <c r="O114" s="15" t="n">
        <f aca="false">IF(N114="","",Scoring!$B$4-N114)</f>
        <v>30</v>
      </c>
      <c r="P114" s="15" t="n">
        <f aca="false">IF(N114="","",N114+14)</f>
        <v>2010</v>
      </c>
      <c r="Q114" s="15" t="n">
        <f aca="false">IF(N114="","",IF(N114&lt;Scoring!$B$12,"n/a (pre-1990)",N114+Scoring!$B$13))</f>
        <v>2025</v>
      </c>
      <c r="R114" s="15" t="str">
        <f aca="false">IF(J114="","Unknown",IF(J114&gt;=5,"Yes","No (under 5 units)"))</f>
        <v>Yes</v>
      </c>
      <c r="S114" s="15"/>
      <c r="T114" s="18"/>
      <c r="U114" s="19"/>
      <c r="V114" s="18"/>
      <c r="W114" s="18"/>
      <c r="X114" s="20"/>
      <c r="Y114" s="18"/>
      <c r="Z114" s="18"/>
      <c r="AA114" s="21" t="n">
        <f aca="false">IF(U114&lt;&gt;"",(U114-Scoring!$B$3)/365.25,IF(N114="","",IF(N114&lt;Scoring!$B$12,"",(DATE(N114+Scoring!$B$13,12,31)-Scoring!$B$3)/365.25)))</f>
        <v>-0.752908966461328</v>
      </c>
      <c r="AB114" s="22" t="n">
        <f aca="false">IF(T114="Y",0,IF(OR(D114="Expired (verified)",D114="Expiring: notice window (verified)",D114="Expiring: 10-yr horizon (verified)",D114="Past 30-yr mark (verify)",D114="30-yr mark: notice window (est.)",D114="Year-15 window"),1,0)+IF(ISNUMBER(O114),IF(O114&gt;=Scoring!$B$10,1,0),0)+IF(AND(ISNUMBER(L114),ISNUMBER(J114)),IF(J114&gt;0,IF(L114/J114&gt;=Scoring!$B$11,1,0),0),0)+IF(ISNUMBER(Z114),MIN(Z114,3),0))</f>
        <v>2</v>
      </c>
      <c r="AC114" s="22" t="n">
        <f aca="false">IF(AB114&gt;=3,Scoring!$C$24,IF(AB114=2,Scoring!$C$23,IF(AB114=1,Scoring!$C$22,0)))</f>
        <v>18</v>
      </c>
      <c r="AD114" s="22" t="n">
        <f aca="false">IF(T114="Y",0,IF(ISNUMBER(X114),IF(X114&gt;0.7,Scoring!$C$25,IF(X114&gt;=0.5,Scoring!$C$26,IF(X114&gt;=0.3,Scoring!$C$27,Scoring!$C$28))),Scoring!$C$29))</f>
        <v>10</v>
      </c>
      <c r="AE114" s="22" t="n">
        <f aca="false">IF(D114="Expiring: notice window (verified)",Scoring!$C$30,IF(OR(D114="Expired (verified)",D114="30-yr mark: notice window (est.)",D114="Year-15 window"),Scoring!$C$31,IF(D114="Expiring: 10-yr horizon (verified)",Scoring!$C$32,IF(D114="Past 30-yr mark (verify)",Scoring!$C$33,IF(OR(D114="Credit period",D114="Superseded record"),Scoring!$C$35,Scoring!$C$34)))))</f>
        <v>8</v>
      </c>
      <c r="AF114" s="22" t="n">
        <f aca="false">IF(T114="Y",0,IF(ISNUMBER(V114),IF(Scoring!$B$4-V114&gt;15,Scoring!$C$36,IF(Scoring!$B$4-V114&gt;=10,Scoring!$C$37,IF(Scoring!$B$4-V114&gt;=5,Scoring!$C$38,Scoring!$C$39))),IF(OR(N114="",D114="Out of program"),Scoring!$C$40,IF(O114&gt;15,Scoring!$C$36,IF(O114&gt;=10,Scoring!$C$37,IF(O114&gt;=5,Scoring!$C$38,Scoring!$C$39))))))</f>
        <v>15</v>
      </c>
      <c r="AG114" s="22" t="n">
        <f aca="false">IF(T114="Y",0,IF(Y114="Y",Scoring!$C$41,IF(ISNUMBER(O114),IF(O114&gt;=25,Scoring!$C$42,IF(O114&gt;=15,Scoring!$C$43,Scoring!$C$44)),Scoring!$C$44)))</f>
        <v>8</v>
      </c>
      <c r="AH114" s="22" t="n">
        <f aca="false">IF(T114="Y",0,IF(W114="",Scoring!$C$49,IFERROR(VLOOKUP(W114,Scoring!$B$45:$C$48,2,FALSE()),Scoring!$C$49)))</f>
        <v>5</v>
      </c>
      <c r="AI114" s="23" t="n">
        <f aca="false">C114+IF(ISNUMBER(J114),J114,0)/100000+(10000-ROW())/1000000000</f>
        <v>64.000829886</v>
      </c>
      <c r="AJ114" s="18"/>
      <c r="AK114" s="18"/>
      <c r="AL114" s="18"/>
      <c r="AM114" s="18"/>
    </row>
    <row r="115" customFormat="false" ht="15" hidden="false" customHeight="false" outlineLevel="0" collapsed="false">
      <c r="A115" s="15" t="n">
        <f aca="false">RANK(AI115,$AI$2:$AI$755)</f>
        <v>114</v>
      </c>
      <c r="B115" s="16" t="str">
        <f aca="false">IF(T115="Y","Superseded",IF(C115&gt;=Scoring!$B$16,"Immediate",IF(C115&gt;=Scoring!$B$17,"This week",IF(C115&gt;=Scoring!$B$18,"Nurture","Low"))))</f>
        <v>This week</v>
      </c>
      <c r="C115" s="3" t="n">
        <f aca="false">SUM(AC115:AH115)</f>
        <v>64</v>
      </c>
      <c r="D115" s="15" t="str">
        <f aca="false">IF(T115="Y","Superseded record",IF(AND(U115&lt;&gt;"",AA115&lt;0),"Expired (verified)",IF(AND(U115&lt;&gt;"",AA115&lt;=Scoring!$B$5),"Expiring: notice window (verified)",IF(AND(U115&lt;&gt;"",AA115&lt;=Scoring!$B$6),"Expiring: 10-yr horizon (verified)",IF(M115="No Longer Monitored","Out of program",IF(N115="","Unknown vintage",IF(N115&lt;Scoring!$B$12,"Pre-1990, still listed",IF(AND(U115="",AA115&lt;0),"Past 30-yr mark (verify)",IF(AND(U115="",AA115&lt;=Scoring!$B$5),"30-yr mark: notice window (est.)",IF(AND(O115&gt;=Scoring!$B$7,O115&lt;=Scoring!$B$8),"Year-15 window",IF(O115&gt;=Scoring!$B$9,"Recap window",IF(O115&gt;=11,"Late compliance","Credit period"))))))))))))</f>
        <v>Past 30-yr mark (verify)</v>
      </c>
      <c r="E115" s="15" t="s">
        <v>538</v>
      </c>
      <c r="F115" s="15" t="s">
        <v>539</v>
      </c>
      <c r="G115" s="15" t="s">
        <v>540</v>
      </c>
      <c r="H115" s="15" t="s">
        <v>541</v>
      </c>
      <c r="I115" s="15" t="s">
        <v>542</v>
      </c>
      <c r="J115" s="15" t="n">
        <v>80</v>
      </c>
      <c r="K115" s="15" t="n">
        <v>80</v>
      </c>
      <c r="L115" s="15" t="n">
        <f aca="false">IF(OR(J115="",K115=""),"",MAX(J115-K115,0))</f>
        <v>0</v>
      </c>
      <c r="M115" s="15" t="s">
        <v>99</v>
      </c>
      <c r="N115" s="17" t="n">
        <v>1995</v>
      </c>
      <c r="O115" s="15" t="n">
        <f aca="false">IF(N115="","",Scoring!$B$4-N115)</f>
        <v>31</v>
      </c>
      <c r="P115" s="15" t="n">
        <f aca="false">IF(N115="","",N115+14)</f>
        <v>2009</v>
      </c>
      <c r="Q115" s="15" t="n">
        <f aca="false">IF(N115="","",IF(N115&lt;Scoring!$B$12,"n/a (pre-1990)",N115+Scoring!$B$13))</f>
        <v>2024</v>
      </c>
      <c r="R115" s="15" t="str">
        <f aca="false">IF(J115="","Unknown",IF(J115&gt;=5,"Yes","No (under 5 units)"))</f>
        <v>Yes</v>
      </c>
      <c r="S115" s="15"/>
      <c r="T115" s="18"/>
      <c r="U115" s="19"/>
      <c r="V115" s="18"/>
      <c r="W115" s="18"/>
      <c r="X115" s="20"/>
      <c r="Y115" s="18"/>
      <c r="Z115" s="18"/>
      <c r="AA115" s="21" t="n">
        <f aca="false">IF(U115&lt;&gt;"",(U115-Scoring!$B$3)/365.25,IF(N115="","",IF(N115&lt;Scoring!$B$12,"",(DATE(N115+Scoring!$B$13,12,31)-Scoring!$B$3)/365.25)))</f>
        <v>-1.75222450376454</v>
      </c>
      <c r="AB115" s="22" t="n">
        <f aca="false">IF(T115="Y",0,IF(OR(D115="Expired (verified)",D115="Expiring: notice window (verified)",D115="Expiring: 10-yr horizon (verified)",D115="Past 30-yr mark (verify)",D115="30-yr mark: notice window (est.)",D115="Year-15 window"),1,0)+IF(ISNUMBER(O115),IF(O115&gt;=Scoring!$B$10,1,0),0)+IF(AND(ISNUMBER(L115),ISNUMBER(J115)),IF(J115&gt;0,IF(L115/J115&gt;=Scoring!$B$11,1,0),0),0)+IF(ISNUMBER(Z115),MIN(Z115,3),0))</f>
        <v>2</v>
      </c>
      <c r="AC115" s="22" t="n">
        <f aca="false">IF(AB115&gt;=3,Scoring!$C$24,IF(AB115=2,Scoring!$C$23,IF(AB115=1,Scoring!$C$22,0)))</f>
        <v>18</v>
      </c>
      <c r="AD115" s="22" t="n">
        <f aca="false">IF(T115="Y",0,IF(ISNUMBER(X115),IF(X115&gt;0.7,Scoring!$C$25,IF(X115&gt;=0.5,Scoring!$C$26,IF(X115&gt;=0.3,Scoring!$C$27,Scoring!$C$28))),Scoring!$C$29))</f>
        <v>10</v>
      </c>
      <c r="AE115" s="22" t="n">
        <f aca="false">IF(D115="Expiring: notice window (verified)",Scoring!$C$30,IF(OR(D115="Expired (verified)",D115="30-yr mark: notice window (est.)",D115="Year-15 window"),Scoring!$C$31,IF(D115="Expiring: 10-yr horizon (verified)",Scoring!$C$32,IF(D115="Past 30-yr mark (verify)",Scoring!$C$33,IF(OR(D115="Credit period",D115="Superseded record"),Scoring!$C$35,Scoring!$C$34)))))</f>
        <v>8</v>
      </c>
      <c r="AF115" s="22" t="n">
        <f aca="false">IF(T115="Y",0,IF(ISNUMBER(V115),IF(Scoring!$B$4-V115&gt;15,Scoring!$C$36,IF(Scoring!$B$4-V115&gt;=10,Scoring!$C$37,IF(Scoring!$B$4-V115&gt;=5,Scoring!$C$38,Scoring!$C$39))),IF(OR(N115="",D115="Out of program"),Scoring!$C$40,IF(O115&gt;15,Scoring!$C$36,IF(O115&gt;=10,Scoring!$C$37,IF(O115&gt;=5,Scoring!$C$38,Scoring!$C$39))))))</f>
        <v>15</v>
      </c>
      <c r="AG115" s="22" t="n">
        <f aca="false">IF(T115="Y",0,IF(Y115="Y",Scoring!$C$41,IF(ISNUMBER(O115),IF(O115&gt;=25,Scoring!$C$42,IF(O115&gt;=15,Scoring!$C$43,Scoring!$C$44)),Scoring!$C$44)))</f>
        <v>8</v>
      </c>
      <c r="AH115" s="22" t="n">
        <f aca="false">IF(T115="Y",0,IF(W115="",Scoring!$C$49,IFERROR(VLOOKUP(W115,Scoring!$B$45:$C$48,2,FALSE()),Scoring!$C$49)))</f>
        <v>5</v>
      </c>
      <c r="AI115" s="23" t="n">
        <f aca="false">C115+IF(ISNUMBER(J115),J115,0)/100000+(10000-ROW())/1000000000</f>
        <v>64.000809885</v>
      </c>
      <c r="AJ115" s="18"/>
      <c r="AK115" s="18"/>
      <c r="AL115" s="18"/>
      <c r="AM115" s="18"/>
    </row>
    <row r="116" customFormat="false" ht="15" hidden="false" customHeight="false" outlineLevel="0" collapsed="false">
      <c r="A116" s="15" t="n">
        <f aca="false">RANK(AI116,$AI$2:$AI$755)</f>
        <v>115</v>
      </c>
      <c r="B116" s="16" t="str">
        <f aca="false">IF(T116="Y","Superseded",IF(C116&gt;=Scoring!$B$16,"Immediate",IF(C116&gt;=Scoring!$B$17,"This week",IF(C116&gt;=Scoring!$B$18,"Nurture","Low"))))</f>
        <v>This week</v>
      </c>
      <c r="C116" s="3" t="n">
        <f aca="false">SUM(AC116:AH116)</f>
        <v>64</v>
      </c>
      <c r="D116" s="15" t="str">
        <f aca="false">IF(T116="Y","Superseded record",IF(AND(U116&lt;&gt;"",AA116&lt;0),"Expired (verified)",IF(AND(U116&lt;&gt;"",AA116&lt;=Scoring!$B$5),"Expiring: notice window (verified)",IF(AND(U116&lt;&gt;"",AA116&lt;=Scoring!$B$6),"Expiring: 10-yr horizon (verified)",IF(M116="No Longer Monitored","Out of program",IF(N116="","Unknown vintage",IF(N116&lt;Scoring!$B$12,"Pre-1990, still listed",IF(AND(U116="",AA116&lt;0),"Past 30-yr mark (verify)",IF(AND(U116="",AA116&lt;=Scoring!$B$5),"30-yr mark: notice window (est.)",IF(AND(O116&gt;=Scoring!$B$7,O116&lt;=Scoring!$B$8),"Year-15 window",IF(O116&gt;=Scoring!$B$9,"Recap window",IF(O116&gt;=11,"Late compliance","Credit period"))))))))))))</f>
        <v>Past 30-yr mark (verify)</v>
      </c>
      <c r="E116" s="15" t="s">
        <v>543</v>
      </c>
      <c r="F116" s="15" t="s">
        <v>544</v>
      </c>
      <c r="G116" s="15" t="s">
        <v>545</v>
      </c>
      <c r="H116" s="15" t="s">
        <v>423</v>
      </c>
      <c r="I116" s="15" t="s">
        <v>424</v>
      </c>
      <c r="J116" s="15" t="n">
        <v>79</v>
      </c>
      <c r="K116" s="15" t="n">
        <v>79</v>
      </c>
      <c r="L116" s="15" t="n">
        <f aca="false">IF(OR(J116="",K116=""),"",MAX(J116-K116,0))</f>
        <v>0</v>
      </c>
      <c r="M116" s="15" t="s">
        <v>99</v>
      </c>
      <c r="N116" s="17" t="n">
        <v>1995</v>
      </c>
      <c r="O116" s="15" t="n">
        <f aca="false">IF(N116="","",Scoring!$B$4-N116)</f>
        <v>31</v>
      </c>
      <c r="P116" s="15" t="n">
        <f aca="false">IF(N116="","",N116+14)</f>
        <v>2009</v>
      </c>
      <c r="Q116" s="15" t="n">
        <f aca="false">IF(N116="","",IF(N116&lt;Scoring!$B$12,"n/a (pre-1990)",N116+Scoring!$B$13))</f>
        <v>2024</v>
      </c>
      <c r="R116" s="15" t="str">
        <f aca="false">IF(J116="","Unknown",IF(J116&gt;=5,"Yes","No (under 5 units)"))</f>
        <v>Yes</v>
      </c>
      <c r="S116" s="15"/>
      <c r="T116" s="18"/>
      <c r="U116" s="19"/>
      <c r="V116" s="18"/>
      <c r="W116" s="18"/>
      <c r="X116" s="20"/>
      <c r="Y116" s="18"/>
      <c r="Z116" s="18"/>
      <c r="AA116" s="21" t="n">
        <f aca="false">IF(U116&lt;&gt;"",(U116-Scoring!$B$3)/365.25,IF(N116="","",IF(N116&lt;Scoring!$B$12,"",(DATE(N116+Scoring!$B$13,12,31)-Scoring!$B$3)/365.25)))</f>
        <v>-1.75222450376454</v>
      </c>
      <c r="AB116" s="22" t="n">
        <f aca="false">IF(T116="Y",0,IF(OR(D116="Expired (verified)",D116="Expiring: notice window (verified)",D116="Expiring: 10-yr horizon (verified)",D116="Past 30-yr mark (verify)",D116="30-yr mark: notice window (est.)",D116="Year-15 window"),1,0)+IF(ISNUMBER(O116),IF(O116&gt;=Scoring!$B$10,1,0),0)+IF(AND(ISNUMBER(L116),ISNUMBER(J116)),IF(J116&gt;0,IF(L116/J116&gt;=Scoring!$B$11,1,0),0),0)+IF(ISNUMBER(Z116),MIN(Z116,3),0))</f>
        <v>2</v>
      </c>
      <c r="AC116" s="22" t="n">
        <f aca="false">IF(AB116&gt;=3,Scoring!$C$24,IF(AB116=2,Scoring!$C$23,IF(AB116=1,Scoring!$C$22,0)))</f>
        <v>18</v>
      </c>
      <c r="AD116" s="22" t="n">
        <f aca="false">IF(T116="Y",0,IF(ISNUMBER(X116),IF(X116&gt;0.7,Scoring!$C$25,IF(X116&gt;=0.5,Scoring!$C$26,IF(X116&gt;=0.3,Scoring!$C$27,Scoring!$C$28))),Scoring!$C$29))</f>
        <v>10</v>
      </c>
      <c r="AE116" s="22" t="n">
        <f aca="false">IF(D116="Expiring: notice window (verified)",Scoring!$C$30,IF(OR(D116="Expired (verified)",D116="30-yr mark: notice window (est.)",D116="Year-15 window"),Scoring!$C$31,IF(D116="Expiring: 10-yr horizon (verified)",Scoring!$C$32,IF(D116="Past 30-yr mark (verify)",Scoring!$C$33,IF(OR(D116="Credit period",D116="Superseded record"),Scoring!$C$35,Scoring!$C$34)))))</f>
        <v>8</v>
      </c>
      <c r="AF116" s="22" t="n">
        <f aca="false">IF(T116="Y",0,IF(ISNUMBER(V116),IF(Scoring!$B$4-V116&gt;15,Scoring!$C$36,IF(Scoring!$B$4-V116&gt;=10,Scoring!$C$37,IF(Scoring!$B$4-V116&gt;=5,Scoring!$C$38,Scoring!$C$39))),IF(OR(N116="",D116="Out of program"),Scoring!$C$40,IF(O116&gt;15,Scoring!$C$36,IF(O116&gt;=10,Scoring!$C$37,IF(O116&gt;=5,Scoring!$C$38,Scoring!$C$39))))))</f>
        <v>15</v>
      </c>
      <c r="AG116" s="22" t="n">
        <f aca="false">IF(T116="Y",0,IF(Y116="Y",Scoring!$C$41,IF(ISNUMBER(O116),IF(O116&gt;=25,Scoring!$C$42,IF(O116&gt;=15,Scoring!$C$43,Scoring!$C$44)),Scoring!$C$44)))</f>
        <v>8</v>
      </c>
      <c r="AH116" s="22" t="n">
        <f aca="false">IF(T116="Y",0,IF(W116="",Scoring!$C$49,IFERROR(VLOOKUP(W116,Scoring!$B$45:$C$48,2,FALSE()),Scoring!$C$49)))</f>
        <v>5</v>
      </c>
      <c r="AI116" s="23" t="n">
        <f aca="false">C116+IF(ISNUMBER(J116),J116,0)/100000+(10000-ROW())/1000000000</f>
        <v>64.000799884</v>
      </c>
      <c r="AJ116" s="18"/>
      <c r="AK116" s="18"/>
      <c r="AL116" s="18"/>
      <c r="AM116" s="18"/>
    </row>
    <row r="117" customFormat="false" ht="15" hidden="false" customHeight="false" outlineLevel="0" collapsed="false">
      <c r="A117" s="15" t="n">
        <f aca="false">RANK(AI117,$AI$2:$AI$755)</f>
        <v>116</v>
      </c>
      <c r="B117" s="16" t="str">
        <f aca="false">IF(T117="Y","Superseded",IF(C117&gt;=Scoring!$B$16,"Immediate",IF(C117&gt;=Scoring!$B$17,"This week",IF(C117&gt;=Scoring!$B$18,"Nurture","Low"))))</f>
        <v>This week</v>
      </c>
      <c r="C117" s="3" t="n">
        <f aca="false">SUM(AC117:AH117)</f>
        <v>64</v>
      </c>
      <c r="D117" s="15" t="str">
        <f aca="false">IF(T117="Y","Superseded record",IF(AND(U117&lt;&gt;"",AA117&lt;0),"Expired (verified)",IF(AND(U117&lt;&gt;"",AA117&lt;=Scoring!$B$5),"Expiring: notice window (verified)",IF(AND(U117&lt;&gt;"",AA117&lt;=Scoring!$B$6),"Expiring: 10-yr horizon (verified)",IF(M117="No Longer Monitored","Out of program",IF(N117="","Unknown vintage",IF(N117&lt;Scoring!$B$12,"Pre-1990, still listed",IF(AND(U117="",AA117&lt;0),"Past 30-yr mark (verify)",IF(AND(U117="",AA117&lt;=Scoring!$B$5),"30-yr mark: notice window (est.)",IF(AND(O117&gt;=Scoring!$B$7,O117&lt;=Scoring!$B$8),"Year-15 window",IF(O117&gt;=Scoring!$B$9,"Recap window",IF(O117&gt;=11,"Late compliance","Credit period"))))))))))))</f>
        <v>Past 30-yr mark (verify)</v>
      </c>
      <c r="E117" s="15" t="s">
        <v>546</v>
      </c>
      <c r="F117" s="15" t="s">
        <v>547</v>
      </c>
      <c r="G117" s="15" t="s">
        <v>548</v>
      </c>
      <c r="H117" s="15" t="s">
        <v>536</v>
      </c>
      <c r="I117" s="15" t="s">
        <v>549</v>
      </c>
      <c r="J117" s="15" t="n">
        <v>74</v>
      </c>
      <c r="K117" s="15" t="n">
        <v>74</v>
      </c>
      <c r="L117" s="15" t="n">
        <f aca="false">IF(OR(J117="",K117=""),"",MAX(J117-K117,0))</f>
        <v>0</v>
      </c>
      <c r="M117" s="15" t="s">
        <v>99</v>
      </c>
      <c r="N117" s="17" t="n">
        <v>1990</v>
      </c>
      <c r="O117" s="15" t="n">
        <f aca="false">IF(N117="","",Scoring!$B$4-N117)</f>
        <v>36</v>
      </c>
      <c r="P117" s="15" t="n">
        <f aca="false">IF(N117="","",N117+14)</f>
        <v>2004</v>
      </c>
      <c r="Q117" s="15" t="n">
        <f aca="false">IF(N117="","",IF(N117&lt;Scoring!$B$12,"n/a (pre-1990)",N117+Scoring!$B$13))</f>
        <v>2019</v>
      </c>
      <c r="R117" s="15" t="str">
        <f aca="false">IF(J117="","Unknown",IF(J117&gt;=5,"Yes","No (under 5 units)"))</f>
        <v>Yes</v>
      </c>
      <c r="S117" s="15"/>
      <c r="T117" s="18"/>
      <c r="U117" s="19"/>
      <c r="V117" s="18"/>
      <c r="W117" s="18"/>
      <c r="X117" s="20"/>
      <c r="Y117" s="18"/>
      <c r="Z117" s="18"/>
      <c r="AA117" s="21" t="n">
        <f aca="false">IF(U117&lt;&gt;"",(U117-Scoring!$B$3)/365.25,IF(N117="","",IF(N117&lt;Scoring!$B$12,"",(DATE(N117+Scoring!$B$13,12,31)-Scoring!$B$3)/365.25)))</f>
        <v>-6.75427789185489</v>
      </c>
      <c r="AB117" s="22" t="n">
        <f aca="false">IF(T117="Y",0,IF(OR(D117="Expired (verified)",D117="Expiring: notice window (verified)",D117="Expiring: 10-yr horizon (verified)",D117="Past 30-yr mark (verify)",D117="30-yr mark: notice window (est.)",D117="Year-15 window"),1,0)+IF(ISNUMBER(O117),IF(O117&gt;=Scoring!$B$10,1,0),0)+IF(AND(ISNUMBER(L117),ISNUMBER(J117)),IF(J117&gt;0,IF(L117/J117&gt;=Scoring!$B$11,1,0),0),0)+IF(ISNUMBER(Z117),MIN(Z117,3),0))</f>
        <v>2</v>
      </c>
      <c r="AC117" s="22" t="n">
        <f aca="false">IF(AB117&gt;=3,Scoring!$C$24,IF(AB117=2,Scoring!$C$23,IF(AB117=1,Scoring!$C$22,0)))</f>
        <v>18</v>
      </c>
      <c r="AD117" s="22" t="n">
        <f aca="false">IF(T117="Y",0,IF(ISNUMBER(X117),IF(X117&gt;0.7,Scoring!$C$25,IF(X117&gt;=0.5,Scoring!$C$26,IF(X117&gt;=0.3,Scoring!$C$27,Scoring!$C$28))),Scoring!$C$29))</f>
        <v>10</v>
      </c>
      <c r="AE117" s="22" t="n">
        <f aca="false">IF(D117="Expiring: notice window (verified)",Scoring!$C$30,IF(OR(D117="Expired (verified)",D117="30-yr mark: notice window (est.)",D117="Year-15 window"),Scoring!$C$31,IF(D117="Expiring: 10-yr horizon (verified)",Scoring!$C$32,IF(D117="Past 30-yr mark (verify)",Scoring!$C$33,IF(OR(D117="Credit period",D117="Superseded record"),Scoring!$C$35,Scoring!$C$34)))))</f>
        <v>8</v>
      </c>
      <c r="AF117" s="22" t="n">
        <f aca="false">IF(T117="Y",0,IF(ISNUMBER(V117),IF(Scoring!$B$4-V117&gt;15,Scoring!$C$36,IF(Scoring!$B$4-V117&gt;=10,Scoring!$C$37,IF(Scoring!$B$4-V117&gt;=5,Scoring!$C$38,Scoring!$C$39))),IF(OR(N117="",D117="Out of program"),Scoring!$C$40,IF(O117&gt;15,Scoring!$C$36,IF(O117&gt;=10,Scoring!$C$37,IF(O117&gt;=5,Scoring!$C$38,Scoring!$C$39))))))</f>
        <v>15</v>
      </c>
      <c r="AG117" s="22" t="n">
        <f aca="false">IF(T117="Y",0,IF(Y117="Y",Scoring!$C$41,IF(ISNUMBER(O117),IF(O117&gt;=25,Scoring!$C$42,IF(O117&gt;=15,Scoring!$C$43,Scoring!$C$44)),Scoring!$C$44)))</f>
        <v>8</v>
      </c>
      <c r="AH117" s="22" t="n">
        <f aca="false">IF(T117="Y",0,IF(W117="",Scoring!$C$49,IFERROR(VLOOKUP(W117,Scoring!$B$45:$C$48,2,FALSE()),Scoring!$C$49)))</f>
        <v>5</v>
      </c>
      <c r="AI117" s="23" t="n">
        <f aca="false">C117+IF(ISNUMBER(J117),J117,0)/100000+(10000-ROW())/1000000000</f>
        <v>64.000749883</v>
      </c>
      <c r="AJ117" s="18"/>
      <c r="AK117" s="18"/>
      <c r="AL117" s="18"/>
      <c r="AM117" s="18"/>
    </row>
    <row r="118" customFormat="false" ht="15" hidden="false" customHeight="false" outlineLevel="0" collapsed="false">
      <c r="A118" s="15" t="n">
        <f aca="false">RANK(AI118,$AI$2:$AI$755)</f>
        <v>117</v>
      </c>
      <c r="B118" s="16" t="str">
        <f aca="false">IF(T118="Y","Superseded",IF(C118&gt;=Scoring!$B$16,"Immediate",IF(C118&gt;=Scoring!$B$17,"This week",IF(C118&gt;=Scoring!$B$18,"Nurture","Low"))))</f>
        <v>This week</v>
      </c>
      <c r="C118" s="3" t="n">
        <f aca="false">SUM(AC118:AH118)</f>
        <v>64</v>
      </c>
      <c r="D118" s="15" t="str">
        <f aca="false">IF(T118="Y","Superseded record",IF(AND(U118&lt;&gt;"",AA118&lt;0),"Expired (verified)",IF(AND(U118&lt;&gt;"",AA118&lt;=Scoring!$B$5),"Expiring: notice window (verified)",IF(AND(U118&lt;&gt;"",AA118&lt;=Scoring!$B$6),"Expiring: 10-yr horizon (verified)",IF(M118="No Longer Monitored","Out of program",IF(N118="","Unknown vintage",IF(N118&lt;Scoring!$B$12,"Pre-1990, still listed",IF(AND(U118="",AA118&lt;0),"Past 30-yr mark (verify)",IF(AND(U118="",AA118&lt;=Scoring!$B$5),"30-yr mark: notice window (est.)",IF(AND(O118&gt;=Scoring!$B$7,O118&lt;=Scoring!$B$8),"Year-15 window",IF(O118&gt;=Scoring!$B$9,"Recap window",IF(O118&gt;=11,"Late compliance","Credit period"))))))))))))</f>
        <v>Past 30-yr mark (verify)</v>
      </c>
      <c r="E118" s="15" t="s">
        <v>550</v>
      </c>
      <c r="F118" s="15" t="s">
        <v>551</v>
      </c>
      <c r="G118" s="15" t="s">
        <v>552</v>
      </c>
      <c r="H118" s="15" t="s">
        <v>553</v>
      </c>
      <c r="I118" s="15" t="s">
        <v>554</v>
      </c>
      <c r="J118" s="15" t="n">
        <v>74</v>
      </c>
      <c r="K118" s="15" t="n">
        <v>74</v>
      </c>
      <c r="L118" s="15" t="n">
        <f aca="false">IF(OR(J118="",K118=""),"",MAX(J118-K118,0))</f>
        <v>0</v>
      </c>
      <c r="M118" s="15" t="s">
        <v>99</v>
      </c>
      <c r="N118" s="17" t="n">
        <v>1994</v>
      </c>
      <c r="O118" s="15" t="n">
        <f aca="false">IF(N118="","",Scoring!$B$4-N118)</f>
        <v>32</v>
      </c>
      <c r="P118" s="15" t="n">
        <f aca="false">IF(N118="","",N118+14)</f>
        <v>2008</v>
      </c>
      <c r="Q118" s="15" t="n">
        <f aca="false">IF(N118="","",IF(N118&lt;Scoring!$B$12,"n/a (pre-1990)",N118+Scoring!$B$13))</f>
        <v>2023</v>
      </c>
      <c r="R118" s="15" t="str">
        <f aca="false">IF(J118="","Unknown",IF(J118&gt;=5,"Yes","No (under 5 units)"))</f>
        <v>Yes</v>
      </c>
      <c r="S118" s="15"/>
      <c r="T118" s="18"/>
      <c r="U118" s="19"/>
      <c r="V118" s="18"/>
      <c r="W118" s="18"/>
      <c r="X118" s="20"/>
      <c r="Y118" s="18"/>
      <c r="Z118" s="18"/>
      <c r="AA118" s="21" t="n">
        <f aca="false">IF(U118&lt;&gt;"",(U118-Scoring!$B$3)/365.25,IF(N118="","",IF(N118&lt;Scoring!$B$12,"",(DATE(N118+Scoring!$B$13,12,31)-Scoring!$B$3)/365.25)))</f>
        <v>-2.75427789185489</v>
      </c>
      <c r="AB118" s="22" t="n">
        <f aca="false">IF(T118="Y",0,IF(OR(D118="Expired (verified)",D118="Expiring: notice window (verified)",D118="Expiring: 10-yr horizon (verified)",D118="Past 30-yr mark (verify)",D118="30-yr mark: notice window (est.)",D118="Year-15 window"),1,0)+IF(ISNUMBER(O118),IF(O118&gt;=Scoring!$B$10,1,0),0)+IF(AND(ISNUMBER(L118),ISNUMBER(J118)),IF(J118&gt;0,IF(L118/J118&gt;=Scoring!$B$11,1,0),0),0)+IF(ISNUMBER(Z118),MIN(Z118,3),0))</f>
        <v>2</v>
      </c>
      <c r="AC118" s="22" t="n">
        <f aca="false">IF(AB118&gt;=3,Scoring!$C$24,IF(AB118=2,Scoring!$C$23,IF(AB118=1,Scoring!$C$22,0)))</f>
        <v>18</v>
      </c>
      <c r="AD118" s="22" t="n">
        <f aca="false">IF(T118="Y",0,IF(ISNUMBER(X118),IF(X118&gt;0.7,Scoring!$C$25,IF(X118&gt;=0.5,Scoring!$C$26,IF(X118&gt;=0.3,Scoring!$C$27,Scoring!$C$28))),Scoring!$C$29))</f>
        <v>10</v>
      </c>
      <c r="AE118" s="22" t="n">
        <f aca="false">IF(D118="Expiring: notice window (verified)",Scoring!$C$30,IF(OR(D118="Expired (verified)",D118="30-yr mark: notice window (est.)",D118="Year-15 window"),Scoring!$C$31,IF(D118="Expiring: 10-yr horizon (verified)",Scoring!$C$32,IF(D118="Past 30-yr mark (verify)",Scoring!$C$33,IF(OR(D118="Credit period",D118="Superseded record"),Scoring!$C$35,Scoring!$C$34)))))</f>
        <v>8</v>
      </c>
      <c r="AF118" s="22" t="n">
        <f aca="false">IF(T118="Y",0,IF(ISNUMBER(V118),IF(Scoring!$B$4-V118&gt;15,Scoring!$C$36,IF(Scoring!$B$4-V118&gt;=10,Scoring!$C$37,IF(Scoring!$B$4-V118&gt;=5,Scoring!$C$38,Scoring!$C$39))),IF(OR(N118="",D118="Out of program"),Scoring!$C$40,IF(O118&gt;15,Scoring!$C$36,IF(O118&gt;=10,Scoring!$C$37,IF(O118&gt;=5,Scoring!$C$38,Scoring!$C$39))))))</f>
        <v>15</v>
      </c>
      <c r="AG118" s="22" t="n">
        <f aca="false">IF(T118="Y",0,IF(Y118="Y",Scoring!$C$41,IF(ISNUMBER(O118),IF(O118&gt;=25,Scoring!$C$42,IF(O118&gt;=15,Scoring!$C$43,Scoring!$C$44)),Scoring!$C$44)))</f>
        <v>8</v>
      </c>
      <c r="AH118" s="22" t="n">
        <f aca="false">IF(T118="Y",0,IF(W118="",Scoring!$C$49,IFERROR(VLOOKUP(W118,Scoring!$B$45:$C$48,2,FALSE()),Scoring!$C$49)))</f>
        <v>5</v>
      </c>
      <c r="AI118" s="23" t="n">
        <f aca="false">C118+IF(ISNUMBER(J118),J118,0)/100000+(10000-ROW())/1000000000</f>
        <v>64.000749882</v>
      </c>
      <c r="AJ118" s="18"/>
      <c r="AK118" s="18"/>
      <c r="AL118" s="18"/>
      <c r="AM118" s="18"/>
    </row>
    <row r="119" customFormat="false" ht="15" hidden="false" customHeight="false" outlineLevel="0" collapsed="false">
      <c r="A119" s="15" t="n">
        <f aca="false">RANK(AI119,$AI$2:$AI$755)</f>
        <v>118</v>
      </c>
      <c r="B119" s="16" t="str">
        <f aca="false">IF(T119="Y","Superseded",IF(C119&gt;=Scoring!$B$16,"Immediate",IF(C119&gt;=Scoring!$B$17,"This week",IF(C119&gt;=Scoring!$B$18,"Nurture","Low"))))</f>
        <v>This week</v>
      </c>
      <c r="C119" s="3" t="n">
        <f aca="false">SUM(AC119:AH119)</f>
        <v>64</v>
      </c>
      <c r="D119" s="15" t="str">
        <f aca="false">IF(T119="Y","Superseded record",IF(AND(U119&lt;&gt;"",AA119&lt;0),"Expired (verified)",IF(AND(U119&lt;&gt;"",AA119&lt;=Scoring!$B$5),"Expiring: notice window (verified)",IF(AND(U119&lt;&gt;"",AA119&lt;=Scoring!$B$6),"Expiring: 10-yr horizon (verified)",IF(M119="No Longer Monitored","Out of program",IF(N119="","Unknown vintage",IF(N119&lt;Scoring!$B$12,"Pre-1990, still listed",IF(AND(U119="",AA119&lt;0),"Past 30-yr mark (verify)",IF(AND(U119="",AA119&lt;=Scoring!$B$5),"30-yr mark: notice window (est.)",IF(AND(O119&gt;=Scoring!$B$7,O119&lt;=Scoring!$B$8),"Year-15 window",IF(O119&gt;=Scoring!$B$9,"Recap window",IF(O119&gt;=11,"Late compliance","Credit period"))))))))))))</f>
        <v>Past 30-yr mark (verify)</v>
      </c>
      <c r="E119" s="15" t="s">
        <v>555</v>
      </c>
      <c r="F119" s="15" t="s">
        <v>556</v>
      </c>
      <c r="G119" s="15" t="s">
        <v>557</v>
      </c>
      <c r="H119" s="15" t="s">
        <v>146</v>
      </c>
      <c r="I119" s="15" t="s">
        <v>558</v>
      </c>
      <c r="J119" s="15" t="n">
        <v>71</v>
      </c>
      <c r="K119" s="15"/>
      <c r="L119" s="15" t="str">
        <f aca="false">IF(OR(J119="",K119=""),"",MAX(J119-K119,0))</f>
        <v/>
      </c>
      <c r="M119" s="15" t="s">
        <v>99</v>
      </c>
      <c r="N119" s="17" t="n">
        <v>1991</v>
      </c>
      <c r="O119" s="15" t="n">
        <f aca="false">IF(N119="","",Scoring!$B$4-N119)</f>
        <v>35</v>
      </c>
      <c r="P119" s="15" t="n">
        <f aca="false">IF(N119="","",N119+14)</f>
        <v>2005</v>
      </c>
      <c r="Q119" s="15" t="n">
        <f aca="false">IF(N119="","",IF(N119&lt;Scoring!$B$12,"n/a (pre-1990)",N119+Scoring!$B$13))</f>
        <v>2020</v>
      </c>
      <c r="R119" s="15" t="str">
        <f aca="false">IF(J119="","Unknown",IF(J119&gt;=5,"Yes","No (under 5 units)"))</f>
        <v>Yes</v>
      </c>
      <c r="S119" s="15"/>
      <c r="T119" s="18"/>
      <c r="U119" s="19"/>
      <c r="V119" s="18"/>
      <c r="W119" s="18"/>
      <c r="X119" s="20"/>
      <c r="Y119" s="18"/>
      <c r="Z119" s="18"/>
      <c r="AA119" s="21" t="n">
        <f aca="false">IF(U119&lt;&gt;"",(U119-Scoring!$B$3)/365.25,IF(N119="","",IF(N119&lt;Scoring!$B$12,"",(DATE(N119+Scoring!$B$13,12,31)-Scoring!$B$3)/365.25)))</f>
        <v>-5.75222450376455</v>
      </c>
      <c r="AB119" s="22" t="n">
        <f aca="false">IF(T119="Y",0,IF(OR(D119="Expired (verified)",D119="Expiring: notice window (verified)",D119="Expiring: 10-yr horizon (verified)",D119="Past 30-yr mark (verify)",D119="30-yr mark: notice window (est.)",D119="Year-15 window"),1,0)+IF(ISNUMBER(O119),IF(O119&gt;=Scoring!$B$10,1,0),0)+IF(AND(ISNUMBER(L119),ISNUMBER(J119)),IF(J119&gt;0,IF(L119/J119&gt;=Scoring!$B$11,1,0),0),0)+IF(ISNUMBER(Z119),MIN(Z119,3),0))</f>
        <v>2</v>
      </c>
      <c r="AC119" s="22" t="n">
        <f aca="false">IF(AB119&gt;=3,Scoring!$C$24,IF(AB119=2,Scoring!$C$23,IF(AB119=1,Scoring!$C$22,0)))</f>
        <v>18</v>
      </c>
      <c r="AD119" s="22" t="n">
        <f aca="false">IF(T119="Y",0,IF(ISNUMBER(X119),IF(X119&gt;0.7,Scoring!$C$25,IF(X119&gt;=0.5,Scoring!$C$26,IF(X119&gt;=0.3,Scoring!$C$27,Scoring!$C$28))),Scoring!$C$29))</f>
        <v>10</v>
      </c>
      <c r="AE119" s="22" t="n">
        <f aca="false">IF(D119="Expiring: notice window (verified)",Scoring!$C$30,IF(OR(D119="Expired (verified)",D119="30-yr mark: notice window (est.)",D119="Year-15 window"),Scoring!$C$31,IF(D119="Expiring: 10-yr horizon (verified)",Scoring!$C$32,IF(D119="Past 30-yr mark (verify)",Scoring!$C$33,IF(OR(D119="Credit period",D119="Superseded record"),Scoring!$C$35,Scoring!$C$34)))))</f>
        <v>8</v>
      </c>
      <c r="AF119" s="22" t="n">
        <f aca="false">IF(T119="Y",0,IF(ISNUMBER(V119),IF(Scoring!$B$4-V119&gt;15,Scoring!$C$36,IF(Scoring!$B$4-V119&gt;=10,Scoring!$C$37,IF(Scoring!$B$4-V119&gt;=5,Scoring!$C$38,Scoring!$C$39))),IF(OR(N119="",D119="Out of program"),Scoring!$C$40,IF(O119&gt;15,Scoring!$C$36,IF(O119&gt;=10,Scoring!$C$37,IF(O119&gt;=5,Scoring!$C$38,Scoring!$C$39))))))</f>
        <v>15</v>
      </c>
      <c r="AG119" s="22" t="n">
        <f aca="false">IF(T119="Y",0,IF(Y119="Y",Scoring!$C$41,IF(ISNUMBER(O119),IF(O119&gt;=25,Scoring!$C$42,IF(O119&gt;=15,Scoring!$C$43,Scoring!$C$44)),Scoring!$C$44)))</f>
        <v>8</v>
      </c>
      <c r="AH119" s="22" t="n">
        <f aca="false">IF(T119="Y",0,IF(W119="",Scoring!$C$49,IFERROR(VLOOKUP(W119,Scoring!$B$45:$C$48,2,FALSE()),Scoring!$C$49)))</f>
        <v>5</v>
      </c>
      <c r="AI119" s="23" t="n">
        <f aca="false">C119+IF(ISNUMBER(J119),J119,0)/100000+(10000-ROW())/1000000000</f>
        <v>64.000719881</v>
      </c>
      <c r="AJ119" s="18"/>
      <c r="AK119" s="18"/>
      <c r="AL119" s="18"/>
      <c r="AM119" s="18"/>
    </row>
    <row r="120" customFormat="false" ht="15" hidden="false" customHeight="false" outlineLevel="0" collapsed="false">
      <c r="A120" s="15" t="n">
        <f aca="false">RANK(AI120,$AI$2:$AI$755)</f>
        <v>119</v>
      </c>
      <c r="B120" s="16" t="str">
        <f aca="false">IF(T120="Y","Superseded",IF(C120&gt;=Scoring!$B$16,"Immediate",IF(C120&gt;=Scoring!$B$17,"This week",IF(C120&gt;=Scoring!$B$18,"Nurture","Low"))))</f>
        <v>This week</v>
      </c>
      <c r="C120" s="3" t="n">
        <f aca="false">SUM(AC120:AH120)</f>
        <v>64</v>
      </c>
      <c r="D120" s="15" t="str">
        <f aca="false">IF(T120="Y","Superseded record",IF(AND(U120&lt;&gt;"",AA120&lt;0),"Expired (verified)",IF(AND(U120&lt;&gt;"",AA120&lt;=Scoring!$B$5),"Expiring: notice window (verified)",IF(AND(U120&lt;&gt;"",AA120&lt;=Scoring!$B$6),"Expiring: 10-yr horizon (verified)",IF(M120="No Longer Monitored","Out of program",IF(N120="","Unknown vintage",IF(N120&lt;Scoring!$B$12,"Pre-1990, still listed",IF(AND(U120="",AA120&lt;0),"Past 30-yr mark (verify)",IF(AND(U120="",AA120&lt;=Scoring!$B$5),"30-yr mark: notice window (est.)",IF(AND(O120&gt;=Scoring!$B$7,O120&lt;=Scoring!$B$8),"Year-15 window",IF(O120&gt;=Scoring!$B$9,"Recap window",IF(O120&gt;=11,"Late compliance","Credit period"))))))))))))</f>
        <v>Past 30-yr mark (verify)</v>
      </c>
      <c r="E120" s="15" t="s">
        <v>559</v>
      </c>
      <c r="F120" s="15" t="s">
        <v>560</v>
      </c>
      <c r="G120" s="15" t="s">
        <v>561</v>
      </c>
      <c r="H120" s="15" t="s">
        <v>97</v>
      </c>
      <c r="I120" s="15" t="s">
        <v>160</v>
      </c>
      <c r="J120" s="15" t="n">
        <v>63</v>
      </c>
      <c r="K120" s="15" t="n">
        <v>62</v>
      </c>
      <c r="L120" s="15" t="n">
        <f aca="false">IF(OR(J120="",K120=""),"",MAX(J120-K120,0))</f>
        <v>1</v>
      </c>
      <c r="M120" s="15" t="s">
        <v>99</v>
      </c>
      <c r="N120" s="17" t="n">
        <v>1992</v>
      </c>
      <c r="O120" s="15" t="n">
        <f aca="false">IF(N120="","",Scoring!$B$4-N120)</f>
        <v>34</v>
      </c>
      <c r="P120" s="15" t="n">
        <f aca="false">IF(N120="","",N120+14)</f>
        <v>2006</v>
      </c>
      <c r="Q120" s="15" t="n">
        <f aca="false">IF(N120="","",IF(N120&lt;Scoring!$B$12,"n/a (pre-1990)",N120+Scoring!$B$13))</f>
        <v>2021</v>
      </c>
      <c r="R120" s="15" t="str">
        <f aca="false">IF(J120="","Unknown",IF(J120&gt;=5,"Yes","No (under 5 units)"))</f>
        <v>Yes</v>
      </c>
      <c r="S120" s="15"/>
      <c r="T120" s="18"/>
      <c r="U120" s="19"/>
      <c r="V120" s="18"/>
      <c r="W120" s="18"/>
      <c r="X120" s="20"/>
      <c r="Y120" s="18"/>
      <c r="Z120" s="18"/>
      <c r="AA120" s="21" t="n">
        <f aca="false">IF(U120&lt;&gt;"",(U120-Scoring!$B$3)/365.25,IF(N120="","",IF(N120&lt;Scoring!$B$12,"",(DATE(N120+Scoring!$B$13,12,31)-Scoring!$B$3)/365.25)))</f>
        <v>-4.75290896646133</v>
      </c>
      <c r="AB120" s="22" t="n">
        <f aca="false">IF(T120="Y",0,IF(OR(D120="Expired (verified)",D120="Expiring: notice window (verified)",D120="Expiring: 10-yr horizon (verified)",D120="Past 30-yr mark (verify)",D120="30-yr mark: notice window (est.)",D120="Year-15 window"),1,0)+IF(ISNUMBER(O120),IF(O120&gt;=Scoring!$B$10,1,0),0)+IF(AND(ISNUMBER(L120),ISNUMBER(J120)),IF(J120&gt;0,IF(L120/J120&gt;=Scoring!$B$11,1,0),0),0)+IF(ISNUMBER(Z120),MIN(Z120,3),0))</f>
        <v>2</v>
      </c>
      <c r="AC120" s="22" t="n">
        <f aca="false">IF(AB120&gt;=3,Scoring!$C$24,IF(AB120=2,Scoring!$C$23,IF(AB120=1,Scoring!$C$22,0)))</f>
        <v>18</v>
      </c>
      <c r="AD120" s="22" t="n">
        <f aca="false">IF(T120="Y",0,IF(ISNUMBER(X120),IF(X120&gt;0.7,Scoring!$C$25,IF(X120&gt;=0.5,Scoring!$C$26,IF(X120&gt;=0.3,Scoring!$C$27,Scoring!$C$28))),Scoring!$C$29))</f>
        <v>10</v>
      </c>
      <c r="AE120" s="22" t="n">
        <f aca="false">IF(D120="Expiring: notice window (verified)",Scoring!$C$30,IF(OR(D120="Expired (verified)",D120="30-yr mark: notice window (est.)",D120="Year-15 window"),Scoring!$C$31,IF(D120="Expiring: 10-yr horizon (verified)",Scoring!$C$32,IF(D120="Past 30-yr mark (verify)",Scoring!$C$33,IF(OR(D120="Credit period",D120="Superseded record"),Scoring!$C$35,Scoring!$C$34)))))</f>
        <v>8</v>
      </c>
      <c r="AF120" s="22" t="n">
        <f aca="false">IF(T120="Y",0,IF(ISNUMBER(V120),IF(Scoring!$B$4-V120&gt;15,Scoring!$C$36,IF(Scoring!$B$4-V120&gt;=10,Scoring!$C$37,IF(Scoring!$B$4-V120&gt;=5,Scoring!$C$38,Scoring!$C$39))),IF(OR(N120="",D120="Out of program"),Scoring!$C$40,IF(O120&gt;15,Scoring!$C$36,IF(O120&gt;=10,Scoring!$C$37,IF(O120&gt;=5,Scoring!$C$38,Scoring!$C$39))))))</f>
        <v>15</v>
      </c>
      <c r="AG120" s="22" t="n">
        <f aca="false">IF(T120="Y",0,IF(Y120="Y",Scoring!$C$41,IF(ISNUMBER(O120),IF(O120&gt;=25,Scoring!$C$42,IF(O120&gt;=15,Scoring!$C$43,Scoring!$C$44)),Scoring!$C$44)))</f>
        <v>8</v>
      </c>
      <c r="AH120" s="22" t="n">
        <f aca="false">IF(T120="Y",0,IF(W120="",Scoring!$C$49,IFERROR(VLOOKUP(W120,Scoring!$B$45:$C$48,2,FALSE()),Scoring!$C$49)))</f>
        <v>5</v>
      </c>
      <c r="AI120" s="23" t="n">
        <f aca="false">C120+IF(ISNUMBER(J120),J120,0)/100000+(10000-ROW())/1000000000</f>
        <v>64.00063988</v>
      </c>
      <c r="AJ120" s="18"/>
      <c r="AK120" s="18"/>
      <c r="AL120" s="18"/>
      <c r="AM120" s="18"/>
    </row>
    <row r="121" customFormat="false" ht="15" hidden="false" customHeight="false" outlineLevel="0" collapsed="false">
      <c r="A121" s="15" t="n">
        <f aca="false">RANK(AI121,$AI$2:$AI$755)</f>
        <v>120</v>
      </c>
      <c r="B121" s="16" t="str">
        <f aca="false">IF(T121="Y","Superseded",IF(C121&gt;=Scoring!$B$16,"Immediate",IF(C121&gt;=Scoring!$B$17,"This week",IF(C121&gt;=Scoring!$B$18,"Nurture","Low"))))</f>
        <v>This week</v>
      </c>
      <c r="C121" s="3" t="n">
        <f aca="false">SUM(AC121:AH121)</f>
        <v>64</v>
      </c>
      <c r="D121" s="15" t="str">
        <f aca="false">IF(T121="Y","Superseded record",IF(AND(U121&lt;&gt;"",AA121&lt;0),"Expired (verified)",IF(AND(U121&lt;&gt;"",AA121&lt;=Scoring!$B$5),"Expiring: notice window (verified)",IF(AND(U121&lt;&gt;"",AA121&lt;=Scoring!$B$6),"Expiring: 10-yr horizon (verified)",IF(M121="No Longer Monitored","Out of program",IF(N121="","Unknown vintage",IF(N121&lt;Scoring!$B$12,"Pre-1990, still listed",IF(AND(U121="",AA121&lt;0),"Past 30-yr mark (verify)",IF(AND(U121="",AA121&lt;=Scoring!$B$5),"30-yr mark: notice window (est.)",IF(AND(O121&gt;=Scoring!$B$7,O121&lt;=Scoring!$B$8),"Year-15 window",IF(O121&gt;=Scoring!$B$9,"Recap window",IF(O121&gt;=11,"Late compliance","Credit period"))))))))))))</f>
        <v>Past 30-yr mark (verify)</v>
      </c>
      <c r="E121" s="15" t="s">
        <v>562</v>
      </c>
      <c r="F121" s="15" t="s">
        <v>563</v>
      </c>
      <c r="G121" s="15" t="s">
        <v>564</v>
      </c>
      <c r="H121" s="15" t="s">
        <v>565</v>
      </c>
      <c r="I121" s="15" t="s">
        <v>566</v>
      </c>
      <c r="J121" s="15" t="n">
        <v>60</v>
      </c>
      <c r="K121" s="15" t="n">
        <v>60</v>
      </c>
      <c r="L121" s="15" t="n">
        <f aca="false">IF(OR(J121="",K121=""),"",MAX(J121-K121,0))</f>
        <v>0</v>
      </c>
      <c r="M121" s="15" t="s">
        <v>99</v>
      </c>
      <c r="N121" s="17" t="n">
        <v>1993</v>
      </c>
      <c r="O121" s="15" t="n">
        <f aca="false">IF(N121="","",Scoring!$B$4-N121)</f>
        <v>33</v>
      </c>
      <c r="P121" s="15" t="n">
        <f aca="false">IF(N121="","",N121+14)</f>
        <v>2007</v>
      </c>
      <c r="Q121" s="15" t="n">
        <f aca="false">IF(N121="","",IF(N121&lt;Scoring!$B$12,"n/a (pre-1990)",N121+Scoring!$B$13))</f>
        <v>2022</v>
      </c>
      <c r="R121" s="15" t="str">
        <f aca="false">IF(J121="","Unknown",IF(J121&gt;=5,"Yes","No (under 5 units)"))</f>
        <v>Yes</v>
      </c>
      <c r="S121" s="15"/>
      <c r="T121" s="18"/>
      <c r="U121" s="19"/>
      <c r="V121" s="18"/>
      <c r="W121" s="18"/>
      <c r="X121" s="20"/>
      <c r="Y121" s="18"/>
      <c r="Z121" s="18"/>
      <c r="AA121" s="21" t="n">
        <f aca="false">IF(U121&lt;&gt;"",(U121-Scoring!$B$3)/365.25,IF(N121="","",IF(N121&lt;Scoring!$B$12,"",(DATE(N121+Scoring!$B$13,12,31)-Scoring!$B$3)/365.25)))</f>
        <v>-3.75359342915811</v>
      </c>
      <c r="AB121" s="22" t="n">
        <f aca="false">IF(T121="Y",0,IF(OR(D121="Expired (verified)",D121="Expiring: notice window (verified)",D121="Expiring: 10-yr horizon (verified)",D121="Past 30-yr mark (verify)",D121="30-yr mark: notice window (est.)",D121="Year-15 window"),1,0)+IF(ISNUMBER(O121),IF(O121&gt;=Scoring!$B$10,1,0),0)+IF(AND(ISNUMBER(L121),ISNUMBER(J121)),IF(J121&gt;0,IF(L121/J121&gt;=Scoring!$B$11,1,0),0),0)+IF(ISNUMBER(Z121),MIN(Z121,3),0))</f>
        <v>2</v>
      </c>
      <c r="AC121" s="22" t="n">
        <f aca="false">IF(AB121&gt;=3,Scoring!$C$24,IF(AB121=2,Scoring!$C$23,IF(AB121=1,Scoring!$C$22,0)))</f>
        <v>18</v>
      </c>
      <c r="AD121" s="22" t="n">
        <f aca="false">IF(T121="Y",0,IF(ISNUMBER(X121),IF(X121&gt;0.7,Scoring!$C$25,IF(X121&gt;=0.5,Scoring!$C$26,IF(X121&gt;=0.3,Scoring!$C$27,Scoring!$C$28))),Scoring!$C$29))</f>
        <v>10</v>
      </c>
      <c r="AE121" s="22" t="n">
        <f aca="false">IF(D121="Expiring: notice window (verified)",Scoring!$C$30,IF(OR(D121="Expired (verified)",D121="30-yr mark: notice window (est.)",D121="Year-15 window"),Scoring!$C$31,IF(D121="Expiring: 10-yr horizon (verified)",Scoring!$C$32,IF(D121="Past 30-yr mark (verify)",Scoring!$C$33,IF(OR(D121="Credit period",D121="Superseded record"),Scoring!$C$35,Scoring!$C$34)))))</f>
        <v>8</v>
      </c>
      <c r="AF121" s="22" t="n">
        <f aca="false">IF(T121="Y",0,IF(ISNUMBER(V121),IF(Scoring!$B$4-V121&gt;15,Scoring!$C$36,IF(Scoring!$B$4-V121&gt;=10,Scoring!$C$37,IF(Scoring!$B$4-V121&gt;=5,Scoring!$C$38,Scoring!$C$39))),IF(OR(N121="",D121="Out of program"),Scoring!$C$40,IF(O121&gt;15,Scoring!$C$36,IF(O121&gt;=10,Scoring!$C$37,IF(O121&gt;=5,Scoring!$C$38,Scoring!$C$39))))))</f>
        <v>15</v>
      </c>
      <c r="AG121" s="22" t="n">
        <f aca="false">IF(T121="Y",0,IF(Y121="Y",Scoring!$C$41,IF(ISNUMBER(O121),IF(O121&gt;=25,Scoring!$C$42,IF(O121&gt;=15,Scoring!$C$43,Scoring!$C$44)),Scoring!$C$44)))</f>
        <v>8</v>
      </c>
      <c r="AH121" s="22" t="n">
        <f aca="false">IF(T121="Y",0,IF(W121="",Scoring!$C$49,IFERROR(VLOOKUP(W121,Scoring!$B$45:$C$48,2,FALSE()),Scoring!$C$49)))</f>
        <v>5</v>
      </c>
      <c r="AI121" s="23" t="n">
        <f aca="false">C121+IF(ISNUMBER(J121),J121,0)/100000+(10000-ROW())/1000000000</f>
        <v>64.000609879</v>
      </c>
      <c r="AJ121" s="18"/>
      <c r="AK121" s="18"/>
      <c r="AL121" s="18"/>
      <c r="AM121" s="18"/>
    </row>
    <row r="122" customFormat="false" ht="15" hidden="false" customHeight="false" outlineLevel="0" collapsed="false">
      <c r="A122" s="15" t="n">
        <f aca="false">RANK(AI122,$AI$2:$AI$755)</f>
        <v>121</v>
      </c>
      <c r="B122" s="16" t="str">
        <f aca="false">IF(T122="Y","Superseded",IF(C122&gt;=Scoring!$B$16,"Immediate",IF(C122&gt;=Scoring!$B$17,"This week",IF(C122&gt;=Scoring!$B$18,"Nurture","Low"))))</f>
        <v>This week</v>
      </c>
      <c r="C122" s="3" t="n">
        <f aca="false">SUM(AC122:AH122)</f>
        <v>64</v>
      </c>
      <c r="D122" s="15" t="str">
        <f aca="false">IF(T122="Y","Superseded record",IF(AND(U122&lt;&gt;"",AA122&lt;0),"Expired (verified)",IF(AND(U122&lt;&gt;"",AA122&lt;=Scoring!$B$5),"Expiring: notice window (verified)",IF(AND(U122&lt;&gt;"",AA122&lt;=Scoring!$B$6),"Expiring: 10-yr horizon (verified)",IF(M122="No Longer Monitored","Out of program",IF(N122="","Unknown vintage",IF(N122&lt;Scoring!$B$12,"Pre-1990, still listed",IF(AND(U122="",AA122&lt;0),"Past 30-yr mark (verify)",IF(AND(U122="",AA122&lt;=Scoring!$B$5),"30-yr mark: notice window (est.)",IF(AND(O122&gt;=Scoring!$B$7,O122&lt;=Scoring!$B$8),"Year-15 window",IF(O122&gt;=Scoring!$B$9,"Recap window",IF(O122&gt;=11,"Late compliance","Credit period"))))))))))))</f>
        <v>Past 30-yr mark (verify)</v>
      </c>
      <c r="E122" s="15" t="s">
        <v>567</v>
      </c>
      <c r="F122" s="15" t="s">
        <v>568</v>
      </c>
      <c r="G122" s="15" t="s">
        <v>569</v>
      </c>
      <c r="H122" s="15" t="s">
        <v>107</v>
      </c>
      <c r="I122" s="15" t="s">
        <v>570</v>
      </c>
      <c r="J122" s="15" t="n">
        <v>60</v>
      </c>
      <c r="K122" s="15" t="n">
        <v>60</v>
      </c>
      <c r="L122" s="15" t="n">
        <f aca="false">IF(OR(J122="",K122=""),"",MAX(J122-K122,0))</f>
        <v>0</v>
      </c>
      <c r="M122" s="15" t="s">
        <v>99</v>
      </c>
      <c r="N122" s="17" t="n">
        <v>1993</v>
      </c>
      <c r="O122" s="15" t="n">
        <f aca="false">IF(N122="","",Scoring!$B$4-N122)</f>
        <v>33</v>
      </c>
      <c r="P122" s="15" t="n">
        <f aca="false">IF(N122="","",N122+14)</f>
        <v>2007</v>
      </c>
      <c r="Q122" s="15" t="n">
        <f aca="false">IF(N122="","",IF(N122&lt;Scoring!$B$12,"n/a (pre-1990)",N122+Scoring!$B$13))</f>
        <v>2022</v>
      </c>
      <c r="R122" s="15" t="str">
        <f aca="false">IF(J122="","Unknown",IF(J122&gt;=5,"Yes","No (under 5 units)"))</f>
        <v>Yes</v>
      </c>
      <c r="S122" s="15"/>
      <c r="T122" s="18"/>
      <c r="U122" s="19"/>
      <c r="V122" s="18"/>
      <c r="W122" s="18"/>
      <c r="X122" s="20"/>
      <c r="Y122" s="18"/>
      <c r="Z122" s="18"/>
      <c r="AA122" s="21" t="n">
        <f aca="false">IF(U122&lt;&gt;"",(U122-Scoring!$B$3)/365.25,IF(N122="","",IF(N122&lt;Scoring!$B$12,"",(DATE(N122+Scoring!$B$13,12,31)-Scoring!$B$3)/365.25)))</f>
        <v>-3.75359342915811</v>
      </c>
      <c r="AB122" s="22" t="n">
        <f aca="false">IF(T122="Y",0,IF(OR(D122="Expired (verified)",D122="Expiring: notice window (verified)",D122="Expiring: 10-yr horizon (verified)",D122="Past 30-yr mark (verify)",D122="30-yr mark: notice window (est.)",D122="Year-15 window"),1,0)+IF(ISNUMBER(O122),IF(O122&gt;=Scoring!$B$10,1,0),0)+IF(AND(ISNUMBER(L122),ISNUMBER(J122)),IF(J122&gt;0,IF(L122/J122&gt;=Scoring!$B$11,1,0),0),0)+IF(ISNUMBER(Z122),MIN(Z122,3),0))</f>
        <v>2</v>
      </c>
      <c r="AC122" s="22" t="n">
        <f aca="false">IF(AB122&gt;=3,Scoring!$C$24,IF(AB122=2,Scoring!$C$23,IF(AB122=1,Scoring!$C$22,0)))</f>
        <v>18</v>
      </c>
      <c r="AD122" s="22" t="n">
        <f aca="false">IF(T122="Y",0,IF(ISNUMBER(X122),IF(X122&gt;0.7,Scoring!$C$25,IF(X122&gt;=0.5,Scoring!$C$26,IF(X122&gt;=0.3,Scoring!$C$27,Scoring!$C$28))),Scoring!$C$29))</f>
        <v>10</v>
      </c>
      <c r="AE122" s="22" t="n">
        <f aca="false">IF(D122="Expiring: notice window (verified)",Scoring!$C$30,IF(OR(D122="Expired (verified)",D122="30-yr mark: notice window (est.)",D122="Year-15 window"),Scoring!$C$31,IF(D122="Expiring: 10-yr horizon (verified)",Scoring!$C$32,IF(D122="Past 30-yr mark (verify)",Scoring!$C$33,IF(OR(D122="Credit period",D122="Superseded record"),Scoring!$C$35,Scoring!$C$34)))))</f>
        <v>8</v>
      </c>
      <c r="AF122" s="22" t="n">
        <f aca="false">IF(T122="Y",0,IF(ISNUMBER(V122),IF(Scoring!$B$4-V122&gt;15,Scoring!$C$36,IF(Scoring!$B$4-V122&gt;=10,Scoring!$C$37,IF(Scoring!$B$4-V122&gt;=5,Scoring!$C$38,Scoring!$C$39))),IF(OR(N122="",D122="Out of program"),Scoring!$C$40,IF(O122&gt;15,Scoring!$C$36,IF(O122&gt;=10,Scoring!$C$37,IF(O122&gt;=5,Scoring!$C$38,Scoring!$C$39))))))</f>
        <v>15</v>
      </c>
      <c r="AG122" s="22" t="n">
        <f aca="false">IF(T122="Y",0,IF(Y122="Y",Scoring!$C$41,IF(ISNUMBER(O122),IF(O122&gt;=25,Scoring!$C$42,IF(O122&gt;=15,Scoring!$C$43,Scoring!$C$44)),Scoring!$C$44)))</f>
        <v>8</v>
      </c>
      <c r="AH122" s="22" t="n">
        <f aca="false">IF(T122="Y",0,IF(W122="",Scoring!$C$49,IFERROR(VLOOKUP(W122,Scoring!$B$45:$C$48,2,FALSE()),Scoring!$C$49)))</f>
        <v>5</v>
      </c>
      <c r="AI122" s="23" t="n">
        <f aca="false">C122+IF(ISNUMBER(J122),J122,0)/100000+(10000-ROW())/1000000000</f>
        <v>64.000609878</v>
      </c>
      <c r="AJ122" s="18"/>
      <c r="AK122" s="18"/>
      <c r="AL122" s="18"/>
      <c r="AM122" s="18"/>
    </row>
    <row r="123" customFormat="false" ht="15" hidden="false" customHeight="false" outlineLevel="0" collapsed="false">
      <c r="A123" s="15" t="n">
        <f aca="false">RANK(AI123,$AI$2:$AI$755)</f>
        <v>122</v>
      </c>
      <c r="B123" s="16" t="str">
        <f aca="false">IF(T123="Y","Superseded",IF(C123&gt;=Scoring!$B$16,"Immediate",IF(C123&gt;=Scoring!$B$17,"This week",IF(C123&gt;=Scoring!$B$18,"Nurture","Low"))))</f>
        <v>This week</v>
      </c>
      <c r="C123" s="3" t="n">
        <f aca="false">SUM(AC123:AH123)</f>
        <v>64</v>
      </c>
      <c r="D123" s="15" t="str">
        <f aca="false">IF(T123="Y","Superseded record",IF(AND(U123&lt;&gt;"",AA123&lt;0),"Expired (verified)",IF(AND(U123&lt;&gt;"",AA123&lt;=Scoring!$B$5),"Expiring: notice window (verified)",IF(AND(U123&lt;&gt;"",AA123&lt;=Scoring!$B$6),"Expiring: 10-yr horizon (verified)",IF(M123="No Longer Monitored","Out of program",IF(N123="","Unknown vintage",IF(N123&lt;Scoring!$B$12,"Pre-1990, still listed",IF(AND(U123="",AA123&lt;0),"Past 30-yr mark (verify)",IF(AND(U123="",AA123&lt;=Scoring!$B$5),"30-yr mark: notice window (est.)",IF(AND(O123&gt;=Scoring!$B$7,O123&lt;=Scoring!$B$8),"Year-15 window",IF(O123&gt;=Scoring!$B$9,"Recap window",IF(O123&gt;=11,"Late compliance","Credit period"))))))))))))</f>
        <v>Past 30-yr mark (verify)</v>
      </c>
      <c r="E123" s="15" t="s">
        <v>571</v>
      </c>
      <c r="F123" s="15" t="s">
        <v>572</v>
      </c>
      <c r="G123" s="15" t="s">
        <v>573</v>
      </c>
      <c r="H123" s="15" t="s">
        <v>499</v>
      </c>
      <c r="I123" s="15" t="s">
        <v>574</v>
      </c>
      <c r="J123" s="15" t="n">
        <v>60</v>
      </c>
      <c r="K123" s="15" t="n">
        <v>60</v>
      </c>
      <c r="L123" s="15" t="n">
        <f aca="false">IF(OR(J123="",K123=""),"",MAX(J123-K123,0))</f>
        <v>0</v>
      </c>
      <c r="M123" s="15" t="s">
        <v>99</v>
      </c>
      <c r="N123" s="17" t="n">
        <v>1993</v>
      </c>
      <c r="O123" s="15" t="n">
        <f aca="false">IF(N123="","",Scoring!$B$4-N123)</f>
        <v>33</v>
      </c>
      <c r="P123" s="15" t="n">
        <f aca="false">IF(N123="","",N123+14)</f>
        <v>2007</v>
      </c>
      <c r="Q123" s="15" t="n">
        <f aca="false">IF(N123="","",IF(N123&lt;Scoring!$B$12,"n/a (pre-1990)",N123+Scoring!$B$13))</f>
        <v>2022</v>
      </c>
      <c r="R123" s="15" t="str">
        <f aca="false">IF(J123="","Unknown",IF(J123&gt;=5,"Yes","No (under 5 units)"))</f>
        <v>Yes</v>
      </c>
      <c r="S123" s="15"/>
      <c r="T123" s="18"/>
      <c r="U123" s="19"/>
      <c r="V123" s="18"/>
      <c r="W123" s="18"/>
      <c r="X123" s="20"/>
      <c r="Y123" s="18"/>
      <c r="Z123" s="18"/>
      <c r="AA123" s="21" t="n">
        <f aca="false">IF(U123&lt;&gt;"",(U123-Scoring!$B$3)/365.25,IF(N123="","",IF(N123&lt;Scoring!$B$12,"",(DATE(N123+Scoring!$B$13,12,31)-Scoring!$B$3)/365.25)))</f>
        <v>-3.75359342915811</v>
      </c>
      <c r="AB123" s="22" t="n">
        <f aca="false">IF(T123="Y",0,IF(OR(D123="Expired (verified)",D123="Expiring: notice window (verified)",D123="Expiring: 10-yr horizon (verified)",D123="Past 30-yr mark (verify)",D123="30-yr mark: notice window (est.)",D123="Year-15 window"),1,0)+IF(ISNUMBER(O123),IF(O123&gt;=Scoring!$B$10,1,0),0)+IF(AND(ISNUMBER(L123),ISNUMBER(J123)),IF(J123&gt;0,IF(L123/J123&gt;=Scoring!$B$11,1,0),0),0)+IF(ISNUMBER(Z123),MIN(Z123,3),0))</f>
        <v>2</v>
      </c>
      <c r="AC123" s="22" t="n">
        <f aca="false">IF(AB123&gt;=3,Scoring!$C$24,IF(AB123=2,Scoring!$C$23,IF(AB123=1,Scoring!$C$22,0)))</f>
        <v>18</v>
      </c>
      <c r="AD123" s="22" t="n">
        <f aca="false">IF(T123="Y",0,IF(ISNUMBER(X123),IF(X123&gt;0.7,Scoring!$C$25,IF(X123&gt;=0.5,Scoring!$C$26,IF(X123&gt;=0.3,Scoring!$C$27,Scoring!$C$28))),Scoring!$C$29))</f>
        <v>10</v>
      </c>
      <c r="AE123" s="22" t="n">
        <f aca="false">IF(D123="Expiring: notice window (verified)",Scoring!$C$30,IF(OR(D123="Expired (verified)",D123="30-yr mark: notice window (est.)",D123="Year-15 window"),Scoring!$C$31,IF(D123="Expiring: 10-yr horizon (verified)",Scoring!$C$32,IF(D123="Past 30-yr mark (verify)",Scoring!$C$33,IF(OR(D123="Credit period",D123="Superseded record"),Scoring!$C$35,Scoring!$C$34)))))</f>
        <v>8</v>
      </c>
      <c r="AF123" s="22" t="n">
        <f aca="false">IF(T123="Y",0,IF(ISNUMBER(V123),IF(Scoring!$B$4-V123&gt;15,Scoring!$C$36,IF(Scoring!$B$4-V123&gt;=10,Scoring!$C$37,IF(Scoring!$B$4-V123&gt;=5,Scoring!$C$38,Scoring!$C$39))),IF(OR(N123="",D123="Out of program"),Scoring!$C$40,IF(O123&gt;15,Scoring!$C$36,IF(O123&gt;=10,Scoring!$C$37,IF(O123&gt;=5,Scoring!$C$38,Scoring!$C$39))))))</f>
        <v>15</v>
      </c>
      <c r="AG123" s="22" t="n">
        <f aca="false">IF(T123="Y",0,IF(Y123="Y",Scoring!$C$41,IF(ISNUMBER(O123),IF(O123&gt;=25,Scoring!$C$42,IF(O123&gt;=15,Scoring!$C$43,Scoring!$C$44)),Scoring!$C$44)))</f>
        <v>8</v>
      </c>
      <c r="AH123" s="22" t="n">
        <f aca="false">IF(T123="Y",0,IF(W123="",Scoring!$C$49,IFERROR(VLOOKUP(W123,Scoring!$B$45:$C$48,2,FALSE()),Scoring!$C$49)))</f>
        <v>5</v>
      </c>
      <c r="AI123" s="23" t="n">
        <f aca="false">C123+IF(ISNUMBER(J123),J123,0)/100000+(10000-ROW())/1000000000</f>
        <v>64.000609877</v>
      </c>
      <c r="AJ123" s="18"/>
      <c r="AK123" s="18"/>
      <c r="AL123" s="18"/>
      <c r="AM123" s="18"/>
    </row>
    <row r="124" customFormat="false" ht="15" hidden="false" customHeight="false" outlineLevel="0" collapsed="false">
      <c r="A124" s="15" t="n">
        <f aca="false">RANK(AI124,$AI$2:$AI$755)</f>
        <v>123</v>
      </c>
      <c r="B124" s="16" t="str">
        <f aca="false">IF(T124="Y","Superseded",IF(C124&gt;=Scoring!$B$16,"Immediate",IF(C124&gt;=Scoring!$B$17,"This week",IF(C124&gt;=Scoring!$B$18,"Nurture","Low"))))</f>
        <v>This week</v>
      </c>
      <c r="C124" s="3" t="n">
        <f aca="false">SUM(AC124:AH124)</f>
        <v>64</v>
      </c>
      <c r="D124" s="15" t="str">
        <f aca="false">IF(T124="Y","Superseded record",IF(AND(U124&lt;&gt;"",AA124&lt;0),"Expired (verified)",IF(AND(U124&lt;&gt;"",AA124&lt;=Scoring!$B$5),"Expiring: notice window (verified)",IF(AND(U124&lt;&gt;"",AA124&lt;=Scoring!$B$6),"Expiring: 10-yr horizon (verified)",IF(M124="No Longer Monitored","Out of program",IF(N124="","Unknown vintage",IF(N124&lt;Scoring!$B$12,"Pre-1990, still listed",IF(AND(U124="",AA124&lt;0),"Past 30-yr mark (verify)",IF(AND(U124="",AA124&lt;=Scoring!$B$5),"30-yr mark: notice window (est.)",IF(AND(O124&gt;=Scoring!$B$7,O124&lt;=Scoring!$B$8),"Year-15 window",IF(O124&gt;=Scoring!$B$9,"Recap window",IF(O124&gt;=11,"Late compliance","Credit period"))))))))))))</f>
        <v>Past 30-yr mark (verify)</v>
      </c>
      <c r="E124" s="15" t="s">
        <v>575</v>
      </c>
      <c r="F124" s="15" t="s">
        <v>576</v>
      </c>
      <c r="G124" s="15" t="s">
        <v>577</v>
      </c>
      <c r="H124" s="15" t="s">
        <v>499</v>
      </c>
      <c r="I124" s="15" t="s">
        <v>500</v>
      </c>
      <c r="J124" s="15" t="n">
        <v>60</v>
      </c>
      <c r="K124" s="15" t="n">
        <v>60</v>
      </c>
      <c r="L124" s="15" t="n">
        <f aca="false">IF(OR(J124="",K124=""),"",MAX(J124-K124,0))</f>
        <v>0</v>
      </c>
      <c r="M124" s="15" t="s">
        <v>99</v>
      </c>
      <c r="N124" s="17" t="n">
        <v>1994</v>
      </c>
      <c r="O124" s="15" t="n">
        <f aca="false">IF(N124="","",Scoring!$B$4-N124)</f>
        <v>32</v>
      </c>
      <c r="P124" s="15" t="n">
        <f aca="false">IF(N124="","",N124+14)</f>
        <v>2008</v>
      </c>
      <c r="Q124" s="15" t="n">
        <f aca="false">IF(N124="","",IF(N124&lt;Scoring!$B$12,"n/a (pre-1990)",N124+Scoring!$B$13))</f>
        <v>2023</v>
      </c>
      <c r="R124" s="15" t="str">
        <f aca="false">IF(J124="","Unknown",IF(J124&gt;=5,"Yes","No (under 5 units)"))</f>
        <v>Yes</v>
      </c>
      <c r="S124" s="15"/>
      <c r="T124" s="18"/>
      <c r="U124" s="19"/>
      <c r="V124" s="18"/>
      <c r="W124" s="18"/>
      <c r="X124" s="20"/>
      <c r="Y124" s="18"/>
      <c r="Z124" s="18"/>
      <c r="AA124" s="21" t="n">
        <f aca="false">IF(U124&lt;&gt;"",(U124-Scoring!$B$3)/365.25,IF(N124="","",IF(N124&lt;Scoring!$B$12,"",(DATE(N124+Scoring!$B$13,12,31)-Scoring!$B$3)/365.25)))</f>
        <v>-2.75427789185489</v>
      </c>
      <c r="AB124" s="22" t="n">
        <f aca="false">IF(T124="Y",0,IF(OR(D124="Expired (verified)",D124="Expiring: notice window (verified)",D124="Expiring: 10-yr horizon (verified)",D124="Past 30-yr mark (verify)",D124="30-yr mark: notice window (est.)",D124="Year-15 window"),1,0)+IF(ISNUMBER(O124),IF(O124&gt;=Scoring!$B$10,1,0),0)+IF(AND(ISNUMBER(L124),ISNUMBER(J124)),IF(J124&gt;0,IF(L124/J124&gt;=Scoring!$B$11,1,0),0),0)+IF(ISNUMBER(Z124),MIN(Z124,3),0))</f>
        <v>2</v>
      </c>
      <c r="AC124" s="22" t="n">
        <f aca="false">IF(AB124&gt;=3,Scoring!$C$24,IF(AB124=2,Scoring!$C$23,IF(AB124=1,Scoring!$C$22,0)))</f>
        <v>18</v>
      </c>
      <c r="AD124" s="22" t="n">
        <f aca="false">IF(T124="Y",0,IF(ISNUMBER(X124),IF(X124&gt;0.7,Scoring!$C$25,IF(X124&gt;=0.5,Scoring!$C$26,IF(X124&gt;=0.3,Scoring!$C$27,Scoring!$C$28))),Scoring!$C$29))</f>
        <v>10</v>
      </c>
      <c r="AE124" s="22" t="n">
        <f aca="false">IF(D124="Expiring: notice window (verified)",Scoring!$C$30,IF(OR(D124="Expired (verified)",D124="30-yr mark: notice window (est.)",D124="Year-15 window"),Scoring!$C$31,IF(D124="Expiring: 10-yr horizon (verified)",Scoring!$C$32,IF(D124="Past 30-yr mark (verify)",Scoring!$C$33,IF(OR(D124="Credit period",D124="Superseded record"),Scoring!$C$35,Scoring!$C$34)))))</f>
        <v>8</v>
      </c>
      <c r="AF124" s="22" t="n">
        <f aca="false">IF(T124="Y",0,IF(ISNUMBER(V124),IF(Scoring!$B$4-V124&gt;15,Scoring!$C$36,IF(Scoring!$B$4-V124&gt;=10,Scoring!$C$37,IF(Scoring!$B$4-V124&gt;=5,Scoring!$C$38,Scoring!$C$39))),IF(OR(N124="",D124="Out of program"),Scoring!$C$40,IF(O124&gt;15,Scoring!$C$36,IF(O124&gt;=10,Scoring!$C$37,IF(O124&gt;=5,Scoring!$C$38,Scoring!$C$39))))))</f>
        <v>15</v>
      </c>
      <c r="AG124" s="22" t="n">
        <f aca="false">IF(T124="Y",0,IF(Y124="Y",Scoring!$C$41,IF(ISNUMBER(O124),IF(O124&gt;=25,Scoring!$C$42,IF(O124&gt;=15,Scoring!$C$43,Scoring!$C$44)),Scoring!$C$44)))</f>
        <v>8</v>
      </c>
      <c r="AH124" s="22" t="n">
        <f aca="false">IF(T124="Y",0,IF(W124="",Scoring!$C$49,IFERROR(VLOOKUP(W124,Scoring!$B$45:$C$48,2,FALSE()),Scoring!$C$49)))</f>
        <v>5</v>
      </c>
      <c r="AI124" s="23" t="n">
        <f aca="false">C124+IF(ISNUMBER(J124),J124,0)/100000+(10000-ROW())/1000000000</f>
        <v>64.000609876</v>
      </c>
      <c r="AJ124" s="18"/>
      <c r="AK124" s="18"/>
      <c r="AL124" s="18"/>
      <c r="AM124" s="18"/>
    </row>
    <row r="125" customFormat="false" ht="15" hidden="false" customHeight="false" outlineLevel="0" collapsed="false">
      <c r="A125" s="15" t="n">
        <f aca="false">RANK(AI125,$AI$2:$AI$755)</f>
        <v>124</v>
      </c>
      <c r="B125" s="16" t="str">
        <f aca="false">IF(T125="Y","Superseded",IF(C125&gt;=Scoring!$B$16,"Immediate",IF(C125&gt;=Scoring!$B$17,"This week",IF(C125&gt;=Scoring!$B$18,"Nurture","Low"))))</f>
        <v>This week</v>
      </c>
      <c r="C125" s="3" t="n">
        <f aca="false">SUM(AC125:AH125)</f>
        <v>64</v>
      </c>
      <c r="D125" s="15" t="str">
        <f aca="false">IF(T125="Y","Superseded record",IF(AND(U125&lt;&gt;"",AA125&lt;0),"Expired (verified)",IF(AND(U125&lt;&gt;"",AA125&lt;=Scoring!$B$5),"Expiring: notice window (verified)",IF(AND(U125&lt;&gt;"",AA125&lt;=Scoring!$B$6),"Expiring: 10-yr horizon (verified)",IF(M125="No Longer Monitored","Out of program",IF(N125="","Unknown vintage",IF(N125&lt;Scoring!$B$12,"Pre-1990, still listed",IF(AND(U125="",AA125&lt;0),"Past 30-yr mark (verify)",IF(AND(U125="",AA125&lt;=Scoring!$B$5),"30-yr mark: notice window (est.)",IF(AND(O125&gt;=Scoring!$B$7,O125&lt;=Scoring!$B$8),"Year-15 window",IF(O125&gt;=Scoring!$B$9,"Recap window",IF(O125&gt;=11,"Late compliance","Credit period"))))))))))))</f>
        <v>Past 30-yr mark (verify)</v>
      </c>
      <c r="E125" s="15" t="s">
        <v>578</v>
      </c>
      <c r="F125" s="15" t="s">
        <v>579</v>
      </c>
      <c r="G125" s="15" t="s">
        <v>580</v>
      </c>
      <c r="H125" s="15" t="s">
        <v>97</v>
      </c>
      <c r="I125" s="15" t="s">
        <v>217</v>
      </c>
      <c r="J125" s="15" t="n">
        <v>60</v>
      </c>
      <c r="K125" s="15"/>
      <c r="L125" s="15" t="str">
        <f aca="false">IF(OR(J125="",K125=""),"",MAX(J125-K125,0))</f>
        <v/>
      </c>
      <c r="M125" s="15" t="s">
        <v>99</v>
      </c>
      <c r="N125" s="17" t="n">
        <v>1996</v>
      </c>
      <c r="O125" s="15" t="n">
        <f aca="false">IF(N125="","",Scoring!$B$4-N125)</f>
        <v>30</v>
      </c>
      <c r="P125" s="15" t="n">
        <f aca="false">IF(N125="","",N125+14)</f>
        <v>2010</v>
      </c>
      <c r="Q125" s="15" t="n">
        <f aca="false">IF(N125="","",IF(N125&lt;Scoring!$B$12,"n/a (pre-1990)",N125+Scoring!$B$13))</f>
        <v>2025</v>
      </c>
      <c r="R125" s="15" t="str">
        <f aca="false">IF(J125="","Unknown",IF(J125&gt;=5,"Yes","No (under 5 units)"))</f>
        <v>Yes</v>
      </c>
      <c r="S125" s="15"/>
      <c r="T125" s="18"/>
      <c r="U125" s="19"/>
      <c r="V125" s="18"/>
      <c r="W125" s="18"/>
      <c r="X125" s="20"/>
      <c r="Y125" s="18"/>
      <c r="Z125" s="18"/>
      <c r="AA125" s="21" t="n">
        <f aca="false">IF(U125&lt;&gt;"",(U125-Scoring!$B$3)/365.25,IF(N125="","",IF(N125&lt;Scoring!$B$12,"",(DATE(N125+Scoring!$B$13,12,31)-Scoring!$B$3)/365.25)))</f>
        <v>-0.752908966461328</v>
      </c>
      <c r="AB125" s="22" t="n">
        <f aca="false">IF(T125="Y",0,IF(OR(D125="Expired (verified)",D125="Expiring: notice window (verified)",D125="Expiring: 10-yr horizon (verified)",D125="Past 30-yr mark (verify)",D125="30-yr mark: notice window (est.)",D125="Year-15 window"),1,0)+IF(ISNUMBER(O125),IF(O125&gt;=Scoring!$B$10,1,0),0)+IF(AND(ISNUMBER(L125),ISNUMBER(J125)),IF(J125&gt;0,IF(L125/J125&gt;=Scoring!$B$11,1,0),0),0)+IF(ISNUMBER(Z125),MIN(Z125,3),0))</f>
        <v>2</v>
      </c>
      <c r="AC125" s="22" t="n">
        <f aca="false">IF(AB125&gt;=3,Scoring!$C$24,IF(AB125=2,Scoring!$C$23,IF(AB125=1,Scoring!$C$22,0)))</f>
        <v>18</v>
      </c>
      <c r="AD125" s="22" t="n">
        <f aca="false">IF(T125="Y",0,IF(ISNUMBER(X125),IF(X125&gt;0.7,Scoring!$C$25,IF(X125&gt;=0.5,Scoring!$C$26,IF(X125&gt;=0.3,Scoring!$C$27,Scoring!$C$28))),Scoring!$C$29))</f>
        <v>10</v>
      </c>
      <c r="AE125" s="22" t="n">
        <f aca="false">IF(D125="Expiring: notice window (verified)",Scoring!$C$30,IF(OR(D125="Expired (verified)",D125="30-yr mark: notice window (est.)",D125="Year-15 window"),Scoring!$C$31,IF(D125="Expiring: 10-yr horizon (verified)",Scoring!$C$32,IF(D125="Past 30-yr mark (verify)",Scoring!$C$33,IF(OR(D125="Credit period",D125="Superseded record"),Scoring!$C$35,Scoring!$C$34)))))</f>
        <v>8</v>
      </c>
      <c r="AF125" s="22" t="n">
        <f aca="false">IF(T125="Y",0,IF(ISNUMBER(V125),IF(Scoring!$B$4-V125&gt;15,Scoring!$C$36,IF(Scoring!$B$4-V125&gt;=10,Scoring!$C$37,IF(Scoring!$B$4-V125&gt;=5,Scoring!$C$38,Scoring!$C$39))),IF(OR(N125="",D125="Out of program"),Scoring!$C$40,IF(O125&gt;15,Scoring!$C$36,IF(O125&gt;=10,Scoring!$C$37,IF(O125&gt;=5,Scoring!$C$38,Scoring!$C$39))))))</f>
        <v>15</v>
      </c>
      <c r="AG125" s="22" t="n">
        <f aca="false">IF(T125="Y",0,IF(Y125="Y",Scoring!$C$41,IF(ISNUMBER(O125),IF(O125&gt;=25,Scoring!$C$42,IF(O125&gt;=15,Scoring!$C$43,Scoring!$C$44)),Scoring!$C$44)))</f>
        <v>8</v>
      </c>
      <c r="AH125" s="22" t="n">
        <f aca="false">IF(T125="Y",0,IF(W125="",Scoring!$C$49,IFERROR(VLOOKUP(W125,Scoring!$B$45:$C$48,2,FALSE()),Scoring!$C$49)))</f>
        <v>5</v>
      </c>
      <c r="AI125" s="23" t="n">
        <f aca="false">C125+IF(ISNUMBER(J125),J125,0)/100000+(10000-ROW())/1000000000</f>
        <v>64.000609875</v>
      </c>
      <c r="AJ125" s="18"/>
      <c r="AK125" s="18"/>
      <c r="AL125" s="18"/>
      <c r="AM125" s="18"/>
    </row>
    <row r="126" customFormat="false" ht="15" hidden="false" customHeight="false" outlineLevel="0" collapsed="false">
      <c r="A126" s="15" t="n">
        <f aca="false">RANK(AI126,$AI$2:$AI$755)</f>
        <v>125</v>
      </c>
      <c r="B126" s="16" t="str">
        <f aca="false">IF(T126="Y","Superseded",IF(C126&gt;=Scoring!$B$16,"Immediate",IF(C126&gt;=Scoring!$B$17,"This week",IF(C126&gt;=Scoring!$B$18,"Nurture","Low"))))</f>
        <v>This week</v>
      </c>
      <c r="C126" s="3" t="n">
        <f aca="false">SUM(AC126:AH126)</f>
        <v>64</v>
      </c>
      <c r="D126" s="15" t="str">
        <f aca="false">IF(T126="Y","Superseded record",IF(AND(U126&lt;&gt;"",AA126&lt;0),"Expired (verified)",IF(AND(U126&lt;&gt;"",AA126&lt;=Scoring!$B$5),"Expiring: notice window (verified)",IF(AND(U126&lt;&gt;"",AA126&lt;=Scoring!$B$6),"Expiring: 10-yr horizon (verified)",IF(M126="No Longer Monitored","Out of program",IF(N126="","Unknown vintage",IF(N126&lt;Scoring!$B$12,"Pre-1990, still listed",IF(AND(U126="",AA126&lt;0),"Past 30-yr mark (verify)",IF(AND(U126="",AA126&lt;=Scoring!$B$5),"30-yr mark: notice window (est.)",IF(AND(O126&gt;=Scoring!$B$7,O126&lt;=Scoring!$B$8),"Year-15 window",IF(O126&gt;=Scoring!$B$9,"Recap window",IF(O126&gt;=11,"Late compliance","Credit period"))))))))))))</f>
        <v>Past 30-yr mark (verify)</v>
      </c>
      <c r="E126" s="15" t="s">
        <v>581</v>
      </c>
      <c r="F126" s="15" t="s">
        <v>582</v>
      </c>
      <c r="G126" s="15" t="s">
        <v>583</v>
      </c>
      <c r="H126" s="15" t="s">
        <v>97</v>
      </c>
      <c r="I126" s="15" t="s">
        <v>195</v>
      </c>
      <c r="J126" s="15" t="n">
        <v>59</v>
      </c>
      <c r="K126" s="15"/>
      <c r="L126" s="15" t="str">
        <f aca="false">IF(OR(J126="",K126=""),"",MAX(J126-K126,0))</f>
        <v/>
      </c>
      <c r="M126" s="15" t="s">
        <v>99</v>
      </c>
      <c r="N126" s="17" t="n">
        <v>1994</v>
      </c>
      <c r="O126" s="15" t="n">
        <f aca="false">IF(N126="","",Scoring!$B$4-N126)</f>
        <v>32</v>
      </c>
      <c r="P126" s="15" t="n">
        <f aca="false">IF(N126="","",N126+14)</f>
        <v>2008</v>
      </c>
      <c r="Q126" s="15" t="n">
        <f aca="false">IF(N126="","",IF(N126&lt;Scoring!$B$12,"n/a (pre-1990)",N126+Scoring!$B$13))</f>
        <v>2023</v>
      </c>
      <c r="R126" s="15" t="str">
        <f aca="false">IF(J126="","Unknown",IF(J126&gt;=5,"Yes","No (under 5 units)"))</f>
        <v>Yes</v>
      </c>
      <c r="S126" s="15"/>
      <c r="T126" s="18"/>
      <c r="U126" s="19"/>
      <c r="V126" s="18"/>
      <c r="W126" s="18"/>
      <c r="X126" s="20"/>
      <c r="Y126" s="18"/>
      <c r="Z126" s="18"/>
      <c r="AA126" s="21" t="n">
        <f aca="false">IF(U126&lt;&gt;"",(U126-Scoring!$B$3)/365.25,IF(N126="","",IF(N126&lt;Scoring!$B$12,"",(DATE(N126+Scoring!$B$13,12,31)-Scoring!$B$3)/365.25)))</f>
        <v>-2.75427789185489</v>
      </c>
      <c r="AB126" s="22" t="n">
        <f aca="false">IF(T126="Y",0,IF(OR(D126="Expired (verified)",D126="Expiring: notice window (verified)",D126="Expiring: 10-yr horizon (verified)",D126="Past 30-yr mark (verify)",D126="30-yr mark: notice window (est.)",D126="Year-15 window"),1,0)+IF(ISNUMBER(O126),IF(O126&gt;=Scoring!$B$10,1,0),0)+IF(AND(ISNUMBER(L126),ISNUMBER(J126)),IF(J126&gt;0,IF(L126/J126&gt;=Scoring!$B$11,1,0),0),0)+IF(ISNUMBER(Z126),MIN(Z126,3),0))</f>
        <v>2</v>
      </c>
      <c r="AC126" s="22" t="n">
        <f aca="false">IF(AB126&gt;=3,Scoring!$C$24,IF(AB126=2,Scoring!$C$23,IF(AB126=1,Scoring!$C$22,0)))</f>
        <v>18</v>
      </c>
      <c r="AD126" s="22" t="n">
        <f aca="false">IF(T126="Y",0,IF(ISNUMBER(X126),IF(X126&gt;0.7,Scoring!$C$25,IF(X126&gt;=0.5,Scoring!$C$26,IF(X126&gt;=0.3,Scoring!$C$27,Scoring!$C$28))),Scoring!$C$29))</f>
        <v>10</v>
      </c>
      <c r="AE126" s="22" t="n">
        <f aca="false">IF(D126="Expiring: notice window (verified)",Scoring!$C$30,IF(OR(D126="Expired (verified)",D126="30-yr mark: notice window (est.)",D126="Year-15 window"),Scoring!$C$31,IF(D126="Expiring: 10-yr horizon (verified)",Scoring!$C$32,IF(D126="Past 30-yr mark (verify)",Scoring!$C$33,IF(OR(D126="Credit period",D126="Superseded record"),Scoring!$C$35,Scoring!$C$34)))))</f>
        <v>8</v>
      </c>
      <c r="AF126" s="22" t="n">
        <f aca="false">IF(T126="Y",0,IF(ISNUMBER(V126),IF(Scoring!$B$4-V126&gt;15,Scoring!$C$36,IF(Scoring!$B$4-V126&gt;=10,Scoring!$C$37,IF(Scoring!$B$4-V126&gt;=5,Scoring!$C$38,Scoring!$C$39))),IF(OR(N126="",D126="Out of program"),Scoring!$C$40,IF(O126&gt;15,Scoring!$C$36,IF(O126&gt;=10,Scoring!$C$37,IF(O126&gt;=5,Scoring!$C$38,Scoring!$C$39))))))</f>
        <v>15</v>
      </c>
      <c r="AG126" s="22" t="n">
        <f aca="false">IF(T126="Y",0,IF(Y126="Y",Scoring!$C$41,IF(ISNUMBER(O126),IF(O126&gt;=25,Scoring!$C$42,IF(O126&gt;=15,Scoring!$C$43,Scoring!$C$44)),Scoring!$C$44)))</f>
        <v>8</v>
      </c>
      <c r="AH126" s="22" t="n">
        <f aca="false">IF(T126="Y",0,IF(W126="",Scoring!$C$49,IFERROR(VLOOKUP(W126,Scoring!$B$45:$C$48,2,FALSE()),Scoring!$C$49)))</f>
        <v>5</v>
      </c>
      <c r="AI126" s="23" t="n">
        <f aca="false">C126+IF(ISNUMBER(J126),J126,0)/100000+(10000-ROW())/1000000000</f>
        <v>64.000599874</v>
      </c>
      <c r="AJ126" s="18"/>
      <c r="AK126" s="18"/>
      <c r="AL126" s="18"/>
      <c r="AM126" s="18"/>
    </row>
    <row r="127" customFormat="false" ht="15" hidden="false" customHeight="false" outlineLevel="0" collapsed="false">
      <c r="A127" s="15" t="n">
        <f aca="false">RANK(AI127,$AI$2:$AI$755)</f>
        <v>126</v>
      </c>
      <c r="B127" s="16" t="str">
        <f aca="false">IF(T127="Y","Superseded",IF(C127&gt;=Scoring!$B$16,"Immediate",IF(C127&gt;=Scoring!$B$17,"This week",IF(C127&gt;=Scoring!$B$18,"Nurture","Low"))))</f>
        <v>This week</v>
      </c>
      <c r="C127" s="3" t="n">
        <f aca="false">SUM(AC127:AH127)</f>
        <v>64</v>
      </c>
      <c r="D127" s="15" t="str">
        <f aca="false">IF(T127="Y","Superseded record",IF(AND(U127&lt;&gt;"",AA127&lt;0),"Expired (verified)",IF(AND(U127&lt;&gt;"",AA127&lt;=Scoring!$B$5),"Expiring: notice window (verified)",IF(AND(U127&lt;&gt;"",AA127&lt;=Scoring!$B$6),"Expiring: 10-yr horizon (verified)",IF(M127="No Longer Monitored","Out of program",IF(N127="","Unknown vintage",IF(N127&lt;Scoring!$B$12,"Pre-1990, still listed",IF(AND(U127="",AA127&lt;0),"Past 30-yr mark (verify)",IF(AND(U127="",AA127&lt;=Scoring!$B$5),"30-yr mark: notice window (est.)",IF(AND(O127&gt;=Scoring!$B$7,O127&lt;=Scoring!$B$8),"Year-15 window",IF(O127&gt;=Scoring!$B$9,"Recap window",IF(O127&gt;=11,"Late compliance","Credit period"))))))))))))</f>
        <v>Past 30-yr mark (verify)</v>
      </c>
      <c r="E127" s="15" t="s">
        <v>584</v>
      </c>
      <c r="F127" s="15" t="s">
        <v>585</v>
      </c>
      <c r="G127" s="15" t="s">
        <v>586</v>
      </c>
      <c r="H127" s="15" t="s">
        <v>97</v>
      </c>
      <c r="I127" s="15" t="s">
        <v>587</v>
      </c>
      <c r="J127" s="15" t="n">
        <v>59</v>
      </c>
      <c r="K127" s="15" t="n">
        <v>59</v>
      </c>
      <c r="L127" s="15" t="n">
        <f aca="false">IF(OR(J127="",K127=""),"",MAX(J127-K127,0))</f>
        <v>0</v>
      </c>
      <c r="M127" s="15" t="s">
        <v>99</v>
      </c>
      <c r="N127" s="17" t="n">
        <v>1995</v>
      </c>
      <c r="O127" s="15" t="n">
        <f aca="false">IF(N127="","",Scoring!$B$4-N127)</f>
        <v>31</v>
      </c>
      <c r="P127" s="15" t="n">
        <f aca="false">IF(N127="","",N127+14)</f>
        <v>2009</v>
      </c>
      <c r="Q127" s="15" t="n">
        <f aca="false">IF(N127="","",IF(N127&lt;Scoring!$B$12,"n/a (pre-1990)",N127+Scoring!$B$13))</f>
        <v>2024</v>
      </c>
      <c r="R127" s="15" t="str">
        <f aca="false">IF(J127="","Unknown",IF(J127&gt;=5,"Yes","No (under 5 units)"))</f>
        <v>Yes</v>
      </c>
      <c r="S127" s="15"/>
      <c r="T127" s="18"/>
      <c r="U127" s="19"/>
      <c r="V127" s="18"/>
      <c r="W127" s="18"/>
      <c r="X127" s="20"/>
      <c r="Y127" s="18"/>
      <c r="Z127" s="18"/>
      <c r="AA127" s="21" t="n">
        <f aca="false">IF(U127&lt;&gt;"",(U127-Scoring!$B$3)/365.25,IF(N127="","",IF(N127&lt;Scoring!$B$12,"",(DATE(N127+Scoring!$B$13,12,31)-Scoring!$B$3)/365.25)))</f>
        <v>-1.75222450376454</v>
      </c>
      <c r="AB127" s="22" t="n">
        <f aca="false">IF(T127="Y",0,IF(OR(D127="Expired (verified)",D127="Expiring: notice window (verified)",D127="Expiring: 10-yr horizon (verified)",D127="Past 30-yr mark (verify)",D127="30-yr mark: notice window (est.)",D127="Year-15 window"),1,0)+IF(ISNUMBER(O127),IF(O127&gt;=Scoring!$B$10,1,0),0)+IF(AND(ISNUMBER(L127),ISNUMBER(J127)),IF(J127&gt;0,IF(L127/J127&gt;=Scoring!$B$11,1,0),0),0)+IF(ISNUMBER(Z127),MIN(Z127,3),0))</f>
        <v>2</v>
      </c>
      <c r="AC127" s="22" t="n">
        <f aca="false">IF(AB127&gt;=3,Scoring!$C$24,IF(AB127=2,Scoring!$C$23,IF(AB127=1,Scoring!$C$22,0)))</f>
        <v>18</v>
      </c>
      <c r="AD127" s="22" t="n">
        <f aca="false">IF(T127="Y",0,IF(ISNUMBER(X127),IF(X127&gt;0.7,Scoring!$C$25,IF(X127&gt;=0.5,Scoring!$C$26,IF(X127&gt;=0.3,Scoring!$C$27,Scoring!$C$28))),Scoring!$C$29))</f>
        <v>10</v>
      </c>
      <c r="AE127" s="22" t="n">
        <f aca="false">IF(D127="Expiring: notice window (verified)",Scoring!$C$30,IF(OR(D127="Expired (verified)",D127="30-yr mark: notice window (est.)",D127="Year-15 window"),Scoring!$C$31,IF(D127="Expiring: 10-yr horizon (verified)",Scoring!$C$32,IF(D127="Past 30-yr mark (verify)",Scoring!$C$33,IF(OR(D127="Credit period",D127="Superseded record"),Scoring!$C$35,Scoring!$C$34)))))</f>
        <v>8</v>
      </c>
      <c r="AF127" s="22" t="n">
        <f aca="false">IF(T127="Y",0,IF(ISNUMBER(V127),IF(Scoring!$B$4-V127&gt;15,Scoring!$C$36,IF(Scoring!$B$4-V127&gt;=10,Scoring!$C$37,IF(Scoring!$B$4-V127&gt;=5,Scoring!$C$38,Scoring!$C$39))),IF(OR(N127="",D127="Out of program"),Scoring!$C$40,IF(O127&gt;15,Scoring!$C$36,IF(O127&gt;=10,Scoring!$C$37,IF(O127&gt;=5,Scoring!$C$38,Scoring!$C$39))))))</f>
        <v>15</v>
      </c>
      <c r="AG127" s="22" t="n">
        <f aca="false">IF(T127="Y",0,IF(Y127="Y",Scoring!$C$41,IF(ISNUMBER(O127),IF(O127&gt;=25,Scoring!$C$42,IF(O127&gt;=15,Scoring!$C$43,Scoring!$C$44)),Scoring!$C$44)))</f>
        <v>8</v>
      </c>
      <c r="AH127" s="22" t="n">
        <f aca="false">IF(T127="Y",0,IF(W127="",Scoring!$C$49,IFERROR(VLOOKUP(W127,Scoring!$B$45:$C$48,2,FALSE()),Scoring!$C$49)))</f>
        <v>5</v>
      </c>
      <c r="AI127" s="23" t="n">
        <f aca="false">C127+IF(ISNUMBER(J127),J127,0)/100000+(10000-ROW())/1000000000</f>
        <v>64.000599873</v>
      </c>
      <c r="AJ127" s="18"/>
      <c r="AK127" s="18"/>
      <c r="AL127" s="18"/>
      <c r="AM127" s="18"/>
    </row>
    <row r="128" customFormat="false" ht="15" hidden="false" customHeight="false" outlineLevel="0" collapsed="false">
      <c r="A128" s="15" t="n">
        <f aca="false">RANK(AI128,$AI$2:$AI$755)</f>
        <v>127</v>
      </c>
      <c r="B128" s="16" t="str">
        <f aca="false">IF(T128="Y","Superseded",IF(C128&gt;=Scoring!$B$16,"Immediate",IF(C128&gt;=Scoring!$B$17,"This week",IF(C128&gt;=Scoring!$B$18,"Nurture","Low"))))</f>
        <v>This week</v>
      </c>
      <c r="C128" s="3" t="n">
        <f aca="false">SUM(AC128:AH128)</f>
        <v>64</v>
      </c>
      <c r="D128" s="15" t="str">
        <f aca="false">IF(T128="Y","Superseded record",IF(AND(U128&lt;&gt;"",AA128&lt;0),"Expired (verified)",IF(AND(U128&lt;&gt;"",AA128&lt;=Scoring!$B$5),"Expiring: notice window (verified)",IF(AND(U128&lt;&gt;"",AA128&lt;=Scoring!$B$6),"Expiring: 10-yr horizon (verified)",IF(M128="No Longer Monitored","Out of program",IF(N128="","Unknown vintage",IF(N128&lt;Scoring!$B$12,"Pre-1990, still listed",IF(AND(U128="",AA128&lt;0),"Past 30-yr mark (verify)",IF(AND(U128="",AA128&lt;=Scoring!$B$5),"30-yr mark: notice window (est.)",IF(AND(O128&gt;=Scoring!$B$7,O128&lt;=Scoring!$B$8),"Year-15 window",IF(O128&gt;=Scoring!$B$9,"Recap window",IF(O128&gt;=11,"Late compliance","Credit period"))))))))))))</f>
        <v>Past 30-yr mark (verify)</v>
      </c>
      <c r="E128" s="15" t="s">
        <v>588</v>
      </c>
      <c r="F128" s="15" t="s">
        <v>589</v>
      </c>
      <c r="G128" s="15" t="s">
        <v>590</v>
      </c>
      <c r="H128" s="15" t="s">
        <v>499</v>
      </c>
      <c r="I128" s="15" t="s">
        <v>574</v>
      </c>
      <c r="J128" s="15" t="n">
        <v>58</v>
      </c>
      <c r="K128" s="15" t="n">
        <v>58</v>
      </c>
      <c r="L128" s="15" t="n">
        <f aca="false">IF(OR(J128="",K128=""),"",MAX(J128-K128,0))</f>
        <v>0</v>
      </c>
      <c r="M128" s="15" t="s">
        <v>99</v>
      </c>
      <c r="N128" s="17" t="n">
        <v>1991</v>
      </c>
      <c r="O128" s="15" t="n">
        <f aca="false">IF(N128="","",Scoring!$B$4-N128)</f>
        <v>35</v>
      </c>
      <c r="P128" s="15" t="n">
        <f aca="false">IF(N128="","",N128+14)</f>
        <v>2005</v>
      </c>
      <c r="Q128" s="15" t="n">
        <f aca="false">IF(N128="","",IF(N128&lt;Scoring!$B$12,"n/a (pre-1990)",N128+Scoring!$B$13))</f>
        <v>2020</v>
      </c>
      <c r="R128" s="15" t="str">
        <f aca="false">IF(J128="","Unknown",IF(J128&gt;=5,"Yes","No (under 5 units)"))</f>
        <v>Yes</v>
      </c>
      <c r="S128" s="15"/>
      <c r="T128" s="18"/>
      <c r="U128" s="19"/>
      <c r="V128" s="18"/>
      <c r="W128" s="18"/>
      <c r="X128" s="20"/>
      <c r="Y128" s="18"/>
      <c r="Z128" s="18"/>
      <c r="AA128" s="21" t="n">
        <f aca="false">IF(U128&lt;&gt;"",(U128-Scoring!$B$3)/365.25,IF(N128="","",IF(N128&lt;Scoring!$B$12,"",(DATE(N128+Scoring!$B$13,12,31)-Scoring!$B$3)/365.25)))</f>
        <v>-5.75222450376455</v>
      </c>
      <c r="AB128" s="22" t="n">
        <f aca="false">IF(T128="Y",0,IF(OR(D128="Expired (verified)",D128="Expiring: notice window (verified)",D128="Expiring: 10-yr horizon (verified)",D128="Past 30-yr mark (verify)",D128="30-yr mark: notice window (est.)",D128="Year-15 window"),1,0)+IF(ISNUMBER(O128),IF(O128&gt;=Scoring!$B$10,1,0),0)+IF(AND(ISNUMBER(L128),ISNUMBER(J128)),IF(J128&gt;0,IF(L128/J128&gt;=Scoring!$B$11,1,0),0),0)+IF(ISNUMBER(Z128),MIN(Z128,3),0))</f>
        <v>2</v>
      </c>
      <c r="AC128" s="22" t="n">
        <f aca="false">IF(AB128&gt;=3,Scoring!$C$24,IF(AB128=2,Scoring!$C$23,IF(AB128=1,Scoring!$C$22,0)))</f>
        <v>18</v>
      </c>
      <c r="AD128" s="22" t="n">
        <f aca="false">IF(T128="Y",0,IF(ISNUMBER(X128),IF(X128&gt;0.7,Scoring!$C$25,IF(X128&gt;=0.5,Scoring!$C$26,IF(X128&gt;=0.3,Scoring!$C$27,Scoring!$C$28))),Scoring!$C$29))</f>
        <v>10</v>
      </c>
      <c r="AE128" s="22" t="n">
        <f aca="false">IF(D128="Expiring: notice window (verified)",Scoring!$C$30,IF(OR(D128="Expired (verified)",D128="30-yr mark: notice window (est.)",D128="Year-15 window"),Scoring!$C$31,IF(D128="Expiring: 10-yr horizon (verified)",Scoring!$C$32,IF(D128="Past 30-yr mark (verify)",Scoring!$C$33,IF(OR(D128="Credit period",D128="Superseded record"),Scoring!$C$35,Scoring!$C$34)))))</f>
        <v>8</v>
      </c>
      <c r="AF128" s="22" t="n">
        <f aca="false">IF(T128="Y",0,IF(ISNUMBER(V128),IF(Scoring!$B$4-V128&gt;15,Scoring!$C$36,IF(Scoring!$B$4-V128&gt;=10,Scoring!$C$37,IF(Scoring!$B$4-V128&gt;=5,Scoring!$C$38,Scoring!$C$39))),IF(OR(N128="",D128="Out of program"),Scoring!$C$40,IF(O128&gt;15,Scoring!$C$36,IF(O128&gt;=10,Scoring!$C$37,IF(O128&gt;=5,Scoring!$C$38,Scoring!$C$39))))))</f>
        <v>15</v>
      </c>
      <c r="AG128" s="22" t="n">
        <f aca="false">IF(T128="Y",0,IF(Y128="Y",Scoring!$C$41,IF(ISNUMBER(O128),IF(O128&gt;=25,Scoring!$C$42,IF(O128&gt;=15,Scoring!$C$43,Scoring!$C$44)),Scoring!$C$44)))</f>
        <v>8</v>
      </c>
      <c r="AH128" s="22" t="n">
        <f aca="false">IF(T128="Y",0,IF(W128="",Scoring!$C$49,IFERROR(VLOOKUP(W128,Scoring!$B$45:$C$48,2,FALSE()),Scoring!$C$49)))</f>
        <v>5</v>
      </c>
      <c r="AI128" s="23" t="n">
        <f aca="false">C128+IF(ISNUMBER(J128),J128,0)/100000+(10000-ROW())/1000000000</f>
        <v>64.000589872</v>
      </c>
      <c r="AJ128" s="18"/>
      <c r="AK128" s="18"/>
      <c r="AL128" s="18"/>
      <c r="AM128" s="18"/>
    </row>
    <row r="129" customFormat="false" ht="15" hidden="false" customHeight="false" outlineLevel="0" collapsed="false">
      <c r="A129" s="15" t="n">
        <f aca="false">RANK(AI129,$AI$2:$AI$755)</f>
        <v>128</v>
      </c>
      <c r="B129" s="16" t="str">
        <f aca="false">IF(T129="Y","Superseded",IF(C129&gt;=Scoring!$B$16,"Immediate",IF(C129&gt;=Scoring!$B$17,"This week",IF(C129&gt;=Scoring!$B$18,"Nurture","Low"))))</f>
        <v>This week</v>
      </c>
      <c r="C129" s="3" t="n">
        <f aca="false">SUM(AC129:AH129)</f>
        <v>64</v>
      </c>
      <c r="D129" s="15" t="str">
        <f aca="false">IF(T129="Y","Superseded record",IF(AND(U129&lt;&gt;"",AA129&lt;0),"Expired (verified)",IF(AND(U129&lt;&gt;"",AA129&lt;=Scoring!$B$5),"Expiring: notice window (verified)",IF(AND(U129&lt;&gt;"",AA129&lt;=Scoring!$B$6),"Expiring: 10-yr horizon (verified)",IF(M129="No Longer Monitored","Out of program",IF(N129="","Unknown vintage",IF(N129&lt;Scoring!$B$12,"Pre-1990, still listed",IF(AND(U129="",AA129&lt;0),"Past 30-yr mark (verify)",IF(AND(U129="",AA129&lt;=Scoring!$B$5),"30-yr mark: notice window (est.)",IF(AND(O129&gt;=Scoring!$B$7,O129&lt;=Scoring!$B$8),"Year-15 window",IF(O129&gt;=Scoring!$B$9,"Recap window",IF(O129&gt;=11,"Late compliance","Credit period"))))))))))))</f>
        <v>Past 30-yr mark (verify)</v>
      </c>
      <c r="E129" s="15" t="s">
        <v>591</v>
      </c>
      <c r="F129" s="15" t="s">
        <v>592</v>
      </c>
      <c r="G129" s="15" t="s">
        <v>593</v>
      </c>
      <c r="H129" s="15" t="s">
        <v>107</v>
      </c>
      <c r="I129" s="15" t="s">
        <v>594</v>
      </c>
      <c r="J129" s="15" t="n">
        <v>54</v>
      </c>
      <c r="K129" s="15" t="n">
        <v>54</v>
      </c>
      <c r="L129" s="15" t="n">
        <f aca="false">IF(OR(J129="",K129=""),"",MAX(J129-K129,0))</f>
        <v>0</v>
      </c>
      <c r="M129" s="15" t="s">
        <v>99</v>
      </c>
      <c r="N129" s="17" t="n">
        <v>1992</v>
      </c>
      <c r="O129" s="15" t="n">
        <f aca="false">IF(N129="","",Scoring!$B$4-N129)</f>
        <v>34</v>
      </c>
      <c r="P129" s="15" t="n">
        <f aca="false">IF(N129="","",N129+14)</f>
        <v>2006</v>
      </c>
      <c r="Q129" s="15" t="n">
        <f aca="false">IF(N129="","",IF(N129&lt;Scoring!$B$12,"n/a (pre-1990)",N129+Scoring!$B$13))</f>
        <v>2021</v>
      </c>
      <c r="R129" s="15" t="str">
        <f aca="false">IF(J129="","Unknown",IF(J129&gt;=5,"Yes","No (under 5 units)"))</f>
        <v>Yes</v>
      </c>
      <c r="S129" s="15"/>
      <c r="T129" s="18"/>
      <c r="U129" s="19"/>
      <c r="V129" s="18"/>
      <c r="W129" s="18"/>
      <c r="X129" s="20"/>
      <c r="Y129" s="18"/>
      <c r="Z129" s="18"/>
      <c r="AA129" s="21" t="n">
        <f aca="false">IF(U129&lt;&gt;"",(U129-Scoring!$B$3)/365.25,IF(N129="","",IF(N129&lt;Scoring!$B$12,"",(DATE(N129+Scoring!$B$13,12,31)-Scoring!$B$3)/365.25)))</f>
        <v>-4.75290896646133</v>
      </c>
      <c r="AB129" s="22" t="n">
        <f aca="false">IF(T129="Y",0,IF(OR(D129="Expired (verified)",D129="Expiring: notice window (verified)",D129="Expiring: 10-yr horizon (verified)",D129="Past 30-yr mark (verify)",D129="30-yr mark: notice window (est.)",D129="Year-15 window"),1,0)+IF(ISNUMBER(O129),IF(O129&gt;=Scoring!$B$10,1,0),0)+IF(AND(ISNUMBER(L129),ISNUMBER(J129)),IF(J129&gt;0,IF(L129/J129&gt;=Scoring!$B$11,1,0),0),0)+IF(ISNUMBER(Z129),MIN(Z129,3),0))</f>
        <v>2</v>
      </c>
      <c r="AC129" s="22" t="n">
        <f aca="false">IF(AB129&gt;=3,Scoring!$C$24,IF(AB129=2,Scoring!$C$23,IF(AB129=1,Scoring!$C$22,0)))</f>
        <v>18</v>
      </c>
      <c r="AD129" s="22" t="n">
        <f aca="false">IF(T129="Y",0,IF(ISNUMBER(X129),IF(X129&gt;0.7,Scoring!$C$25,IF(X129&gt;=0.5,Scoring!$C$26,IF(X129&gt;=0.3,Scoring!$C$27,Scoring!$C$28))),Scoring!$C$29))</f>
        <v>10</v>
      </c>
      <c r="AE129" s="22" t="n">
        <f aca="false">IF(D129="Expiring: notice window (verified)",Scoring!$C$30,IF(OR(D129="Expired (verified)",D129="30-yr mark: notice window (est.)",D129="Year-15 window"),Scoring!$C$31,IF(D129="Expiring: 10-yr horizon (verified)",Scoring!$C$32,IF(D129="Past 30-yr mark (verify)",Scoring!$C$33,IF(OR(D129="Credit period",D129="Superseded record"),Scoring!$C$35,Scoring!$C$34)))))</f>
        <v>8</v>
      </c>
      <c r="AF129" s="22" t="n">
        <f aca="false">IF(T129="Y",0,IF(ISNUMBER(V129),IF(Scoring!$B$4-V129&gt;15,Scoring!$C$36,IF(Scoring!$B$4-V129&gt;=10,Scoring!$C$37,IF(Scoring!$B$4-V129&gt;=5,Scoring!$C$38,Scoring!$C$39))),IF(OR(N129="",D129="Out of program"),Scoring!$C$40,IF(O129&gt;15,Scoring!$C$36,IF(O129&gt;=10,Scoring!$C$37,IF(O129&gt;=5,Scoring!$C$38,Scoring!$C$39))))))</f>
        <v>15</v>
      </c>
      <c r="AG129" s="22" t="n">
        <f aca="false">IF(T129="Y",0,IF(Y129="Y",Scoring!$C$41,IF(ISNUMBER(O129),IF(O129&gt;=25,Scoring!$C$42,IF(O129&gt;=15,Scoring!$C$43,Scoring!$C$44)),Scoring!$C$44)))</f>
        <v>8</v>
      </c>
      <c r="AH129" s="22" t="n">
        <f aca="false">IF(T129="Y",0,IF(W129="",Scoring!$C$49,IFERROR(VLOOKUP(W129,Scoring!$B$45:$C$48,2,FALSE()),Scoring!$C$49)))</f>
        <v>5</v>
      </c>
      <c r="AI129" s="23" t="n">
        <f aca="false">C129+IF(ISNUMBER(J129),J129,0)/100000+(10000-ROW())/1000000000</f>
        <v>64.000549871</v>
      </c>
      <c r="AJ129" s="18"/>
      <c r="AK129" s="18"/>
      <c r="AL129" s="18"/>
      <c r="AM129" s="18"/>
    </row>
    <row r="130" customFormat="false" ht="15" hidden="false" customHeight="false" outlineLevel="0" collapsed="false">
      <c r="A130" s="15" t="n">
        <f aca="false">RANK(AI130,$AI$2:$AI$755)</f>
        <v>129</v>
      </c>
      <c r="B130" s="16" t="str">
        <f aca="false">IF(T130="Y","Superseded",IF(C130&gt;=Scoring!$B$16,"Immediate",IF(C130&gt;=Scoring!$B$17,"This week",IF(C130&gt;=Scoring!$B$18,"Nurture","Low"))))</f>
        <v>This week</v>
      </c>
      <c r="C130" s="3" t="n">
        <f aca="false">SUM(AC130:AH130)</f>
        <v>64</v>
      </c>
      <c r="D130" s="15" t="str">
        <f aca="false">IF(T130="Y","Superseded record",IF(AND(U130&lt;&gt;"",AA130&lt;0),"Expired (verified)",IF(AND(U130&lt;&gt;"",AA130&lt;=Scoring!$B$5),"Expiring: notice window (verified)",IF(AND(U130&lt;&gt;"",AA130&lt;=Scoring!$B$6),"Expiring: 10-yr horizon (verified)",IF(M130="No Longer Monitored","Out of program",IF(N130="","Unknown vintage",IF(N130&lt;Scoring!$B$12,"Pre-1990, still listed",IF(AND(U130="",AA130&lt;0),"Past 30-yr mark (verify)",IF(AND(U130="",AA130&lt;=Scoring!$B$5),"30-yr mark: notice window (est.)",IF(AND(O130&gt;=Scoring!$B$7,O130&lt;=Scoring!$B$8),"Year-15 window",IF(O130&gt;=Scoring!$B$9,"Recap window",IF(O130&gt;=11,"Late compliance","Credit period"))))))))))))</f>
        <v>Past 30-yr mark (verify)</v>
      </c>
      <c r="E130" s="15" t="s">
        <v>595</v>
      </c>
      <c r="F130" s="15" t="s">
        <v>596</v>
      </c>
      <c r="G130" s="15" t="s">
        <v>597</v>
      </c>
      <c r="H130" s="15" t="s">
        <v>598</v>
      </c>
      <c r="I130" s="15" t="s">
        <v>599</v>
      </c>
      <c r="J130" s="15" t="n">
        <v>50</v>
      </c>
      <c r="K130" s="15" t="n">
        <v>49</v>
      </c>
      <c r="L130" s="15" t="n">
        <f aca="false">IF(OR(J130="",K130=""),"",MAX(J130-K130,0))</f>
        <v>1</v>
      </c>
      <c r="M130" s="15" t="s">
        <v>99</v>
      </c>
      <c r="N130" s="17" t="n">
        <v>1995</v>
      </c>
      <c r="O130" s="15" t="n">
        <f aca="false">IF(N130="","",Scoring!$B$4-N130)</f>
        <v>31</v>
      </c>
      <c r="P130" s="15" t="n">
        <f aca="false">IF(N130="","",N130+14)</f>
        <v>2009</v>
      </c>
      <c r="Q130" s="15" t="n">
        <f aca="false">IF(N130="","",IF(N130&lt;Scoring!$B$12,"n/a (pre-1990)",N130+Scoring!$B$13))</f>
        <v>2024</v>
      </c>
      <c r="R130" s="15" t="str">
        <f aca="false">IF(J130="","Unknown",IF(J130&gt;=5,"Yes","No (under 5 units)"))</f>
        <v>Yes</v>
      </c>
      <c r="S130" s="15"/>
      <c r="T130" s="18"/>
      <c r="U130" s="19"/>
      <c r="V130" s="18"/>
      <c r="W130" s="18"/>
      <c r="X130" s="20"/>
      <c r="Y130" s="18"/>
      <c r="Z130" s="18"/>
      <c r="AA130" s="21" t="n">
        <f aca="false">IF(U130&lt;&gt;"",(U130-Scoring!$B$3)/365.25,IF(N130="","",IF(N130&lt;Scoring!$B$12,"",(DATE(N130+Scoring!$B$13,12,31)-Scoring!$B$3)/365.25)))</f>
        <v>-1.75222450376454</v>
      </c>
      <c r="AB130" s="22" t="n">
        <f aca="false">IF(T130="Y",0,IF(OR(D130="Expired (verified)",D130="Expiring: notice window (verified)",D130="Expiring: 10-yr horizon (verified)",D130="Past 30-yr mark (verify)",D130="30-yr mark: notice window (est.)",D130="Year-15 window"),1,0)+IF(ISNUMBER(O130),IF(O130&gt;=Scoring!$B$10,1,0),0)+IF(AND(ISNUMBER(L130),ISNUMBER(J130)),IF(J130&gt;0,IF(L130/J130&gt;=Scoring!$B$11,1,0),0),0)+IF(ISNUMBER(Z130),MIN(Z130,3),0))</f>
        <v>2</v>
      </c>
      <c r="AC130" s="22" t="n">
        <f aca="false">IF(AB130&gt;=3,Scoring!$C$24,IF(AB130=2,Scoring!$C$23,IF(AB130=1,Scoring!$C$22,0)))</f>
        <v>18</v>
      </c>
      <c r="AD130" s="22" t="n">
        <f aca="false">IF(T130="Y",0,IF(ISNUMBER(X130),IF(X130&gt;0.7,Scoring!$C$25,IF(X130&gt;=0.5,Scoring!$C$26,IF(X130&gt;=0.3,Scoring!$C$27,Scoring!$C$28))),Scoring!$C$29))</f>
        <v>10</v>
      </c>
      <c r="AE130" s="22" t="n">
        <f aca="false">IF(D130="Expiring: notice window (verified)",Scoring!$C$30,IF(OR(D130="Expired (verified)",D130="30-yr mark: notice window (est.)",D130="Year-15 window"),Scoring!$C$31,IF(D130="Expiring: 10-yr horizon (verified)",Scoring!$C$32,IF(D130="Past 30-yr mark (verify)",Scoring!$C$33,IF(OR(D130="Credit period",D130="Superseded record"),Scoring!$C$35,Scoring!$C$34)))))</f>
        <v>8</v>
      </c>
      <c r="AF130" s="22" t="n">
        <f aca="false">IF(T130="Y",0,IF(ISNUMBER(V130),IF(Scoring!$B$4-V130&gt;15,Scoring!$C$36,IF(Scoring!$B$4-V130&gt;=10,Scoring!$C$37,IF(Scoring!$B$4-V130&gt;=5,Scoring!$C$38,Scoring!$C$39))),IF(OR(N130="",D130="Out of program"),Scoring!$C$40,IF(O130&gt;15,Scoring!$C$36,IF(O130&gt;=10,Scoring!$C$37,IF(O130&gt;=5,Scoring!$C$38,Scoring!$C$39))))))</f>
        <v>15</v>
      </c>
      <c r="AG130" s="22" t="n">
        <f aca="false">IF(T130="Y",0,IF(Y130="Y",Scoring!$C$41,IF(ISNUMBER(O130),IF(O130&gt;=25,Scoring!$C$42,IF(O130&gt;=15,Scoring!$C$43,Scoring!$C$44)),Scoring!$C$44)))</f>
        <v>8</v>
      </c>
      <c r="AH130" s="22" t="n">
        <f aca="false">IF(T130="Y",0,IF(W130="",Scoring!$C$49,IFERROR(VLOOKUP(W130,Scoring!$B$45:$C$48,2,FALSE()),Scoring!$C$49)))</f>
        <v>5</v>
      </c>
      <c r="AI130" s="23" t="n">
        <f aca="false">C130+IF(ISNUMBER(J130),J130,0)/100000+(10000-ROW())/1000000000</f>
        <v>64.00050987</v>
      </c>
      <c r="AJ130" s="18"/>
      <c r="AK130" s="18"/>
      <c r="AL130" s="18"/>
      <c r="AM130" s="18"/>
    </row>
    <row r="131" customFormat="false" ht="15" hidden="false" customHeight="false" outlineLevel="0" collapsed="false">
      <c r="A131" s="15" t="n">
        <f aca="false">RANK(AI131,$AI$2:$AI$755)</f>
        <v>130</v>
      </c>
      <c r="B131" s="16" t="str">
        <f aca="false">IF(T131="Y","Superseded",IF(C131&gt;=Scoring!$B$16,"Immediate",IF(C131&gt;=Scoring!$B$17,"This week",IF(C131&gt;=Scoring!$B$18,"Nurture","Low"))))</f>
        <v>This week</v>
      </c>
      <c r="C131" s="3" t="n">
        <f aca="false">SUM(AC131:AH131)</f>
        <v>64</v>
      </c>
      <c r="D131" s="15" t="str">
        <f aca="false">IF(T131="Y","Superseded record",IF(AND(U131&lt;&gt;"",AA131&lt;0),"Expired (verified)",IF(AND(U131&lt;&gt;"",AA131&lt;=Scoring!$B$5),"Expiring: notice window (verified)",IF(AND(U131&lt;&gt;"",AA131&lt;=Scoring!$B$6),"Expiring: 10-yr horizon (verified)",IF(M131="No Longer Monitored","Out of program",IF(N131="","Unknown vintage",IF(N131&lt;Scoring!$B$12,"Pre-1990, still listed",IF(AND(U131="",AA131&lt;0),"Past 30-yr mark (verify)",IF(AND(U131="",AA131&lt;=Scoring!$B$5),"30-yr mark: notice window (est.)",IF(AND(O131&gt;=Scoring!$B$7,O131&lt;=Scoring!$B$8),"Year-15 window",IF(O131&gt;=Scoring!$B$9,"Recap window",IF(O131&gt;=11,"Late compliance","Credit period"))))))))))))</f>
        <v>Past 30-yr mark (verify)</v>
      </c>
      <c r="E131" s="15" t="s">
        <v>600</v>
      </c>
      <c r="F131" s="15" t="s">
        <v>601</v>
      </c>
      <c r="G131" s="15" t="s">
        <v>602</v>
      </c>
      <c r="H131" s="15" t="s">
        <v>151</v>
      </c>
      <c r="I131" s="15" t="s">
        <v>280</v>
      </c>
      <c r="J131" s="15" t="n">
        <v>48</v>
      </c>
      <c r="K131" s="15" t="n">
        <v>48</v>
      </c>
      <c r="L131" s="15" t="n">
        <f aca="false">IF(OR(J131="",K131=""),"",MAX(J131-K131,0))</f>
        <v>0</v>
      </c>
      <c r="M131" s="15" t="s">
        <v>99</v>
      </c>
      <c r="N131" s="17" t="n">
        <v>1991</v>
      </c>
      <c r="O131" s="15" t="n">
        <f aca="false">IF(N131="","",Scoring!$B$4-N131)</f>
        <v>35</v>
      </c>
      <c r="P131" s="15" t="n">
        <f aca="false">IF(N131="","",N131+14)</f>
        <v>2005</v>
      </c>
      <c r="Q131" s="15" t="n">
        <f aca="false">IF(N131="","",IF(N131&lt;Scoring!$B$12,"n/a (pre-1990)",N131+Scoring!$B$13))</f>
        <v>2020</v>
      </c>
      <c r="R131" s="15" t="str">
        <f aca="false">IF(J131="","Unknown",IF(J131&gt;=5,"Yes","No (under 5 units)"))</f>
        <v>Yes</v>
      </c>
      <c r="S131" s="15"/>
      <c r="T131" s="18"/>
      <c r="U131" s="19"/>
      <c r="V131" s="18"/>
      <c r="W131" s="18"/>
      <c r="X131" s="20"/>
      <c r="Y131" s="18"/>
      <c r="Z131" s="18"/>
      <c r="AA131" s="21" t="n">
        <f aca="false">IF(U131&lt;&gt;"",(U131-Scoring!$B$3)/365.25,IF(N131="","",IF(N131&lt;Scoring!$B$12,"",(DATE(N131+Scoring!$B$13,12,31)-Scoring!$B$3)/365.25)))</f>
        <v>-5.75222450376455</v>
      </c>
      <c r="AB131" s="22" t="n">
        <f aca="false">IF(T131="Y",0,IF(OR(D131="Expired (verified)",D131="Expiring: notice window (verified)",D131="Expiring: 10-yr horizon (verified)",D131="Past 30-yr mark (verify)",D131="30-yr mark: notice window (est.)",D131="Year-15 window"),1,0)+IF(ISNUMBER(O131),IF(O131&gt;=Scoring!$B$10,1,0),0)+IF(AND(ISNUMBER(L131),ISNUMBER(J131)),IF(J131&gt;0,IF(L131/J131&gt;=Scoring!$B$11,1,0),0),0)+IF(ISNUMBER(Z131),MIN(Z131,3),0))</f>
        <v>2</v>
      </c>
      <c r="AC131" s="22" t="n">
        <f aca="false">IF(AB131&gt;=3,Scoring!$C$24,IF(AB131=2,Scoring!$C$23,IF(AB131=1,Scoring!$C$22,0)))</f>
        <v>18</v>
      </c>
      <c r="AD131" s="22" t="n">
        <f aca="false">IF(T131="Y",0,IF(ISNUMBER(X131),IF(X131&gt;0.7,Scoring!$C$25,IF(X131&gt;=0.5,Scoring!$C$26,IF(X131&gt;=0.3,Scoring!$C$27,Scoring!$C$28))),Scoring!$C$29))</f>
        <v>10</v>
      </c>
      <c r="AE131" s="22" t="n">
        <f aca="false">IF(D131="Expiring: notice window (verified)",Scoring!$C$30,IF(OR(D131="Expired (verified)",D131="30-yr mark: notice window (est.)",D131="Year-15 window"),Scoring!$C$31,IF(D131="Expiring: 10-yr horizon (verified)",Scoring!$C$32,IF(D131="Past 30-yr mark (verify)",Scoring!$C$33,IF(OR(D131="Credit period",D131="Superseded record"),Scoring!$C$35,Scoring!$C$34)))))</f>
        <v>8</v>
      </c>
      <c r="AF131" s="22" t="n">
        <f aca="false">IF(T131="Y",0,IF(ISNUMBER(V131),IF(Scoring!$B$4-V131&gt;15,Scoring!$C$36,IF(Scoring!$B$4-V131&gt;=10,Scoring!$C$37,IF(Scoring!$B$4-V131&gt;=5,Scoring!$C$38,Scoring!$C$39))),IF(OR(N131="",D131="Out of program"),Scoring!$C$40,IF(O131&gt;15,Scoring!$C$36,IF(O131&gt;=10,Scoring!$C$37,IF(O131&gt;=5,Scoring!$C$38,Scoring!$C$39))))))</f>
        <v>15</v>
      </c>
      <c r="AG131" s="22" t="n">
        <f aca="false">IF(T131="Y",0,IF(Y131="Y",Scoring!$C$41,IF(ISNUMBER(O131),IF(O131&gt;=25,Scoring!$C$42,IF(O131&gt;=15,Scoring!$C$43,Scoring!$C$44)),Scoring!$C$44)))</f>
        <v>8</v>
      </c>
      <c r="AH131" s="22" t="n">
        <f aca="false">IF(T131="Y",0,IF(W131="",Scoring!$C$49,IFERROR(VLOOKUP(W131,Scoring!$B$45:$C$48,2,FALSE()),Scoring!$C$49)))</f>
        <v>5</v>
      </c>
      <c r="AI131" s="23" t="n">
        <f aca="false">C131+IF(ISNUMBER(J131),J131,0)/100000+(10000-ROW())/1000000000</f>
        <v>64.000489869</v>
      </c>
      <c r="AJ131" s="18"/>
      <c r="AK131" s="18"/>
      <c r="AL131" s="18"/>
      <c r="AM131" s="18"/>
    </row>
    <row r="132" customFormat="false" ht="15" hidden="false" customHeight="false" outlineLevel="0" collapsed="false">
      <c r="A132" s="15" t="n">
        <f aca="false">RANK(AI132,$AI$2:$AI$755)</f>
        <v>131</v>
      </c>
      <c r="B132" s="16" t="str">
        <f aca="false">IF(T132="Y","Superseded",IF(C132&gt;=Scoring!$B$16,"Immediate",IF(C132&gt;=Scoring!$B$17,"This week",IF(C132&gt;=Scoring!$B$18,"Nurture","Low"))))</f>
        <v>This week</v>
      </c>
      <c r="C132" s="3" t="n">
        <f aca="false">SUM(AC132:AH132)</f>
        <v>64</v>
      </c>
      <c r="D132" s="15" t="str">
        <f aca="false">IF(T132="Y","Superseded record",IF(AND(U132&lt;&gt;"",AA132&lt;0),"Expired (verified)",IF(AND(U132&lt;&gt;"",AA132&lt;=Scoring!$B$5),"Expiring: notice window (verified)",IF(AND(U132&lt;&gt;"",AA132&lt;=Scoring!$B$6),"Expiring: 10-yr horizon (verified)",IF(M132="No Longer Monitored","Out of program",IF(N132="","Unknown vintage",IF(N132&lt;Scoring!$B$12,"Pre-1990, still listed",IF(AND(U132="",AA132&lt;0),"Past 30-yr mark (verify)",IF(AND(U132="",AA132&lt;=Scoring!$B$5),"30-yr mark: notice window (est.)",IF(AND(O132&gt;=Scoring!$B$7,O132&lt;=Scoring!$B$8),"Year-15 window",IF(O132&gt;=Scoring!$B$9,"Recap window",IF(O132&gt;=11,"Late compliance","Credit period"))))))))))))</f>
        <v>Past 30-yr mark (verify)</v>
      </c>
      <c r="E132" s="15" t="s">
        <v>603</v>
      </c>
      <c r="F132" s="15" t="s">
        <v>604</v>
      </c>
      <c r="G132" s="15" t="s">
        <v>605</v>
      </c>
      <c r="H132" s="15" t="s">
        <v>499</v>
      </c>
      <c r="I132" s="15" t="s">
        <v>500</v>
      </c>
      <c r="J132" s="15" t="n">
        <v>48</v>
      </c>
      <c r="K132" s="15" t="n">
        <v>48</v>
      </c>
      <c r="L132" s="15" t="n">
        <f aca="false">IF(OR(J132="",K132=""),"",MAX(J132-K132,0))</f>
        <v>0</v>
      </c>
      <c r="M132" s="15" t="s">
        <v>99</v>
      </c>
      <c r="N132" s="17" t="n">
        <v>1995</v>
      </c>
      <c r="O132" s="15" t="n">
        <f aca="false">IF(N132="","",Scoring!$B$4-N132)</f>
        <v>31</v>
      </c>
      <c r="P132" s="15" t="n">
        <f aca="false">IF(N132="","",N132+14)</f>
        <v>2009</v>
      </c>
      <c r="Q132" s="15" t="n">
        <f aca="false">IF(N132="","",IF(N132&lt;Scoring!$B$12,"n/a (pre-1990)",N132+Scoring!$B$13))</f>
        <v>2024</v>
      </c>
      <c r="R132" s="15" t="str">
        <f aca="false">IF(J132="","Unknown",IF(J132&gt;=5,"Yes","No (under 5 units)"))</f>
        <v>Yes</v>
      </c>
      <c r="S132" s="15"/>
      <c r="T132" s="18"/>
      <c r="U132" s="19"/>
      <c r="V132" s="18"/>
      <c r="W132" s="18"/>
      <c r="X132" s="20"/>
      <c r="Y132" s="18"/>
      <c r="Z132" s="18"/>
      <c r="AA132" s="21" t="n">
        <f aca="false">IF(U132&lt;&gt;"",(U132-Scoring!$B$3)/365.25,IF(N132="","",IF(N132&lt;Scoring!$B$12,"",(DATE(N132+Scoring!$B$13,12,31)-Scoring!$B$3)/365.25)))</f>
        <v>-1.75222450376454</v>
      </c>
      <c r="AB132" s="22" t="n">
        <f aca="false">IF(T132="Y",0,IF(OR(D132="Expired (verified)",D132="Expiring: notice window (verified)",D132="Expiring: 10-yr horizon (verified)",D132="Past 30-yr mark (verify)",D132="30-yr mark: notice window (est.)",D132="Year-15 window"),1,0)+IF(ISNUMBER(O132),IF(O132&gt;=Scoring!$B$10,1,0),0)+IF(AND(ISNUMBER(L132),ISNUMBER(J132)),IF(J132&gt;0,IF(L132/J132&gt;=Scoring!$B$11,1,0),0),0)+IF(ISNUMBER(Z132),MIN(Z132,3),0))</f>
        <v>2</v>
      </c>
      <c r="AC132" s="22" t="n">
        <f aca="false">IF(AB132&gt;=3,Scoring!$C$24,IF(AB132=2,Scoring!$C$23,IF(AB132=1,Scoring!$C$22,0)))</f>
        <v>18</v>
      </c>
      <c r="AD132" s="22" t="n">
        <f aca="false">IF(T132="Y",0,IF(ISNUMBER(X132),IF(X132&gt;0.7,Scoring!$C$25,IF(X132&gt;=0.5,Scoring!$C$26,IF(X132&gt;=0.3,Scoring!$C$27,Scoring!$C$28))),Scoring!$C$29))</f>
        <v>10</v>
      </c>
      <c r="AE132" s="22" t="n">
        <f aca="false">IF(D132="Expiring: notice window (verified)",Scoring!$C$30,IF(OR(D132="Expired (verified)",D132="30-yr mark: notice window (est.)",D132="Year-15 window"),Scoring!$C$31,IF(D132="Expiring: 10-yr horizon (verified)",Scoring!$C$32,IF(D132="Past 30-yr mark (verify)",Scoring!$C$33,IF(OR(D132="Credit period",D132="Superseded record"),Scoring!$C$35,Scoring!$C$34)))))</f>
        <v>8</v>
      </c>
      <c r="AF132" s="22" t="n">
        <f aca="false">IF(T132="Y",0,IF(ISNUMBER(V132),IF(Scoring!$B$4-V132&gt;15,Scoring!$C$36,IF(Scoring!$B$4-V132&gt;=10,Scoring!$C$37,IF(Scoring!$B$4-V132&gt;=5,Scoring!$C$38,Scoring!$C$39))),IF(OR(N132="",D132="Out of program"),Scoring!$C$40,IF(O132&gt;15,Scoring!$C$36,IF(O132&gt;=10,Scoring!$C$37,IF(O132&gt;=5,Scoring!$C$38,Scoring!$C$39))))))</f>
        <v>15</v>
      </c>
      <c r="AG132" s="22" t="n">
        <f aca="false">IF(T132="Y",0,IF(Y132="Y",Scoring!$C$41,IF(ISNUMBER(O132),IF(O132&gt;=25,Scoring!$C$42,IF(O132&gt;=15,Scoring!$C$43,Scoring!$C$44)),Scoring!$C$44)))</f>
        <v>8</v>
      </c>
      <c r="AH132" s="22" t="n">
        <f aca="false">IF(T132="Y",0,IF(W132="",Scoring!$C$49,IFERROR(VLOOKUP(W132,Scoring!$B$45:$C$48,2,FALSE()),Scoring!$C$49)))</f>
        <v>5</v>
      </c>
      <c r="AI132" s="23" t="n">
        <f aca="false">C132+IF(ISNUMBER(J132),J132,0)/100000+(10000-ROW())/1000000000</f>
        <v>64.000489868</v>
      </c>
      <c r="AJ132" s="18"/>
      <c r="AK132" s="18"/>
      <c r="AL132" s="18"/>
      <c r="AM132" s="18"/>
    </row>
    <row r="133" customFormat="false" ht="15" hidden="false" customHeight="false" outlineLevel="0" collapsed="false">
      <c r="A133" s="15" t="n">
        <f aca="false">RANK(AI133,$AI$2:$AI$755)</f>
        <v>132</v>
      </c>
      <c r="B133" s="16" t="str">
        <f aca="false">IF(T133="Y","Superseded",IF(C133&gt;=Scoring!$B$16,"Immediate",IF(C133&gt;=Scoring!$B$17,"This week",IF(C133&gt;=Scoring!$B$18,"Nurture","Low"))))</f>
        <v>This week</v>
      </c>
      <c r="C133" s="3" t="n">
        <f aca="false">SUM(AC133:AH133)</f>
        <v>64</v>
      </c>
      <c r="D133" s="15" t="str">
        <f aca="false">IF(T133="Y","Superseded record",IF(AND(U133&lt;&gt;"",AA133&lt;0),"Expired (verified)",IF(AND(U133&lt;&gt;"",AA133&lt;=Scoring!$B$5),"Expiring: notice window (verified)",IF(AND(U133&lt;&gt;"",AA133&lt;=Scoring!$B$6),"Expiring: 10-yr horizon (verified)",IF(M133="No Longer Monitored","Out of program",IF(N133="","Unknown vintage",IF(N133&lt;Scoring!$B$12,"Pre-1990, still listed",IF(AND(U133="",AA133&lt;0),"Past 30-yr mark (verify)",IF(AND(U133="",AA133&lt;=Scoring!$B$5),"30-yr mark: notice window (est.)",IF(AND(O133&gt;=Scoring!$B$7,O133&lt;=Scoring!$B$8),"Year-15 window",IF(O133&gt;=Scoring!$B$9,"Recap window",IF(O133&gt;=11,"Late compliance","Credit period"))))))))))))</f>
        <v>Past 30-yr mark (verify)</v>
      </c>
      <c r="E133" s="15" t="s">
        <v>606</v>
      </c>
      <c r="F133" s="15" t="s">
        <v>607</v>
      </c>
      <c r="G133" s="15" t="s">
        <v>608</v>
      </c>
      <c r="H133" s="15" t="s">
        <v>97</v>
      </c>
      <c r="I133" s="15" t="s">
        <v>245</v>
      </c>
      <c r="J133" s="15" t="n">
        <v>48</v>
      </c>
      <c r="K133" s="15" t="n">
        <v>48</v>
      </c>
      <c r="L133" s="15" t="n">
        <f aca="false">IF(OR(J133="",K133=""),"",MAX(J133-K133,0))</f>
        <v>0</v>
      </c>
      <c r="M133" s="15" t="s">
        <v>99</v>
      </c>
      <c r="N133" s="17" t="n">
        <v>1996</v>
      </c>
      <c r="O133" s="15" t="n">
        <f aca="false">IF(N133="","",Scoring!$B$4-N133)</f>
        <v>30</v>
      </c>
      <c r="P133" s="15" t="n">
        <f aca="false">IF(N133="","",N133+14)</f>
        <v>2010</v>
      </c>
      <c r="Q133" s="15" t="n">
        <f aca="false">IF(N133="","",IF(N133&lt;Scoring!$B$12,"n/a (pre-1990)",N133+Scoring!$B$13))</f>
        <v>2025</v>
      </c>
      <c r="R133" s="15" t="str">
        <f aca="false">IF(J133="","Unknown",IF(J133&gt;=5,"Yes","No (under 5 units)"))</f>
        <v>Yes</v>
      </c>
      <c r="S133" s="15"/>
      <c r="T133" s="18"/>
      <c r="U133" s="19"/>
      <c r="V133" s="18"/>
      <c r="W133" s="18"/>
      <c r="X133" s="20"/>
      <c r="Y133" s="18"/>
      <c r="Z133" s="18"/>
      <c r="AA133" s="21" t="n">
        <f aca="false">IF(U133&lt;&gt;"",(U133-Scoring!$B$3)/365.25,IF(N133="","",IF(N133&lt;Scoring!$B$12,"",(DATE(N133+Scoring!$B$13,12,31)-Scoring!$B$3)/365.25)))</f>
        <v>-0.752908966461328</v>
      </c>
      <c r="AB133" s="22" t="n">
        <f aca="false">IF(T133="Y",0,IF(OR(D133="Expired (verified)",D133="Expiring: notice window (verified)",D133="Expiring: 10-yr horizon (verified)",D133="Past 30-yr mark (verify)",D133="30-yr mark: notice window (est.)",D133="Year-15 window"),1,0)+IF(ISNUMBER(O133),IF(O133&gt;=Scoring!$B$10,1,0),0)+IF(AND(ISNUMBER(L133),ISNUMBER(J133)),IF(J133&gt;0,IF(L133/J133&gt;=Scoring!$B$11,1,0),0),0)+IF(ISNUMBER(Z133),MIN(Z133,3),0))</f>
        <v>2</v>
      </c>
      <c r="AC133" s="22" t="n">
        <f aca="false">IF(AB133&gt;=3,Scoring!$C$24,IF(AB133=2,Scoring!$C$23,IF(AB133=1,Scoring!$C$22,0)))</f>
        <v>18</v>
      </c>
      <c r="AD133" s="22" t="n">
        <f aca="false">IF(T133="Y",0,IF(ISNUMBER(X133),IF(X133&gt;0.7,Scoring!$C$25,IF(X133&gt;=0.5,Scoring!$C$26,IF(X133&gt;=0.3,Scoring!$C$27,Scoring!$C$28))),Scoring!$C$29))</f>
        <v>10</v>
      </c>
      <c r="AE133" s="22" t="n">
        <f aca="false">IF(D133="Expiring: notice window (verified)",Scoring!$C$30,IF(OR(D133="Expired (verified)",D133="30-yr mark: notice window (est.)",D133="Year-15 window"),Scoring!$C$31,IF(D133="Expiring: 10-yr horizon (verified)",Scoring!$C$32,IF(D133="Past 30-yr mark (verify)",Scoring!$C$33,IF(OR(D133="Credit period",D133="Superseded record"),Scoring!$C$35,Scoring!$C$34)))))</f>
        <v>8</v>
      </c>
      <c r="AF133" s="22" t="n">
        <f aca="false">IF(T133="Y",0,IF(ISNUMBER(V133),IF(Scoring!$B$4-V133&gt;15,Scoring!$C$36,IF(Scoring!$B$4-V133&gt;=10,Scoring!$C$37,IF(Scoring!$B$4-V133&gt;=5,Scoring!$C$38,Scoring!$C$39))),IF(OR(N133="",D133="Out of program"),Scoring!$C$40,IF(O133&gt;15,Scoring!$C$36,IF(O133&gt;=10,Scoring!$C$37,IF(O133&gt;=5,Scoring!$C$38,Scoring!$C$39))))))</f>
        <v>15</v>
      </c>
      <c r="AG133" s="22" t="n">
        <f aca="false">IF(T133="Y",0,IF(Y133="Y",Scoring!$C$41,IF(ISNUMBER(O133),IF(O133&gt;=25,Scoring!$C$42,IF(O133&gt;=15,Scoring!$C$43,Scoring!$C$44)),Scoring!$C$44)))</f>
        <v>8</v>
      </c>
      <c r="AH133" s="22" t="n">
        <f aca="false">IF(T133="Y",0,IF(W133="",Scoring!$C$49,IFERROR(VLOOKUP(W133,Scoring!$B$45:$C$48,2,FALSE()),Scoring!$C$49)))</f>
        <v>5</v>
      </c>
      <c r="AI133" s="23" t="n">
        <f aca="false">C133+IF(ISNUMBER(J133),J133,0)/100000+(10000-ROW())/1000000000</f>
        <v>64.000489867</v>
      </c>
      <c r="AJ133" s="18"/>
      <c r="AK133" s="18"/>
      <c r="AL133" s="18"/>
      <c r="AM133" s="18"/>
    </row>
    <row r="134" customFormat="false" ht="15" hidden="false" customHeight="false" outlineLevel="0" collapsed="false">
      <c r="A134" s="15" t="n">
        <f aca="false">RANK(AI134,$AI$2:$AI$755)</f>
        <v>133</v>
      </c>
      <c r="B134" s="16" t="str">
        <f aca="false">IF(T134="Y","Superseded",IF(C134&gt;=Scoring!$B$16,"Immediate",IF(C134&gt;=Scoring!$B$17,"This week",IF(C134&gt;=Scoring!$B$18,"Nurture","Low"))))</f>
        <v>This week</v>
      </c>
      <c r="C134" s="3" t="n">
        <f aca="false">SUM(AC134:AH134)</f>
        <v>64</v>
      </c>
      <c r="D134" s="15" t="str">
        <f aca="false">IF(T134="Y","Superseded record",IF(AND(U134&lt;&gt;"",AA134&lt;0),"Expired (verified)",IF(AND(U134&lt;&gt;"",AA134&lt;=Scoring!$B$5),"Expiring: notice window (verified)",IF(AND(U134&lt;&gt;"",AA134&lt;=Scoring!$B$6),"Expiring: 10-yr horizon (verified)",IF(M134="No Longer Monitored","Out of program",IF(N134="","Unknown vintage",IF(N134&lt;Scoring!$B$12,"Pre-1990, still listed",IF(AND(U134="",AA134&lt;0),"Past 30-yr mark (verify)",IF(AND(U134="",AA134&lt;=Scoring!$B$5),"30-yr mark: notice window (est.)",IF(AND(O134&gt;=Scoring!$B$7,O134&lt;=Scoring!$B$8),"Year-15 window",IF(O134&gt;=Scoring!$B$9,"Recap window",IF(O134&gt;=11,"Late compliance","Credit period"))))))))))))</f>
        <v>Past 30-yr mark (verify)</v>
      </c>
      <c r="E134" s="15" t="s">
        <v>609</v>
      </c>
      <c r="F134" s="15" t="s">
        <v>610</v>
      </c>
      <c r="G134" s="15" t="s">
        <v>611</v>
      </c>
      <c r="H134" s="15" t="s">
        <v>612</v>
      </c>
      <c r="I134" s="15" t="s">
        <v>613</v>
      </c>
      <c r="J134" s="15" t="n">
        <v>48</v>
      </c>
      <c r="K134" s="15" t="n">
        <v>48</v>
      </c>
      <c r="L134" s="15" t="n">
        <f aca="false">IF(OR(J134="",K134=""),"",MAX(J134-K134,0))</f>
        <v>0</v>
      </c>
      <c r="M134" s="15" t="s">
        <v>99</v>
      </c>
      <c r="N134" s="17" t="n">
        <v>1996</v>
      </c>
      <c r="O134" s="15" t="n">
        <f aca="false">IF(N134="","",Scoring!$B$4-N134)</f>
        <v>30</v>
      </c>
      <c r="P134" s="15" t="n">
        <f aca="false">IF(N134="","",N134+14)</f>
        <v>2010</v>
      </c>
      <c r="Q134" s="15" t="n">
        <f aca="false">IF(N134="","",IF(N134&lt;Scoring!$B$12,"n/a (pre-1990)",N134+Scoring!$B$13))</f>
        <v>2025</v>
      </c>
      <c r="R134" s="15" t="str">
        <f aca="false">IF(J134="","Unknown",IF(J134&gt;=5,"Yes","No (under 5 units)"))</f>
        <v>Yes</v>
      </c>
      <c r="S134" s="15"/>
      <c r="T134" s="18"/>
      <c r="U134" s="19"/>
      <c r="V134" s="18"/>
      <c r="W134" s="18"/>
      <c r="X134" s="20"/>
      <c r="Y134" s="18"/>
      <c r="Z134" s="18"/>
      <c r="AA134" s="21" t="n">
        <f aca="false">IF(U134&lt;&gt;"",(U134-Scoring!$B$3)/365.25,IF(N134="","",IF(N134&lt;Scoring!$B$12,"",(DATE(N134+Scoring!$B$13,12,31)-Scoring!$B$3)/365.25)))</f>
        <v>-0.752908966461328</v>
      </c>
      <c r="AB134" s="22" t="n">
        <f aca="false">IF(T134="Y",0,IF(OR(D134="Expired (verified)",D134="Expiring: notice window (verified)",D134="Expiring: 10-yr horizon (verified)",D134="Past 30-yr mark (verify)",D134="30-yr mark: notice window (est.)",D134="Year-15 window"),1,0)+IF(ISNUMBER(O134),IF(O134&gt;=Scoring!$B$10,1,0),0)+IF(AND(ISNUMBER(L134),ISNUMBER(J134)),IF(J134&gt;0,IF(L134/J134&gt;=Scoring!$B$11,1,0),0),0)+IF(ISNUMBER(Z134),MIN(Z134,3),0))</f>
        <v>2</v>
      </c>
      <c r="AC134" s="22" t="n">
        <f aca="false">IF(AB134&gt;=3,Scoring!$C$24,IF(AB134=2,Scoring!$C$23,IF(AB134=1,Scoring!$C$22,0)))</f>
        <v>18</v>
      </c>
      <c r="AD134" s="22" t="n">
        <f aca="false">IF(T134="Y",0,IF(ISNUMBER(X134),IF(X134&gt;0.7,Scoring!$C$25,IF(X134&gt;=0.5,Scoring!$C$26,IF(X134&gt;=0.3,Scoring!$C$27,Scoring!$C$28))),Scoring!$C$29))</f>
        <v>10</v>
      </c>
      <c r="AE134" s="22" t="n">
        <f aca="false">IF(D134="Expiring: notice window (verified)",Scoring!$C$30,IF(OR(D134="Expired (verified)",D134="30-yr mark: notice window (est.)",D134="Year-15 window"),Scoring!$C$31,IF(D134="Expiring: 10-yr horizon (verified)",Scoring!$C$32,IF(D134="Past 30-yr mark (verify)",Scoring!$C$33,IF(OR(D134="Credit period",D134="Superseded record"),Scoring!$C$35,Scoring!$C$34)))))</f>
        <v>8</v>
      </c>
      <c r="AF134" s="22" t="n">
        <f aca="false">IF(T134="Y",0,IF(ISNUMBER(V134),IF(Scoring!$B$4-V134&gt;15,Scoring!$C$36,IF(Scoring!$B$4-V134&gt;=10,Scoring!$C$37,IF(Scoring!$B$4-V134&gt;=5,Scoring!$C$38,Scoring!$C$39))),IF(OR(N134="",D134="Out of program"),Scoring!$C$40,IF(O134&gt;15,Scoring!$C$36,IF(O134&gt;=10,Scoring!$C$37,IF(O134&gt;=5,Scoring!$C$38,Scoring!$C$39))))))</f>
        <v>15</v>
      </c>
      <c r="AG134" s="22" t="n">
        <f aca="false">IF(T134="Y",0,IF(Y134="Y",Scoring!$C$41,IF(ISNUMBER(O134),IF(O134&gt;=25,Scoring!$C$42,IF(O134&gt;=15,Scoring!$C$43,Scoring!$C$44)),Scoring!$C$44)))</f>
        <v>8</v>
      </c>
      <c r="AH134" s="22" t="n">
        <f aca="false">IF(T134="Y",0,IF(W134="",Scoring!$C$49,IFERROR(VLOOKUP(W134,Scoring!$B$45:$C$48,2,FALSE()),Scoring!$C$49)))</f>
        <v>5</v>
      </c>
      <c r="AI134" s="23" t="n">
        <f aca="false">C134+IF(ISNUMBER(J134),J134,0)/100000+(10000-ROW())/1000000000</f>
        <v>64.000489866</v>
      </c>
      <c r="AJ134" s="18"/>
      <c r="AK134" s="18"/>
      <c r="AL134" s="18"/>
      <c r="AM134" s="18"/>
    </row>
    <row r="135" customFormat="false" ht="15" hidden="false" customHeight="false" outlineLevel="0" collapsed="false">
      <c r="A135" s="15" t="n">
        <f aca="false">RANK(AI135,$AI$2:$AI$755)</f>
        <v>134</v>
      </c>
      <c r="B135" s="16" t="str">
        <f aca="false">IF(T135="Y","Superseded",IF(C135&gt;=Scoring!$B$16,"Immediate",IF(C135&gt;=Scoring!$B$17,"This week",IF(C135&gt;=Scoring!$B$18,"Nurture","Low"))))</f>
        <v>This week</v>
      </c>
      <c r="C135" s="3" t="n">
        <f aca="false">SUM(AC135:AH135)</f>
        <v>64</v>
      </c>
      <c r="D135" s="15" t="str">
        <f aca="false">IF(T135="Y","Superseded record",IF(AND(U135&lt;&gt;"",AA135&lt;0),"Expired (verified)",IF(AND(U135&lt;&gt;"",AA135&lt;=Scoring!$B$5),"Expiring: notice window (verified)",IF(AND(U135&lt;&gt;"",AA135&lt;=Scoring!$B$6),"Expiring: 10-yr horizon (verified)",IF(M135="No Longer Monitored","Out of program",IF(N135="","Unknown vintage",IF(N135&lt;Scoring!$B$12,"Pre-1990, still listed",IF(AND(U135="",AA135&lt;0),"Past 30-yr mark (verify)",IF(AND(U135="",AA135&lt;=Scoring!$B$5),"30-yr mark: notice window (est.)",IF(AND(O135&gt;=Scoring!$B$7,O135&lt;=Scoring!$B$8),"Year-15 window",IF(O135&gt;=Scoring!$B$9,"Recap window",IF(O135&gt;=11,"Late compliance","Credit period"))))))))))))</f>
        <v>Past 30-yr mark (verify)</v>
      </c>
      <c r="E135" s="15" t="s">
        <v>614</v>
      </c>
      <c r="F135" s="15" t="s">
        <v>615</v>
      </c>
      <c r="G135" s="15" t="s">
        <v>616</v>
      </c>
      <c r="H135" s="15" t="s">
        <v>617</v>
      </c>
      <c r="I135" s="15" t="s">
        <v>618</v>
      </c>
      <c r="J135" s="15" t="n">
        <v>45</v>
      </c>
      <c r="K135" s="15"/>
      <c r="L135" s="15" t="str">
        <f aca="false">IF(OR(J135="",K135=""),"",MAX(J135-K135,0))</f>
        <v/>
      </c>
      <c r="M135" s="15" t="s">
        <v>99</v>
      </c>
      <c r="N135" s="17" t="n">
        <v>1992</v>
      </c>
      <c r="O135" s="15" t="n">
        <f aca="false">IF(N135="","",Scoring!$B$4-N135)</f>
        <v>34</v>
      </c>
      <c r="P135" s="15" t="n">
        <f aca="false">IF(N135="","",N135+14)</f>
        <v>2006</v>
      </c>
      <c r="Q135" s="15" t="n">
        <f aca="false">IF(N135="","",IF(N135&lt;Scoring!$B$12,"n/a (pre-1990)",N135+Scoring!$B$13))</f>
        <v>2021</v>
      </c>
      <c r="R135" s="15" t="str">
        <f aca="false">IF(J135="","Unknown",IF(J135&gt;=5,"Yes","No (under 5 units)"))</f>
        <v>Yes</v>
      </c>
      <c r="S135" s="15"/>
      <c r="T135" s="18"/>
      <c r="U135" s="19"/>
      <c r="V135" s="18"/>
      <c r="W135" s="18"/>
      <c r="X135" s="20"/>
      <c r="Y135" s="18"/>
      <c r="Z135" s="18"/>
      <c r="AA135" s="21" t="n">
        <f aca="false">IF(U135&lt;&gt;"",(U135-Scoring!$B$3)/365.25,IF(N135="","",IF(N135&lt;Scoring!$B$12,"",(DATE(N135+Scoring!$B$13,12,31)-Scoring!$B$3)/365.25)))</f>
        <v>-4.75290896646133</v>
      </c>
      <c r="AB135" s="22" t="n">
        <f aca="false">IF(T135="Y",0,IF(OR(D135="Expired (verified)",D135="Expiring: notice window (verified)",D135="Expiring: 10-yr horizon (verified)",D135="Past 30-yr mark (verify)",D135="30-yr mark: notice window (est.)",D135="Year-15 window"),1,0)+IF(ISNUMBER(O135),IF(O135&gt;=Scoring!$B$10,1,0),0)+IF(AND(ISNUMBER(L135),ISNUMBER(J135)),IF(J135&gt;0,IF(L135/J135&gt;=Scoring!$B$11,1,0),0),0)+IF(ISNUMBER(Z135),MIN(Z135,3),0))</f>
        <v>2</v>
      </c>
      <c r="AC135" s="22" t="n">
        <f aca="false">IF(AB135&gt;=3,Scoring!$C$24,IF(AB135=2,Scoring!$C$23,IF(AB135=1,Scoring!$C$22,0)))</f>
        <v>18</v>
      </c>
      <c r="AD135" s="22" t="n">
        <f aca="false">IF(T135="Y",0,IF(ISNUMBER(X135),IF(X135&gt;0.7,Scoring!$C$25,IF(X135&gt;=0.5,Scoring!$C$26,IF(X135&gt;=0.3,Scoring!$C$27,Scoring!$C$28))),Scoring!$C$29))</f>
        <v>10</v>
      </c>
      <c r="AE135" s="22" t="n">
        <f aca="false">IF(D135="Expiring: notice window (verified)",Scoring!$C$30,IF(OR(D135="Expired (verified)",D135="30-yr mark: notice window (est.)",D135="Year-15 window"),Scoring!$C$31,IF(D135="Expiring: 10-yr horizon (verified)",Scoring!$C$32,IF(D135="Past 30-yr mark (verify)",Scoring!$C$33,IF(OR(D135="Credit period",D135="Superseded record"),Scoring!$C$35,Scoring!$C$34)))))</f>
        <v>8</v>
      </c>
      <c r="AF135" s="22" t="n">
        <f aca="false">IF(T135="Y",0,IF(ISNUMBER(V135),IF(Scoring!$B$4-V135&gt;15,Scoring!$C$36,IF(Scoring!$B$4-V135&gt;=10,Scoring!$C$37,IF(Scoring!$B$4-V135&gt;=5,Scoring!$C$38,Scoring!$C$39))),IF(OR(N135="",D135="Out of program"),Scoring!$C$40,IF(O135&gt;15,Scoring!$C$36,IF(O135&gt;=10,Scoring!$C$37,IF(O135&gt;=5,Scoring!$C$38,Scoring!$C$39))))))</f>
        <v>15</v>
      </c>
      <c r="AG135" s="22" t="n">
        <f aca="false">IF(T135="Y",0,IF(Y135="Y",Scoring!$C$41,IF(ISNUMBER(O135),IF(O135&gt;=25,Scoring!$C$42,IF(O135&gt;=15,Scoring!$C$43,Scoring!$C$44)),Scoring!$C$44)))</f>
        <v>8</v>
      </c>
      <c r="AH135" s="22" t="n">
        <f aca="false">IF(T135="Y",0,IF(W135="",Scoring!$C$49,IFERROR(VLOOKUP(W135,Scoring!$B$45:$C$48,2,FALSE()),Scoring!$C$49)))</f>
        <v>5</v>
      </c>
      <c r="AI135" s="23" t="n">
        <f aca="false">C135+IF(ISNUMBER(J135),J135,0)/100000+(10000-ROW())/1000000000</f>
        <v>64.000459865</v>
      </c>
      <c r="AJ135" s="18"/>
      <c r="AK135" s="18"/>
      <c r="AL135" s="18"/>
      <c r="AM135" s="18"/>
    </row>
    <row r="136" customFormat="false" ht="15" hidden="false" customHeight="false" outlineLevel="0" collapsed="false">
      <c r="A136" s="15" t="n">
        <f aca="false">RANK(AI136,$AI$2:$AI$755)</f>
        <v>135</v>
      </c>
      <c r="B136" s="16" t="str">
        <f aca="false">IF(T136="Y","Superseded",IF(C136&gt;=Scoring!$B$16,"Immediate",IF(C136&gt;=Scoring!$B$17,"This week",IF(C136&gt;=Scoring!$B$18,"Nurture","Low"))))</f>
        <v>This week</v>
      </c>
      <c r="C136" s="3" t="n">
        <f aca="false">SUM(AC136:AH136)</f>
        <v>64</v>
      </c>
      <c r="D136" s="15" t="str">
        <f aca="false">IF(T136="Y","Superseded record",IF(AND(U136&lt;&gt;"",AA136&lt;0),"Expired (verified)",IF(AND(U136&lt;&gt;"",AA136&lt;=Scoring!$B$5),"Expiring: notice window (verified)",IF(AND(U136&lt;&gt;"",AA136&lt;=Scoring!$B$6),"Expiring: 10-yr horizon (verified)",IF(M136="No Longer Monitored","Out of program",IF(N136="","Unknown vintage",IF(N136&lt;Scoring!$B$12,"Pre-1990, still listed",IF(AND(U136="",AA136&lt;0),"Past 30-yr mark (verify)",IF(AND(U136="",AA136&lt;=Scoring!$B$5),"30-yr mark: notice window (est.)",IF(AND(O136&gt;=Scoring!$B$7,O136&lt;=Scoring!$B$8),"Year-15 window",IF(O136&gt;=Scoring!$B$9,"Recap window",IF(O136&gt;=11,"Late compliance","Credit period"))))))))))))</f>
        <v>Past 30-yr mark (verify)</v>
      </c>
      <c r="E136" s="15" t="s">
        <v>619</v>
      </c>
      <c r="F136" s="15" t="s">
        <v>620</v>
      </c>
      <c r="G136" s="15" t="s">
        <v>621</v>
      </c>
      <c r="H136" s="15" t="s">
        <v>622</v>
      </c>
      <c r="I136" s="15" t="s">
        <v>623</v>
      </c>
      <c r="J136" s="15" t="n">
        <v>45</v>
      </c>
      <c r="K136" s="15" t="n">
        <v>45</v>
      </c>
      <c r="L136" s="15" t="n">
        <f aca="false">IF(OR(J136="",K136=""),"",MAX(J136-K136,0))</f>
        <v>0</v>
      </c>
      <c r="M136" s="15" t="s">
        <v>99</v>
      </c>
      <c r="N136" s="17" t="n">
        <v>1996</v>
      </c>
      <c r="O136" s="15" t="n">
        <f aca="false">IF(N136="","",Scoring!$B$4-N136)</f>
        <v>30</v>
      </c>
      <c r="P136" s="15" t="n">
        <f aca="false">IF(N136="","",N136+14)</f>
        <v>2010</v>
      </c>
      <c r="Q136" s="15" t="n">
        <f aca="false">IF(N136="","",IF(N136&lt;Scoring!$B$12,"n/a (pre-1990)",N136+Scoring!$B$13))</f>
        <v>2025</v>
      </c>
      <c r="R136" s="15" t="str">
        <f aca="false">IF(J136="","Unknown",IF(J136&gt;=5,"Yes","No (under 5 units)"))</f>
        <v>Yes</v>
      </c>
      <c r="S136" s="15"/>
      <c r="T136" s="18"/>
      <c r="U136" s="19"/>
      <c r="V136" s="18"/>
      <c r="W136" s="18"/>
      <c r="X136" s="20"/>
      <c r="Y136" s="18"/>
      <c r="Z136" s="18"/>
      <c r="AA136" s="21" t="n">
        <f aca="false">IF(U136&lt;&gt;"",(U136-Scoring!$B$3)/365.25,IF(N136="","",IF(N136&lt;Scoring!$B$12,"",(DATE(N136+Scoring!$B$13,12,31)-Scoring!$B$3)/365.25)))</f>
        <v>-0.752908966461328</v>
      </c>
      <c r="AB136" s="22" t="n">
        <f aca="false">IF(T136="Y",0,IF(OR(D136="Expired (verified)",D136="Expiring: notice window (verified)",D136="Expiring: 10-yr horizon (verified)",D136="Past 30-yr mark (verify)",D136="30-yr mark: notice window (est.)",D136="Year-15 window"),1,0)+IF(ISNUMBER(O136),IF(O136&gt;=Scoring!$B$10,1,0),0)+IF(AND(ISNUMBER(L136),ISNUMBER(J136)),IF(J136&gt;0,IF(L136/J136&gt;=Scoring!$B$11,1,0),0),0)+IF(ISNUMBER(Z136),MIN(Z136,3),0))</f>
        <v>2</v>
      </c>
      <c r="AC136" s="22" t="n">
        <f aca="false">IF(AB136&gt;=3,Scoring!$C$24,IF(AB136=2,Scoring!$C$23,IF(AB136=1,Scoring!$C$22,0)))</f>
        <v>18</v>
      </c>
      <c r="AD136" s="22" t="n">
        <f aca="false">IF(T136="Y",0,IF(ISNUMBER(X136),IF(X136&gt;0.7,Scoring!$C$25,IF(X136&gt;=0.5,Scoring!$C$26,IF(X136&gt;=0.3,Scoring!$C$27,Scoring!$C$28))),Scoring!$C$29))</f>
        <v>10</v>
      </c>
      <c r="AE136" s="22" t="n">
        <f aca="false">IF(D136="Expiring: notice window (verified)",Scoring!$C$30,IF(OR(D136="Expired (verified)",D136="30-yr mark: notice window (est.)",D136="Year-15 window"),Scoring!$C$31,IF(D136="Expiring: 10-yr horizon (verified)",Scoring!$C$32,IF(D136="Past 30-yr mark (verify)",Scoring!$C$33,IF(OR(D136="Credit period",D136="Superseded record"),Scoring!$C$35,Scoring!$C$34)))))</f>
        <v>8</v>
      </c>
      <c r="AF136" s="22" t="n">
        <f aca="false">IF(T136="Y",0,IF(ISNUMBER(V136),IF(Scoring!$B$4-V136&gt;15,Scoring!$C$36,IF(Scoring!$B$4-V136&gt;=10,Scoring!$C$37,IF(Scoring!$B$4-V136&gt;=5,Scoring!$C$38,Scoring!$C$39))),IF(OR(N136="",D136="Out of program"),Scoring!$C$40,IF(O136&gt;15,Scoring!$C$36,IF(O136&gt;=10,Scoring!$C$37,IF(O136&gt;=5,Scoring!$C$38,Scoring!$C$39))))))</f>
        <v>15</v>
      </c>
      <c r="AG136" s="22" t="n">
        <f aca="false">IF(T136="Y",0,IF(Y136="Y",Scoring!$C$41,IF(ISNUMBER(O136),IF(O136&gt;=25,Scoring!$C$42,IF(O136&gt;=15,Scoring!$C$43,Scoring!$C$44)),Scoring!$C$44)))</f>
        <v>8</v>
      </c>
      <c r="AH136" s="22" t="n">
        <f aca="false">IF(T136="Y",0,IF(W136="",Scoring!$C$49,IFERROR(VLOOKUP(W136,Scoring!$B$45:$C$48,2,FALSE()),Scoring!$C$49)))</f>
        <v>5</v>
      </c>
      <c r="AI136" s="23" t="n">
        <f aca="false">C136+IF(ISNUMBER(J136),J136,0)/100000+(10000-ROW())/1000000000</f>
        <v>64.000459864</v>
      </c>
      <c r="AJ136" s="18"/>
      <c r="AK136" s="18"/>
      <c r="AL136" s="18"/>
      <c r="AM136" s="18"/>
    </row>
    <row r="137" customFormat="false" ht="15" hidden="false" customHeight="false" outlineLevel="0" collapsed="false">
      <c r="A137" s="15" t="n">
        <f aca="false">RANK(AI137,$AI$2:$AI$755)</f>
        <v>136</v>
      </c>
      <c r="B137" s="16" t="str">
        <f aca="false">IF(T137="Y","Superseded",IF(C137&gt;=Scoring!$B$16,"Immediate",IF(C137&gt;=Scoring!$B$17,"This week",IF(C137&gt;=Scoring!$B$18,"Nurture","Low"))))</f>
        <v>This week</v>
      </c>
      <c r="C137" s="3" t="n">
        <f aca="false">SUM(AC137:AH137)</f>
        <v>64</v>
      </c>
      <c r="D137" s="15" t="str">
        <f aca="false">IF(T137="Y","Superseded record",IF(AND(U137&lt;&gt;"",AA137&lt;0),"Expired (verified)",IF(AND(U137&lt;&gt;"",AA137&lt;=Scoring!$B$5),"Expiring: notice window (verified)",IF(AND(U137&lt;&gt;"",AA137&lt;=Scoring!$B$6),"Expiring: 10-yr horizon (verified)",IF(M137="No Longer Monitored","Out of program",IF(N137="","Unknown vintage",IF(N137&lt;Scoring!$B$12,"Pre-1990, still listed",IF(AND(U137="",AA137&lt;0),"Past 30-yr mark (verify)",IF(AND(U137="",AA137&lt;=Scoring!$B$5),"30-yr mark: notice window (est.)",IF(AND(O137&gt;=Scoring!$B$7,O137&lt;=Scoring!$B$8),"Year-15 window",IF(O137&gt;=Scoring!$B$9,"Recap window",IF(O137&gt;=11,"Late compliance","Credit period"))))))))))))</f>
        <v>Past 30-yr mark (verify)</v>
      </c>
      <c r="E137" s="15" t="s">
        <v>624</v>
      </c>
      <c r="F137" s="15" t="s">
        <v>625</v>
      </c>
      <c r="G137" s="15" t="s">
        <v>626</v>
      </c>
      <c r="H137" s="15" t="s">
        <v>120</v>
      </c>
      <c r="I137" s="15" t="s">
        <v>121</v>
      </c>
      <c r="J137" s="15" t="n">
        <v>41</v>
      </c>
      <c r="K137" s="15" t="n">
        <v>41</v>
      </c>
      <c r="L137" s="15" t="n">
        <f aca="false">IF(OR(J137="",K137=""),"",MAX(J137-K137,0))</f>
        <v>0</v>
      </c>
      <c r="M137" s="15" t="s">
        <v>99</v>
      </c>
      <c r="N137" s="17" t="n">
        <v>1991</v>
      </c>
      <c r="O137" s="15" t="n">
        <f aca="false">IF(N137="","",Scoring!$B$4-N137)</f>
        <v>35</v>
      </c>
      <c r="P137" s="15" t="n">
        <f aca="false">IF(N137="","",N137+14)</f>
        <v>2005</v>
      </c>
      <c r="Q137" s="15" t="n">
        <f aca="false">IF(N137="","",IF(N137&lt;Scoring!$B$12,"n/a (pre-1990)",N137+Scoring!$B$13))</f>
        <v>2020</v>
      </c>
      <c r="R137" s="15" t="str">
        <f aca="false">IF(J137="","Unknown",IF(J137&gt;=5,"Yes","No (under 5 units)"))</f>
        <v>Yes</v>
      </c>
      <c r="S137" s="15"/>
      <c r="T137" s="18"/>
      <c r="U137" s="19"/>
      <c r="V137" s="18"/>
      <c r="W137" s="18"/>
      <c r="X137" s="20"/>
      <c r="Y137" s="18"/>
      <c r="Z137" s="18"/>
      <c r="AA137" s="21" t="n">
        <f aca="false">IF(U137&lt;&gt;"",(U137-Scoring!$B$3)/365.25,IF(N137="","",IF(N137&lt;Scoring!$B$12,"",(DATE(N137+Scoring!$B$13,12,31)-Scoring!$B$3)/365.25)))</f>
        <v>-5.75222450376455</v>
      </c>
      <c r="AB137" s="22" t="n">
        <f aca="false">IF(T137="Y",0,IF(OR(D137="Expired (verified)",D137="Expiring: notice window (verified)",D137="Expiring: 10-yr horizon (verified)",D137="Past 30-yr mark (verify)",D137="30-yr mark: notice window (est.)",D137="Year-15 window"),1,0)+IF(ISNUMBER(O137),IF(O137&gt;=Scoring!$B$10,1,0),0)+IF(AND(ISNUMBER(L137),ISNUMBER(J137)),IF(J137&gt;0,IF(L137/J137&gt;=Scoring!$B$11,1,0),0),0)+IF(ISNUMBER(Z137),MIN(Z137,3),0))</f>
        <v>2</v>
      </c>
      <c r="AC137" s="22" t="n">
        <f aca="false">IF(AB137&gt;=3,Scoring!$C$24,IF(AB137=2,Scoring!$C$23,IF(AB137=1,Scoring!$C$22,0)))</f>
        <v>18</v>
      </c>
      <c r="AD137" s="22" t="n">
        <f aca="false">IF(T137="Y",0,IF(ISNUMBER(X137),IF(X137&gt;0.7,Scoring!$C$25,IF(X137&gt;=0.5,Scoring!$C$26,IF(X137&gt;=0.3,Scoring!$C$27,Scoring!$C$28))),Scoring!$C$29))</f>
        <v>10</v>
      </c>
      <c r="AE137" s="22" t="n">
        <f aca="false">IF(D137="Expiring: notice window (verified)",Scoring!$C$30,IF(OR(D137="Expired (verified)",D137="30-yr mark: notice window (est.)",D137="Year-15 window"),Scoring!$C$31,IF(D137="Expiring: 10-yr horizon (verified)",Scoring!$C$32,IF(D137="Past 30-yr mark (verify)",Scoring!$C$33,IF(OR(D137="Credit period",D137="Superseded record"),Scoring!$C$35,Scoring!$C$34)))))</f>
        <v>8</v>
      </c>
      <c r="AF137" s="22" t="n">
        <f aca="false">IF(T137="Y",0,IF(ISNUMBER(V137),IF(Scoring!$B$4-V137&gt;15,Scoring!$C$36,IF(Scoring!$B$4-V137&gt;=10,Scoring!$C$37,IF(Scoring!$B$4-V137&gt;=5,Scoring!$C$38,Scoring!$C$39))),IF(OR(N137="",D137="Out of program"),Scoring!$C$40,IF(O137&gt;15,Scoring!$C$36,IF(O137&gt;=10,Scoring!$C$37,IF(O137&gt;=5,Scoring!$C$38,Scoring!$C$39))))))</f>
        <v>15</v>
      </c>
      <c r="AG137" s="22" t="n">
        <f aca="false">IF(T137="Y",0,IF(Y137="Y",Scoring!$C$41,IF(ISNUMBER(O137),IF(O137&gt;=25,Scoring!$C$42,IF(O137&gt;=15,Scoring!$C$43,Scoring!$C$44)),Scoring!$C$44)))</f>
        <v>8</v>
      </c>
      <c r="AH137" s="22" t="n">
        <f aca="false">IF(T137="Y",0,IF(W137="",Scoring!$C$49,IFERROR(VLOOKUP(W137,Scoring!$B$45:$C$48,2,FALSE()),Scoring!$C$49)))</f>
        <v>5</v>
      </c>
      <c r="AI137" s="23" t="n">
        <f aca="false">C137+IF(ISNUMBER(J137),J137,0)/100000+(10000-ROW())/1000000000</f>
        <v>64.000419863</v>
      </c>
      <c r="AJ137" s="18"/>
      <c r="AK137" s="18"/>
      <c r="AL137" s="18"/>
      <c r="AM137" s="18"/>
    </row>
    <row r="138" customFormat="false" ht="15" hidden="false" customHeight="false" outlineLevel="0" collapsed="false">
      <c r="A138" s="15" t="n">
        <f aca="false">RANK(AI138,$AI$2:$AI$755)</f>
        <v>137</v>
      </c>
      <c r="B138" s="16" t="str">
        <f aca="false">IF(T138="Y","Superseded",IF(C138&gt;=Scoring!$B$16,"Immediate",IF(C138&gt;=Scoring!$B$17,"This week",IF(C138&gt;=Scoring!$B$18,"Nurture","Low"))))</f>
        <v>This week</v>
      </c>
      <c r="C138" s="3" t="n">
        <f aca="false">SUM(AC138:AH138)</f>
        <v>64</v>
      </c>
      <c r="D138" s="15" t="str">
        <f aca="false">IF(T138="Y","Superseded record",IF(AND(U138&lt;&gt;"",AA138&lt;0),"Expired (verified)",IF(AND(U138&lt;&gt;"",AA138&lt;=Scoring!$B$5),"Expiring: notice window (verified)",IF(AND(U138&lt;&gt;"",AA138&lt;=Scoring!$B$6),"Expiring: 10-yr horizon (verified)",IF(M138="No Longer Monitored","Out of program",IF(N138="","Unknown vintage",IF(N138&lt;Scoring!$B$12,"Pre-1990, still listed",IF(AND(U138="",AA138&lt;0),"Past 30-yr mark (verify)",IF(AND(U138="",AA138&lt;=Scoring!$B$5),"30-yr mark: notice window (est.)",IF(AND(O138&gt;=Scoring!$B$7,O138&lt;=Scoring!$B$8),"Year-15 window",IF(O138&gt;=Scoring!$B$9,"Recap window",IF(O138&gt;=11,"Late compliance","Credit period"))))))))))))</f>
        <v>Past 30-yr mark (verify)</v>
      </c>
      <c r="E138" s="15" t="s">
        <v>627</v>
      </c>
      <c r="F138" s="15" t="s">
        <v>628</v>
      </c>
      <c r="G138" s="15" t="s">
        <v>629</v>
      </c>
      <c r="H138" s="15" t="s">
        <v>630</v>
      </c>
      <c r="I138" s="15" t="s">
        <v>631</v>
      </c>
      <c r="J138" s="15" t="n">
        <v>40</v>
      </c>
      <c r="K138" s="15" t="n">
        <v>40</v>
      </c>
      <c r="L138" s="15" t="n">
        <f aca="false">IF(OR(J138="",K138=""),"",MAX(J138-K138,0))</f>
        <v>0</v>
      </c>
      <c r="M138" s="15" t="s">
        <v>99</v>
      </c>
      <c r="N138" s="17" t="n">
        <v>1990</v>
      </c>
      <c r="O138" s="15" t="n">
        <f aca="false">IF(N138="","",Scoring!$B$4-N138)</f>
        <v>36</v>
      </c>
      <c r="P138" s="15" t="n">
        <f aca="false">IF(N138="","",N138+14)</f>
        <v>2004</v>
      </c>
      <c r="Q138" s="15" t="n">
        <f aca="false">IF(N138="","",IF(N138&lt;Scoring!$B$12,"n/a (pre-1990)",N138+Scoring!$B$13))</f>
        <v>2019</v>
      </c>
      <c r="R138" s="15" t="str">
        <f aca="false">IF(J138="","Unknown",IF(J138&gt;=5,"Yes","No (under 5 units)"))</f>
        <v>Yes</v>
      </c>
      <c r="S138" s="15"/>
      <c r="T138" s="18"/>
      <c r="U138" s="19"/>
      <c r="V138" s="18"/>
      <c r="W138" s="18"/>
      <c r="X138" s="20"/>
      <c r="Y138" s="18"/>
      <c r="Z138" s="18"/>
      <c r="AA138" s="21" t="n">
        <f aca="false">IF(U138&lt;&gt;"",(U138-Scoring!$B$3)/365.25,IF(N138="","",IF(N138&lt;Scoring!$B$12,"",(DATE(N138+Scoring!$B$13,12,31)-Scoring!$B$3)/365.25)))</f>
        <v>-6.75427789185489</v>
      </c>
      <c r="AB138" s="22" t="n">
        <f aca="false">IF(T138="Y",0,IF(OR(D138="Expired (verified)",D138="Expiring: notice window (verified)",D138="Expiring: 10-yr horizon (verified)",D138="Past 30-yr mark (verify)",D138="30-yr mark: notice window (est.)",D138="Year-15 window"),1,0)+IF(ISNUMBER(O138),IF(O138&gt;=Scoring!$B$10,1,0),0)+IF(AND(ISNUMBER(L138),ISNUMBER(J138)),IF(J138&gt;0,IF(L138/J138&gt;=Scoring!$B$11,1,0),0),0)+IF(ISNUMBER(Z138),MIN(Z138,3),0))</f>
        <v>2</v>
      </c>
      <c r="AC138" s="22" t="n">
        <f aca="false">IF(AB138&gt;=3,Scoring!$C$24,IF(AB138=2,Scoring!$C$23,IF(AB138=1,Scoring!$C$22,0)))</f>
        <v>18</v>
      </c>
      <c r="AD138" s="22" t="n">
        <f aca="false">IF(T138="Y",0,IF(ISNUMBER(X138),IF(X138&gt;0.7,Scoring!$C$25,IF(X138&gt;=0.5,Scoring!$C$26,IF(X138&gt;=0.3,Scoring!$C$27,Scoring!$C$28))),Scoring!$C$29))</f>
        <v>10</v>
      </c>
      <c r="AE138" s="22" t="n">
        <f aca="false">IF(D138="Expiring: notice window (verified)",Scoring!$C$30,IF(OR(D138="Expired (verified)",D138="30-yr mark: notice window (est.)",D138="Year-15 window"),Scoring!$C$31,IF(D138="Expiring: 10-yr horizon (verified)",Scoring!$C$32,IF(D138="Past 30-yr mark (verify)",Scoring!$C$33,IF(OR(D138="Credit period",D138="Superseded record"),Scoring!$C$35,Scoring!$C$34)))))</f>
        <v>8</v>
      </c>
      <c r="AF138" s="22" t="n">
        <f aca="false">IF(T138="Y",0,IF(ISNUMBER(V138),IF(Scoring!$B$4-V138&gt;15,Scoring!$C$36,IF(Scoring!$B$4-V138&gt;=10,Scoring!$C$37,IF(Scoring!$B$4-V138&gt;=5,Scoring!$C$38,Scoring!$C$39))),IF(OR(N138="",D138="Out of program"),Scoring!$C$40,IF(O138&gt;15,Scoring!$C$36,IF(O138&gt;=10,Scoring!$C$37,IF(O138&gt;=5,Scoring!$C$38,Scoring!$C$39))))))</f>
        <v>15</v>
      </c>
      <c r="AG138" s="22" t="n">
        <f aca="false">IF(T138="Y",0,IF(Y138="Y",Scoring!$C$41,IF(ISNUMBER(O138),IF(O138&gt;=25,Scoring!$C$42,IF(O138&gt;=15,Scoring!$C$43,Scoring!$C$44)),Scoring!$C$44)))</f>
        <v>8</v>
      </c>
      <c r="AH138" s="22" t="n">
        <f aca="false">IF(T138="Y",0,IF(W138="",Scoring!$C$49,IFERROR(VLOOKUP(W138,Scoring!$B$45:$C$48,2,FALSE()),Scoring!$C$49)))</f>
        <v>5</v>
      </c>
      <c r="AI138" s="23" t="n">
        <f aca="false">C138+IF(ISNUMBER(J138),J138,0)/100000+(10000-ROW())/1000000000</f>
        <v>64.000409862</v>
      </c>
      <c r="AJ138" s="18"/>
      <c r="AK138" s="18"/>
      <c r="AL138" s="18"/>
      <c r="AM138" s="18"/>
    </row>
    <row r="139" customFormat="false" ht="15" hidden="false" customHeight="false" outlineLevel="0" collapsed="false">
      <c r="A139" s="15" t="n">
        <f aca="false">RANK(AI139,$AI$2:$AI$755)</f>
        <v>138</v>
      </c>
      <c r="B139" s="16" t="str">
        <f aca="false">IF(T139="Y","Superseded",IF(C139&gt;=Scoring!$B$16,"Immediate",IF(C139&gt;=Scoring!$B$17,"This week",IF(C139&gt;=Scoring!$B$18,"Nurture","Low"))))</f>
        <v>This week</v>
      </c>
      <c r="C139" s="3" t="n">
        <f aca="false">SUM(AC139:AH139)</f>
        <v>64</v>
      </c>
      <c r="D139" s="15" t="str">
        <f aca="false">IF(T139="Y","Superseded record",IF(AND(U139&lt;&gt;"",AA139&lt;0),"Expired (verified)",IF(AND(U139&lt;&gt;"",AA139&lt;=Scoring!$B$5),"Expiring: notice window (verified)",IF(AND(U139&lt;&gt;"",AA139&lt;=Scoring!$B$6),"Expiring: 10-yr horizon (verified)",IF(M139="No Longer Monitored","Out of program",IF(N139="","Unknown vintage",IF(N139&lt;Scoring!$B$12,"Pre-1990, still listed",IF(AND(U139="",AA139&lt;0),"Past 30-yr mark (verify)",IF(AND(U139="",AA139&lt;=Scoring!$B$5),"30-yr mark: notice window (est.)",IF(AND(O139&gt;=Scoring!$B$7,O139&lt;=Scoring!$B$8),"Year-15 window",IF(O139&gt;=Scoring!$B$9,"Recap window",IF(O139&gt;=11,"Late compliance","Credit period"))))))))))))</f>
        <v>Past 30-yr mark (verify)</v>
      </c>
      <c r="E139" s="15" t="s">
        <v>632</v>
      </c>
      <c r="F139" s="15" t="s">
        <v>633</v>
      </c>
      <c r="G139" s="15" t="s">
        <v>634</v>
      </c>
      <c r="H139" s="15" t="s">
        <v>635</v>
      </c>
      <c r="I139" s="15" t="s">
        <v>636</v>
      </c>
      <c r="J139" s="15" t="n">
        <v>40</v>
      </c>
      <c r="K139" s="15" t="n">
        <v>40</v>
      </c>
      <c r="L139" s="15" t="n">
        <f aca="false">IF(OR(J139="",K139=""),"",MAX(J139-K139,0))</f>
        <v>0</v>
      </c>
      <c r="M139" s="15" t="s">
        <v>99</v>
      </c>
      <c r="N139" s="17" t="n">
        <v>1990</v>
      </c>
      <c r="O139" s="15" t="n">
        <f aca="false">IF(N139="","",Scoring!$B$4-N139)</f>
        <v>36</v>
      </c>
      <c r="P139" s="15" t="n">
        <f aca="false">IF(N139="","",N139+14)</f>
        <v>2004</v>
      </c>
      <c r="Q139" s="15" t="n">
        <f aca="false">IF(N139="","",IF(N139&lt;Scoring!$B$12,"n/a (pre-1990)",N139+Scoring!$B$13))</f>
        <v>2019</v>
      </c>
      <c r="R139" s="15" t="str">
        <f aca="false">IF(J139="","Unknown",IF(J139&gt;=5,"Yes","No (under 5 units)"))</f>
        <v>Yes</v>
      </c>
      <c r="S139" s="15"/>
      <c r="T139" s="18"/>
      <c r="U139" s="19"/>
      <c r="V139" s="18"/>
      <c r="W139" s="18"/>
      <c r="X139" s="20"/>
      <c r="Y139" s="18"/>
      <c r="Z139" s="18"/>
      <c r="AA139" s="21" t="n">
        <f aca="false">IF(U139&lt;&gt;"",(U139-Scoring!$B$3)/365.25,IF(N139="","",IF(N139&lt;Scoring!$B$12,"",(DATE(N139+Scoring!$B$13,12,31)-Scoring!$B$3)/365.25)))</f>
        <v>-6.75427789185489</v>
      </c>
      <c r="AB139" s="22" t="n">
        <f aca="false">IF(T139="Y",0,IF(OR(D139="Expired (verified)",D139="Expiring: notice window (verified)",D139="Expiring: 10-yr horizon (verified)",D139="Past 30-yr mark (verify)",D139="30-yr mark: notice window (est.)",D139="Year-15 window"),1,0)+IF(ISNUMBER(O139),IF(O139&gt;=Scoring!$B$10,1,0),0)+IF(AND(ISNUMBER(L139),ISNUMBER(J139)),IF(J139&gt;0,IF(L139/J139&gt;=Scoring!$B$11,1,0),0),0)+IF(ISNUMBER(Z139),MIN(Z139,3),0))</f>
        <v>2</v>
      </c>
      <c r="AC139" s="22" t="n">
        <f aca="false">IF(AB139&gt;=3,Scoring!$C$24,IF(AB139=2,Scoring!$C$23,IF(AB139=1,Scoring!$C$22,0)))</f>
        <v>18</v>
      </c>
      <c r="AD139" s="22" t="n">
        <f aca="false">IF(T139="Y",0,IF(ISNUMBER(X139),IF(X139&gt;0.7,Scoring!$C$25,IF(X139&gt;=0.5,Scoring!$C$26,IF(X139&gt;=0.3,Scoring!$C$27,Scoring!$C$28))),Scoring!$C$29))</f>
        <v>10</v>
      </c>
      <c r="AE139" s="22" t="n">
        <f aca="false">IF(D139="Expiring: notice window (verified)",Scoring!$C$30,IF(OR(D139="Expired (verified)",D139="30-yr mark: notice window (est.)",D139="Year-15 window"),Scoring!$C$31,IF(D139="Expiring: 10-yr horizon (verified)",Scoring!$C$32,IF(D139="Past 30-yr mark (verify)",Scoring!$C$33,IF(OR(D139="Credit period",D139="Superseded record"),Scoring!$C$35,Scoring!$C$34)))))</f>
        <v>8</v>
      </c>
      <c r="AF139" s="22" t="n">
        <f aca="false">IF(T139="Y",0,IF(ISNUMBER(V139),IF(Scoring!$B$4-V139&gt;15,Scoring!$C$36,IF(Scoring!$B$4-V139&gt;=10,Scoring!$C$37,IF(Scoring!$B$4-V139&gt;=5,Scoring!$C$38,Scoring!$C$39))),IF(OR(N139="",D139="Out of program"),Scoring!$C$40,IF(O139&gt;15,Scoring!$C$36,IF(O139&gt;=10,Scoring!$C$37,IF(O139&gt;=5,Scoring!$C$38,Scoring!$C$39))))))</f>
        <v>15</v>
      </c>
      <c r="AG139" s="22" t="n">
        <f aca="false">IF(T139="Y",0,IF(Y139="Y",Scoring!$C$41,IF(ISNUMBER(O139),IF(O139&gt;=25,Scoring!$C$42,IF(O139&gt;=15,Scoring!$C$43,Scoring!$C$44)),Scoring!$C$44)))</f>
        <v>8</v>
      </c>
      <c r="AH139" s="22" t="n">
        <f aca="false">IF(T139="Y",0,IF(W139="",Scoring!$C$49,IFERROR(VLOOKUP(W139,Scoring!$B$45:$C$48,2,FALSE()),Scoring!$C$49)))</f>
        <v>5</v>
      </c>
      <c r="AI139" s="23" t="n">
        <f aca="false">C139+IF(ISNUMBER(J139),J139,0)/100000+(10000-ROW())/1000000000</f>
        <v>64.000409861</v>
      </c>
      <c r="AJ139" s="18"/>
      <c r="AK139" s="18"/>
      <c r="AL139" s="18"/>
      <c r="AM139" s="18"/>
    </row>
    <row r="140" customFormat="false" ht="15" hidden="false" customHeight="false" outlineLevel="0" collapsed="false">
      <c r="A140" s="15" t="n">
        <f aca="false">RANK(AI140,$AI$2:$AI$755)</f>
        <v>139</v>
      </c>
      <c r="B140" s="16" t="str">
        <f aca="false">IF(T140="Y","Superseded",IF(C140&gt;=Scoring!$B$16,"Immediate",IF(C140&gt;=Scoring!$B$17,"This week",IF(C140&gt;=Scoring!$B$18,"Nurture","Low"))))</f>
        <v>This week</v>
      </c>
      <c r="C140" s="3" t="n">
        <f aca="false">SUM(AC140:AH140)</f>
        <v>64</v>
      </c>
      <c r="D140" s="15" t="str">
        <f aca="false">IF(T140="Y","Superseded record",IF(AND(U140&lt;&gt;"",AA140&lt;0),"Expired (verified)",IF(AND(U140&lt;&gt;"",AA140&lt;=Scoring!$B$5),"Expiring: notice window (verified)",IF(AND(U140&lt;&gt;"",AA140&lt;=Scoring!$B$6),"Expiring: 10-yr horizon (verified)",IF(M140="No Longer Monitored","Out of program",IF(N140="","Unknown vintage",IF(N140&lt;Scoring!$B$12,"Pre-1990, still listed",IF(AND(U140="",AA140&lt;0),"Past 30-yr mark (verify)",IF(AND(U140="",AA140&lt;=Scoring!$B$5),"30-yr mark: notice window (est.)",IF(AND(O140&gt;=Scoring!$B$7,O140&lt;=Scoring!$B$8),"Year-15 window",IF(O140&gt;=Scoring!$B$9,"Recap window",IF(O140&gt;=11,"Late compliance","Credit period"))))))))))))</f>
        <v>Past 30-yr mark (verify)</v>
      </c>
      <c r="E140" s="15" t="s">
        <v>637</v>
      </c>
      <c r="F140" s="15" t="s">
        <v>638</v>
      </c>
      <c r="G140" s="15" t="s">
        <v>639</v>
      </c>
      <c r="H140" s="15" t="s">
        <v>232</v>
      </c>
      <c r="I140" s="15" t="s">
        <v>640</v>
      </c>
      <c r="J140" s="15" t="n">
        <v>40</v>
      </c>
      <c r="K140" s="15" t="n">
        <v>40</v>
      </c>
      <c r="L140" s="15" t="n">
        <f aca="false">IF(OR(J140="",K140=""),"",MAX(J140-K140,0))</f>
        <v>0</v>
      </c>
      <c r="M140" s="15" t="s">
        <v>99</v>
      </c>
      <c r="N140" s="17" t="n">
        <v>1992</v>
      </c>
      <c r="O140" s="15" t="n">
        <f aca="false">IF(N140="","",Scoring!$B$4-N140)</f>
        <v>34</v>
      </c>
      <c r="P140" s="15" t="n">
        <f aca="false">IF(N140="","",N140+14)</f>
        <v>2006</v>
      </c>
      <c r="Q140" s="15" t="n">
        <f aca="false">IF(N140="","",IF(N140&lt;Scoring!$B$12,"n/a (pre-1990)",N140+Scoring!$B$13))</f>
        <v>2021</v>
      </c>
      <c r="R140" s="15" t="str">
        <f aca="false">IF(J140="","Unknown",IF(J140&gt;=5,"Yes","No (under 5 units)"))</f>
        <v>Yes</v>
      </c>
      <c r="S140" s="15"/>
      <c r="T140" s="18"/>
      <c r="U140" s="19"/>
      <c r="V140" s="18"/>
      <c r="W140" s="18"/>
      <c r="X140" s="20"/>
      <c r="Y140" s="18"/>
      <c r="Z140" s="18"/>
      <c r="AA140" s="21" t="n">
        <f aca="false">IF(U140&lt;&gt;"",(U140-Scoring!$B$3)/365.25,IF(N140="","",IF(N140&lt;Scoring!$B$12,"",(DATE(N140+Scoring!$B$13,12,31)-Scoring!$B$3)/365.25)))</f>
        <v>-4.75290896646133</v>
      </c>
      <c r="AB140" s="22" t="n">
        <f aca="false">IF(T140="Y",0,IF(OR(D140="Expired (verified)",D140="Expiring: notice window (verified)",D140="Expiring: 10-yr horizon (verified)",D140="Past 30-yr mark (verify)",D140="30-yr mark: notice window (est.)",D140="Year-15 window"),1,0)+IF(ISNUMBER(O140),IF(O140&gt;=Scoring!$B$10,1,0),0)+IF(AND(ISNUMBER(L140),ISNUMBER(J140)),IF(J140&gt;0,IF(L140/J140&gt;=Scoring!$B$11,1,0),0),0)+IF(ISNUMBER(Z140),MIN(Z140,3),0))</f>
        <v>2</v>
      </c>
      <c r="AC140" s="22" t="n">
        <f aca="false">IF(AB140&gt;=3,Scoring!$C$24,IF(AB140=2,Scoring!$C$23,IF(AB140=1,Scoring!$C$22,0)))</f>
        <v>18</v>
      </c>
      <c r="AD140" s="22" t="n">
        <f aca="false">IF(T140="Y",0,IF(ISNUMBER(X140),IF(X140&gt;0.7,Scoring!$C$25,IF(X140&gt;=0.5,Scoring!$C$26,IF(X140&gt;=0.3,Scoring!$C$27,Scoring!$C$28))),Scoring!$C$29))</f>
        <v>10</v>
      </c>
      <c r="AE140" s="22" t="n">
        <f aca="false">IF(D140="Expiring: notice window (verified)",Scoring!$C$30,IF(OR(D140="Expired (verified)",D140="30-yr mark: notice window (est.)",D140="Year-15 window"),Scoring!$C$31,IF(D140="Expiring: 10-yr horizon (verified)",Scoring!$C$32,IF(D140="Past 30-yr mark (verify)",Scoring!$C$33,IF(OR(D140="Credit period",D140="Superseded record"),Scoring!$C$35,Scoring!$C$34)))))</f>
        <v>8</v>
      </c>
      <c r="AF140" s="22" t="n">
        <f aca="false">IF(T140="Y",0,IF(ISNUMBER(V140),IF(Scoring!$B$4-V140&gt;15,Scoring!$C$36,IF(Scoring!$B$4-V140&gt;=10,Scoring!$C$37,IF(Scoring!$B$4-V140&gt;=5,Scoring!$C$38,Scoring!$C$39))),IF(OR(N140="",D140="Out of program"),Scoring!$C$40,IF(O140&gt;15,Scoring!$C$36,IF(O140&gt;=10,Scoring!$C$37,IF(O140&gt;=5,Scoring!$C$38,Scoring!$C$39))))))</f>
        <v>15</v>
      </c>
      <c r="AG140" s="22" t="n">
        <f aca="false">IF(T140="Y",0,IF(Y140="Y",Scoring!$C$41,IF(ISNUMBER(O140),IF(O140&gt;=25,Scoring!$C$42,IF(O140&gt;=15,Scoring!$C$43,Scoring!$C$44)),Scoring!$C$44)))</f>
        <v>8</v>
      </c>
      <c r="AH140" s="22" t="n">
        <f aca="false">IF(T140="Y",0,IF(W140="",Scoring!$C$49,IFERROR(VLOOKUP(W140,Scoring!$B$45:$C$48,2,FALSE()),Scoring!$C$49)))</f>
        <v>5</v>
      </c>
      <c r="AI140" s="23" t="n">
        <f aca="false">C140+IF(ISNUMBER(J140),J140,0)/100000+(10000-ROW())/1000000000</f>
        <v>64.00040986</v>
      </c>
      <c r="AJ140" s="18"/>
      <c r="AK140" s="18"/>
      <c r="AL140" s="18"/>
      <c r="AM140" s="18"/>
    </row>
    <row r="141" customFormat="false" ht="15" hidden="false" customHeight="false" outlineLevel="0" collapsed="false">
      <c r="A141" s="15" t="n">
        <f aca="false">RANK(AI141,$AI$2:$AI$755)</f>
        <v>140</v>
      </c>
      <c r="B141" s="16" t="str">
        <f aca="false">IF(T141="Y","Superseded",IF(C141&gt;=Scoring!$B$16,"Immediate",IF(C141&gt;=Scoring!$B$17,"This week",IF(C141&gt;=Scoring!$B$18,"Nurture","Low"))))</f>
        <v>This week</v>
      </c>
      <c r="C141" s="3" t="n">
        <f aca="false">SUM(AC141:AH141)</f>
        <v>64</v>
      </c>
      <c r="D141" s="15" t="str">
        <f aca="false">IF(T141="Y","Superseded record",IF(AND(U141&lt;&gt;"",AA141&lt;0),"Expired (verified)",IF(AND(U141&lt;&gt;"",AA141&lt;=Scoring!$B$5),"Expiring: notice window (verified)",IF(AND(U141&lt;&gt;"",AA141&lt;=Scoring!$B$6),"Expiring: 10-yr horizon (verified)",IF(M141="No Longer Monitored","Out of program",IF(N141="","Unknown vintage",IF(N141&lt;Scoring!$B$12,"Pre-1990, still listed",IF(AND(U141="",AA141&lt;0),"Past 30-yr mark (verify)",IF(AND(U141="",AA141&lt;=Scoring!$B$5),"30-yr mark: notice window (est.)",IF(AND(O141&gt;=Scoring!$B$7,O141&lt;=Scoring!$B$8),"Year-15 window",IF(O141&gt;=Scoring!$B$9,"Recap window",IF(O141&gt;=11,"Late compliance","Credit period"))))))))))))</f>
        <v>Past 30-yr mark (verify)</v>
      </c>
      <c r="E141" s="15" t="s">
        <v>641</v>
      </c>
      <c r="F141" s="15" t="s">
        <v>642</v>
      </c>
      <c r="G141" s="15" t="s">
        <v>643</v>
      </c>
      <c r="H141" s="15" t="s">
        <v>455</v>
      </c>
      <c r="I141" s="15"/>
      <c r="J141" s="15" t="n">
        <v>40</v>
      </c>
      <c r="K141" s="15" t="n">
        <v>40</v>
      </c>
      <c r="L141" s="15" t="n">
        <f aca="false">IF(OR(J141="",K141=""),"",MAX(J141-K141,0))</f>
        <v>0</v>
      </c>
      <c r="M141" s="15" t="s">
        <v>99</v>
      </c>
      <c r="N141" s="17" t="n">
        <v>1994</v>
      </c>
      <c r="O141" s="15" t="n">
        <f aca="false">IF(N141="","",Scoring!$B$4-N141)</f>
        <v>32</v>
      </c>
      <c r="P141" s="15" t="n">
        <f aca="false">IF(N141="","",N141+14)</f>
        <v>2008</v>
      </c>
      <c r="Q141" s="15" t="n">
        <f aca="false">IF(N141="","",IF(N141&lt;Scoring!$B$12,"n/a (pre-1990)",N141+Scoring!$B$13))</f>
        <v>2023</v>
      </c>
      <c r="R141" s="15" t="str">
        <f aca="false">IF(J141="","Unknown",IF(J141&gt;=5,"Yes","No (under 5 units)"))</f>
        <v>Yes</v>
      </c>
      <c r="S141" s="15"/>
      <c r="T141" s="18"/>
      <c r="U141" s="19"/>
      <c r="V141" s="18"/>
      <c r="W141" s="18"/>
      <c r="X141" s="20"/>
      <c r="Y141" s="18"/>
      <c r="Z141" s="18"/>
      <c r="AA141" s="21" t="n">
        <f aca="false">IF(U141&lt;&gt;"",(U141-Scoring!$B$3)/365.25,IF(N141="","",IF(N141&lt;Scoring!$B$12,"",(DATE(N141+Scoring!$B$13,12,31)-Scoring!$B$3)/365.25)))</f>
        <v>-2.75427789185489</v>
      </c>
      <c r="AB141" s="22" t="n">
        <f aca="false">IF(T141="Y",0,IF(OR(D141="Expired (verified)",D141="Expiring: notice window (verified)",D141="Expiring: 10-yr horizon (verified)",D141="Past 30-yr mark (verify)",D141="30-yr mark: notice window (est.)",D141="Year-15 window"),1,0)+IF(ISNUMBER(O141),IF(O141&gt;=Scoring!$B$10,1,0),0)+IF(AND(ISNUMBER(L141),ISNUMBER(J141)),IF(J141&gt;0,IF(L141/J141&gt;=Scoring!$B$11,1,0),0),0)+IF(ISNUMBER(Z141),MIN(Z141,3),0))</f>
        <v>2</v>
      </c>
      <c r="AC141" s="22" t="n">
        <f aca="false">IF(AB141&gt;=3,Scoring!$C$24,IF(AB141=2,Scoring!$C$23,IF(AB141=1,Scoring!$C$22,0)))</f>
        <v>18</v>
      </c>
      <c r="AD141" s="22" t="n">
        <f aca="false">IF(T141="Y",0,IF(ISNUMBER(X141),IF(X141&gt;0.7,Scoring!$C$25,IF(X141&gt;=0.5,Scoring!$C$26,IF(X141&gt;=0.3,Scoring!$C$27,Scoring!$C$28))),Scoring!$C$29))</f>
        <v>10</v>
      </c>
      <c r="AE141" s="22" t="n">
        <f aca="false">IF(D141="Expiring: notice window (verified)",Scoring!$C$30,IF(OR(D141="Expired (verified)",D141="30-yr mark: notice window (est.)",D141="Year-15 window"),Scoring!$C$31,IF(D141="Expiring: 10-yr horizon (verified)",Scoring!$C$32,IF(D141="Past 30-yr mark (verify)",Scoring!$C$33,IF(OR(D141="Credit period",D141="Superseded record"),Scoring!$C$35,Scoring!$C$34)))))</f>
        <v>8</v>
      </c>
      <c r="AF141" s="22" t="n">
        <f aca="false">IF(T141="Y",0,IF(ISNUMBER(V141),IF(Scoring!$B$4-V141&gt;15,Scoring!$C$36,IF(Scoring!$B$4-V141&gt;=10,Scoring!$C$37,IF(Scoring!$B$4-V141&gt;=5,Scoring!$C$38,Scoring!$C$39))),IF(OR(N141="",D141="Out of program"),Scoring!$C$40,IF(O141&gt;15,Scoring!$C$36,IF(O141&gt;=10,Scoring!$C$37,IF(O141&gt;=5,Scoring!$C$38,Scoring!$C$39))))))</f>
        <v>15</v>
      </c>
      <c r="AG141" s="22" t="n">
        <f aca="false">IF(T141="Y",0,IF(Y141="Y",Scoring!$C$41,IF(ISNUMBER(O141),IF(O141&gt;=25,Scoring!$C$42,IF(O141&gt;=15,Scoring!$C$43,Scoring!$C$44)),Scoring!$C$44)))</f>
        <v>8</v>
      </c>
      <c r="AH141" s="22" t="n">
        <f aca="false">IF(T141="Y",0,IF(W141="",Scoring!$C$49,IFERROR(VLOOKUP(W141,Scoring!$B$45:$C$48,2,FALSE()),Scoring!$C$49)))</f>
        <v>5</v>
      </c>
      <c r="AI141" s="23" t="n">
        <f aca="false">C141+IF(ISNUMBER(J141),J141,0)/100000+(10000-ROW())/1000000000</f>
        <v>64.000409859</v>
      </c>
      <c r="AJ141" s="18"/>
      <c r="AK141" s="18"/>
      <c r="AL141" s="18"/>
      <c r="AM141" s="18"/>
    </row>
    <row r="142" customFormat="false" ht="15" hidden="false" customHeight="false" outlineLevel="0" collapsed="false">
      <c r="A142" s="15" t="n">
        <f aca="false">RANK(AI142,$AI$2:$AI$755)</f>
        <v>141</v>
      </c>
      <c r="B142" s="16" t="str">
        <f aca="false">IF(T142="Y","Superseded",IF(C142&gt;=Scoring!$B$16,"Immediate",IF(C142&gt;=Scoring!$B$17,"This week",IF(C142&gt;=Scoring!$B$18,"Nurture","Low"))))</f>
        <v>This week</v>
      </c>
      <c r="C142" s="3" t="n">
        <f aca="false">SUM(AC142:AH142)</f>
        <v>64</v>
      </c>
      <c r="D142" s="15" t="str">
        <f aca="false">IF(T142="Y","Superseded record",IF(AND(U142&lt;&gt;"",AA142&lt;0),"Expired (verified)",IF(AND(U142&lt;&gt;"",AA142&lt;=Scoring!$B$5),"Expiring: notice window (verified)",IF(AND(U142&lt;&gt;"",AA142&lt;=Scoring!$B$6),"Expiring: 10-yr horizon (verified)",IF(M142="No Longer Monitored","Out of program",IF(N142="","Unknown vintage",IF(N142&lt;Scoring!$B$12,"Pre-1990, still listed",IF(AND(U142="",AA142&lt;0),"Past 30-yr mark (verify)",IF(AND(U142="",AA142&lt;=Scoring!$B$5),"30-yr mark: notice window (est.)",IF(AND(O142&gt;=Scoring!$B$7,O142&lt;=Scoring!$B$8),"Year-15 window",IF(O142&gt;=Scoring!$B$9,"Recap window",IF(O142&gt;=11,"Late compliance","Credit period"))))))))))))</f>
        <v>Past 30-yr mark (verify)</v>
      </c>
      <c r="E142" s="15" t="s">
        <v>644</v>
      </c>
      <c r="F142" s="15" t="s">
        <v>645</v>
      </c>
      <c r="G142" s="15" t="s">
        <v>646</v>
      </c>
      <c r="H142" s="15" t="s">
        <v>647</v>
      </c>
      <c r="I142" s="15" t="s">
        <v>648</v>
      </c>
      <c r="J142" s="15" t="n">
        <v>40</v>
      </c>
      <c r="K142" s="15" t="n">
        <v>40</v>
      </c>
      <c r="L142" s="15" t="n">
        <f aca="false">IF(OR(J142="",K142=""),"",MAX(J142-K142,0))</f>
        <v>0</v>
      </c>
      <c r="M142" s="15" t="s">
        <v>99</v>
      </c>
      <c r="N142" s="17" t="n">
        <v>1995</v>
      </c>
      <c r="O142" s="15" t="n">
        <f aca="false">IF(N142="","",Scoring!$B$4-N142)</f>
        <v>31</v>
      </c>
      <c r="P142" s="15" t="n">
        <f aca="false">IF(N142="","",N142+14)</f>
        <v>2009</v>
      </c>
      <c r="Q142" s="15" t="n">
        <f aca="false">IF(N142="","",IF(N142&lt;Scoring!$B$12,"n/a (pre-1990)",N142+Scoring!$B$13))</f>
        <v>2024</v>
      </c>
      <c r="R142" s="15" t="str">
        <f aca="false">IF(J142="","Unknown",IF(J142&gt;=5,"Yes","No (under 5 units)"))</f>
        <v>Yes</v>
      </c>
      <c r="S142" s="15"/>
      <c r="T142" s="18"/>
      <c r="U142" s="19"/>
      <c r="V142" s="18"/>
      <c r="W142" s="18"/>
      <c r="X142" s="20"/>
      <c r="Y142" s="18"/>
      <c r="Z142" s="18"/>
      <c r="AA142" s="21" t="n">
        <f aca="false">IF(U142&lt;&gt;"",(U142-Scoring!$B$3)/365.25,IF(N142="","",IF(N142&lt;Scoring!$B$12,"",(DATE(N142+Scoring!$B$13,12,31)-Scoring!$B$3)/365.25)))</f>
        <v>-1.75222450376454</v>
      </c>
      <c r="AB142" s="22" t="n">
        <f aca="false">IF(T142="Y",0,IF(OR(D142="Expired (verified)",D142="Expiring: notice window (verified)",D142="Expiring: 10-yr horizon (verified)",D142="Past 30-yr mark (verify)",D142="30-yr mark: notice window (est.)",D142="Year-15 window"),1,0)+IF(ISNUMBER(O142),IF(O142&gt;=Scoring!$B$10,1,0),0)+IF(AND(ISNUMBER(L142),ISNUMBER(J142)),IF(J142&gt;0,IF(L142/J142&gt;=Scoring!$B$11,1,0),0),0)+IF(ISNUMBER(Z142),MIN(Z142,3),0))</f>
        <v>2</v>
      </c>
      <c r="AC142" s="22" t="n">
        <f aca="false">IF(AB142&gt;=3,Scoring!$C$24,IF(AB142=2,Scoring!$C$23,IF(AB142=1,Scoring!$C$22,0)))</f>
        <v>18</v>
      </c>
      <c r="AD142" s="22" t="n">
        <f aca="false">IF(T142="Y",0,IF(ISNUMBER(X142),IF(X142&gt;0.7,Scoring!$C$25,IF(X142&gt;=0.5,Scoring!$C$26,IF(X142&gt;=0.3,Scoring!$C$27,Scoring!$C$28))),Scoring!$C$29))</f>
        <v>10</v>
      </c>
      <c r="AE142" s="22" t="n">
        <f aca="false">IF(D142="Expiring: notice window (verified)",Scoring!$C$30,IF(OR(D142="Expired (verified)",D142="30-yr mark: notice window (est.)",D142="Year-15 window"),Scoring!$C$31,IF(D142="Expiring: 10-yr horizon (verified)",Scoring!$C$32,IF(D142="Past 30-yr mark (verify)",Scoring!$C$33,IF(OR(D142="Credit period",D142="Superseded record"),Scoring!$C$35,Scoring!$C$34)))))</f>
        <v>8</v>
      </c>
      <c r="AF142" s="22" t="n">
        <f aca="false">IF(T142="Y",0,IF(ISNUMBER(V142),IF(Scoring!$B$4-V142&gt;15,Scoring!$C$36,IF(Scoring!$B$4-V142&gt;=10,Scoring!$C$37,IF(Scoring!$B$4-V142&gt;=5,Scoring!$C$38,Scoring!$C$39))),IF(OR(N142="",D142="Out of program"),Scoring!$C$40,IF(O142&gt;15,Scoring!$C$36,IF(O142&gt;=10,Scoring!$C$37,IF(O142&gt;=5,Scoring!$C$38,Scoring!$C$39))))))</f>
        <v>15</v>
      </c>
      <c r="AG142" s="22" t="n">
        <f aca="false">IF(T142="Y",0,IF(Y142="Y",Scoring!$C$41,IF(ISNUMBER(O142),IF(O142&gt;=25,Scoring!$C$42,IF(O142&gt;=15,Scoring!$C$43,Scoring!$C$44)),Scoring!$C$44)))</f>
        <v>8</v>
      </c>
      <c r="AH142" s="22" t="n">
        <f aca="false">IF(T142="Y",0,IF(W142="",Scoring!$C$49,IFERROR(VLOOKUP(W142,Scoring!$B$45:$C$48,2,FALSE()),Scoring!$C$49)))</f>
        <v>5</v>
      </c>
      <c r="AI142" s="23" t="n">
        <f aca="false">C142+IF(ISNUMBER(J142),J142,0)/100000+(10000-ROW())/1000000000</f>
        <v>64.000409858</v>
      </c>
      <c r="AJ142" s="18"/>
      <c r="AK142" s="18"/>
      <c r="AL142" s="18"/>
      <c r="AM142" s="18"/>
    </row>
    <row r="143" customFormat="false" ht="15" hidden="false" customHeight="false" outlineLevel="0" collapsed="false">
      <c r="A143" s="15" t="n">
        <f aca="false">RANK(AI143,$AI$2:$AI$755)</f>
        <v>142</v>
      </c>
      <c r="B143" s="16" t="str">
        <f aca="false">IF(T143="Y","Superseded",IF(C143&gt;=Scoring!$B$16,"Immediate",IF(C143&gt;=Scoring!$B$17,"This week",IF(C143&gt;=Scoring!$B$18,"Nurture","Low"))))</f>
        <v>This week</v>
      </c>
      <c r="C143" s="3" t="n">
        <f aca="false">SUM(AC143:AH143)</f>
        <v>64</v>
      </c>
      <c r="D143" s="15" t="str">
        <f aca="false">IF(T143="Y","Superseded record",IF(AND(U143&lt;&gt;"",AA143&lt;0),"Expired (verified)",IF(AND(U143&lt;&gt;"",AA143&lt;=Scoring!$B$5),"Expiring: notice window (verified)",IF(AND(U143&lt;&gt;"",AA143&lt;=Scoring!$B$6),"Expiring: 10-yr horizon (verified)",IF(M143="No Longer Monitored","Out of program",IF(N143="","Unknown vintage",IF(N143&lt;Scoring!$B$12,"Pre-1990, still listed",IF(AND(U143="",AA143&lt;0),"Past 30-yr mark (verify)",IF(AND(U143="",AA143&lt;=Scoring!$B$5),"30-yr mark: notice window (est.)",IF(AND(O143&gt;=Scoring!$B$7,O143&lt;=Scoring!$B$8),"Year-15 window",IF(O143&gt;=Scoring!$B$9,"Recap window",IF(O143&gt;=11,"Late compliance","Credit period"))))))))))))</f>
        <v>Past 30-yr mark (verify)</v>
      </c>
      <c r="E143" s="15" t="s">
        <v>649</v>
      </c>
      <c r="F143" s="15" t="s">
        <v>650</v>
      </c>
      <c r="G143" s="15" t="s">
        <v>651</v>
      </c>
      <c r="H143" s="15" t="s">
        <v>287</v>
      </c>
      <c r="I143" s="15" t="s">
        <v>288</v>
      </c>
      <c r="J143" s="15" t="n">
        <v>40</v>
      </c>
      <c r="K143" s="15" t="n">
        <v>40</v>
      </c>
      <c r="L143" s="15" t="n">
        <f aca="false">IF(OR(J143="",K143=""),"",MAX(J143-K143,0))</f>
        <v>0</v>
      </c>
      <c r="M143" s="15" t="s">
        <v>99</v>
      </c>
      <c r="N143" s="17" t="n">
        <v>1995</v>
      </c>
      <c r="O143" s="15" t="n">
        <f aca="false">IF(N143="","",Scoring!$B$4-N143)</f>
        <v>31</v>
      </c>
      <c r="P143" s="15" t="n">
        <f aca="false">IF(N143="","",N143+14)</f>
        <v>2009</v>
      </c>
      <c r="Q143" s="15" t="n">
        <f aca="false">IF(N143="","",IF(N143&lt;Scoring!$B$12,"n/a (pre-1990)",N143+Scoring!$B$13))</f>
        <v>2024</v>
      </c>
      <c r="R143" s="15" t="str">
        <f aca="false">IF(J143="","Unknown",IF(J143&gt;=5,"Yes","No (under 5 units)"))</f>
        <v>Yes</v>
      </c>
      <c r="S143" s="15"/>
      <c r="T143" s="18"/>
      <c r="U143" s="19"/>
      <c r="V143" s="18"/>
      <c r="W143" s="18"/>
      <c r="X143" s="20"/>
      <c r="Y143" s="18"/>
      <c r="Z143" s="18"/>
      <c r="AA143" s="21" t="n">
        <f aca="false">IF(U143&lt;&gt;"",(U143-Scoring!$B$3)/365.25,IF(N143="","",IF(N143&lt;Scoring!$B$12,"",(DATE(N143+Scoring!$B$13,12,31)-Scoring!$B$3)/365.25)))</f>
        <v>-1.75222450376454</v>
      </c>
      <c r="AB143" s="22" t="n">
        <f aca="false">IF(T143="Y",0,IF(OR(D143="Expired (verified)",D143="Expiring: notice window (verified)",D143="Expiring: 10-yr horizon (verified)",D143="Past 30-yr mark (verify)",D143="30-yr mark: notice window (est.)",D143="Year-15 window"),1,0)+IF(ISNUMBER(O143),IF(O143&gt;=Scoring!$B$10,1,0),0)+IF(AND(ISNUMBER(L143),ISNUMBER(J143)),IF(J143&gt;0,IF(L143/J143&gt;=Scoring!$B$11,1,0),0),0)+IF(ISNUMBER(Z143),MIN(Z143,3),0))</f>
        <v>2</v>
      </c>
      <c r="AC143" s="22" t="n">
        <f aca="false">IF(AB143&gt;=3,Scoring!$C$24,IF(AB143=2,Scoring!$C$23,IF(AB143=1,Scoring!$C$22,0)))</f>
        <v>18</v>
      </c>
      <c r="AD143" s="22" t="n">
        <f aca="false">IF(T143="Y",0,IF(ISNUMBER(X143),IF(X143&gt;0.7,Scoring!$C$25,IF(X143&gt;=0.5,Scoring!$C$26,IF(X143&gt;=0.3,Scoring!$C$27,Scoring!$C$28))),Scoring!$C$29))</f>
        <v>10</v>
      </c>
      <c r="AE143" s="22" t="n">
        <f aca="false">IF(D143="Expiring: notice window (verified)",Scoring!$C$30,IF(OR(D143="Expired (verified)",D143="30-yr mark: notice window (est.)",D143="Year-15 window"),Scoring!$C$31,IF(D143="Expiring: 10-yr horizon (verified)",Scoring!$C$32,IF(D143="Past 30-yr mark (verify)",Scoring!$C$33,IF(OR(D143="Credit period",D143="Superseded record"),Scoring!$C$35,Scoring!$C$34)))))</f>
        <v>8</v>
      </c>
      <c r="AF143" s="22" t="n">
        <f aca="false">IF(T143="Y",0,IF(ISNUMBER(V143),IF(Scoring!$B$4-V143&gt;15,Scoring!$C$36,IF(Scoring!$B$4-V143&gt;=10,Scoring!$C$37,IF(Scoring!$B$4-V143&gt;=5,Scoring!$C$38,Scoring!$C$39))),IF(OR(N143="",D143="Out of program"),Scoring!$C$40,IF(O143&gt;15,Scoring!$C$36,IF(O143&gt;=10,Scoring!$C$37,IF(O143&gt;=5,Scoring!$C$38,Scoring!$C$39))))))</f>
        <v>15</v>
      </c>
      <c r="AG143" s="22" t="n">
        <f aca="false">IF(T143="Y",0,IF(Y143="Y",Scoring!$C$41,IF(ISNUMBER(O143),IF(O143&gt;=25,Scoring!$C$42,IF(O143&gt;=15,Scoring!$C$43,Scoring!$C$44)),Scoring!$C$44)))</f>
        <v>8</v>
      </c>
      <c r="AH143" s="22" t="n">
        <f aca="false">IF(T143="Y",0,IF(W143="",Scoring!$C$49,IFERROR(VLOOKUP(W143,Scoring!$B$45:$C$48,2,FALSE()),Scoring!$C$49)))</f>
        <v>5</v>
      </c>
      <c r="AI143" s="23" t="n">
        <f aca="false">C143+IF(ISNUMBER(J143),J143,0)/100000+(10000-ROW())/1000000000</f>
        <v>64.000409857</v>
      </c>
      <c r="AJ143" s="18"/>
      <c r="AK143" s="18"/>
      <c r="AL143" s="18"/>
      <c r="AM143" s="18"/>
    </row>
    <row r="144" customFormat="false" ht="15" hidden="false" customHeight="false" outlineLevel="0" collapsed="false">
      <c r="A144" s="15" t="n">
        <f aca="false">RANK(AI144,$AI$2:$AI$755)</f>
        <v>143</v>
      </c>
      <c r="B144" s="16" t="str">
        <f aca="false">IF(T144="Y","Superseded",IF(C144&gt;=Scoring!$B$16,"Immediate",IF(C144&gt;=Scoring!$B$17,"This week",IF(C144&gt;=Scoring!$B$18,"Nurture","Low"))))</f>
        <v>This week</v>
      </c>
      <c r="C144" s="3" t="n">
        <f aca="false">SUM(AC144:AH144)</f>
        <v>64</v>
      </c>
      <c r="D144" s="15" t="str">
        <f aca="false">IF(T144="Y","Superseded record",IF(AND(U144&lt;&gt;"",AA144&lt;0),"Expired (verified)",IF(AND(U144&lt;&gt;"",AA144&lt;=Scoring!$B$5),"Expiring: notice window (verified)",IF(AND(U144&lt;&gt;"",AA144&lt;=Scoring!$B$6),"Expiring: 10-yr horizon (verified)",IF(M144="No Longer Monitored","Out of program",IF(N144="","Unknown vintage",IF(N144&lt;Scoring!$B$12,"Pre-1990, still listed",IF(AND(U144="",AA144&lt;0),"Past 30-yr mark (verify)",IF(AND(U144="",AA144&lt;=Scoring!$B$5),"30-yr mark: notice window (est.)",IF(AND(O144&gt;=Scoring!$B$7,O144&lt;=Scoring!$B$8),"Year-15 window",IF(O144&gt;=Scoring!$B$9,"Recap window",IF(O144&gt;=11,"Late compliance","Credit period"))))))))))))</f>
        <v>Past 30-yr mark (verify)</v>
      </c>
      <c r="E144" s="15" t="s">
        <v>652</v>
      </c>
      <c r="F144" s="15" t="s">
        <v>653</v>
      </c>
      <c r="G144" s="15" t="s">
        <v>654</v>
      </c>
      <c r="H144" s="15" t="s">
        <v>353</v>
      </c>
      <c r="I144" s="15" t="s">
        <v>354</v>
      </c>
      <c r="J144" s="15" t="n">
        <v>39</v>
      </c>
      <c r="K144" s="15" t="n">
        <v>39</v>
      </c>
      <c r="L144" s="15" t="n">
        <f aca="false">IF(OR(J144="",K144=""),"",MAX(J144-K144,0))</f>
        <v>0</v>
      </c>
      <c r="M144" s="15" t="s">
        <v>99</v>
      </c>
      <c r="N144" s="17" t="n">
        <v>1991</v>
      </c>
      <c r="O144" s="15" t="n">
        <f aca="false">IF(N144="","",Scoring!$B$4-N144)</f>
        <v>35</v>
      </c>
      <c r="P144" s="15" t="n">
        <f aca="false">IF(N144="","",N144+14)</f>
        <v>2005</v>
      </c>
      <c r="Q144" s="15" t="n">
        <f aca="false">IF(N144="","",IF(N144&lt;Scoring!$B$12,"n/a (pre-1990)",N144+Scoring!$B$13))</f>
        <v>2020</v>
      </c>
      <c r="R144" s="15" t="str">
        <f aca="false">IF(J144="","Unknown",IF(J144&gt;=5,"Yes","No (under 5 units)"))</f>
        <v>Yes</v>
      </c>
      <c r="S144" s="15"/>
      <c r="T144" s="18"/>
      <c r="U144" s="19"/>
      <c r="V144" s="18"/>
      <c r="W144" s="18"/>
      <c r="X144" s="20"/>
      <c r="Y144" s="18"/>
      <c r="Z144" s="18"/>
      <c r="AA144" s="21" t="n">
        <f aca="false">IF(U144&lt;&gt;"",(U144-Scoring!$B$3)/365.25,IF(N144="","",IF(N144&lt;Scoring!$B$12,"",(DATE(N144+Scoring!$B$13,12,31)-Scoring!$B$3)/365.25)))</f>
        <v>-5.75222450376455</v>
      </c>
      <c r="AB144" s="22" t="n">
        <f aca="false">IF(T144="Y",0,IF(OR(D144="Expired (verified)",D144="Expiring: notice window (verified)",D144="Expiring: 10-yr horizon (verified)",D144="Past 30-yr mark (verify)",D144="30-yr mark: notice window (est.)",D144="Year-15 window"),1,0)+IF(ISNUMBER(O144),IF(O144&gt;=Scoring!$B$10,1,0),0)+IF(AND(ISNUMBER(L144),ISNUMBER(J144)),IF(J144&gt;0,IF(L144/J144&gt;=Scoring!$B$11,1,0),0),0)+IF(ISNUMBER(Z144),MIN(Z144,3),0))</f>
        <v>2</v>
      </c>
      <c r="AC144" s="22" t="n">
        <f aca="false">IF(AB144&gt;=3,Scoring!$C$24,IF(AB144=2,Scoring!$C$23,IF(AB144=1,Scoring!$C$22,0)))</f>
        <v>18</v>
      </c>
      <c r="AD144" s="22" t="n">
        <f aca="false">IF(T144="Y",0,IF(ISNUMBER(X144),IF(X144&gt;0.7,Scoring!$C$25,IF(X144&gt;=0.5,Scoring!$C$26,IF(X144&gt;=0.3,Scoring!$C$27,Scoring!$C$28))),Scoring!$C$29))</f>
        <v>10</v>
      </c>
      <c r="AE144" s="22" t="n">
        <f aca="false">IF(D144="Expiring: notice window (verified)",Scoring!$C$30,IF(OR(D144="Expired (verified)",D144="30-yr mark: notice window (est.)",D144="Year-15 window"),Scoring!$C$31,IF(D144="Expiring: 10-yr horizon (verified)",Scoring!$C$32,IF(D144="Past 30-yr mark (verify)",Scoring!$C$33,IF(OR(D144="Credit period",D144="Superseded record"),Scoring!$C$35,Scoring!$C$34)))))</f>
        <v>8</v>
      </c>
      <c r="AF144" s="22" t="n">
        <f aca="false">IF(T144="Y",0,IF(ISNUMBER(V144),IF(Scoring!$B$4-V144&gt;15,Scoring!$C$36,IF(Scoring!$B$4-V144&gt;=10,Scoring!$C$37,IF(Scoring!$B$4-V144&gt;=5,Scoring!$C$38,Scoring!$C$39))),IF(OR(N144="",D144="Out of program"),Scoring!$C$40,IF(O144&gt;15,Scoring!$C$36,IF(O144&gt;=10,Scoring!$C$37,IF(O144&gt;=5,Scoring!$C$38,Scoring!$C$39))))))</f>
        <v>15</v>
      </c>
      <c r="AG144" s="22" t="n">
        <f aca="false">IF(T144="Y",0,IF(Y144="Y",Scoring!$C$41,IF(ISNUMBER(O144),IF(O144&gt;=25,Scoring!$C$42,IF(O144&gt;=15,Scoring!$C$43,Scoring!$C$44)),Scoring!$C$44)))</f>
        <v>8</v>
      </c>
      <c r="AH144" s="22" t="n">
        <f aca="false">IF(T144="Y",0,IF(W144="",Scoring!$C$49,IFERROR(VLOOKUP(W144,Scoring!$B$45:$C$48,2,FALSE()),Scoring!$C$49)))</f>
        <v>5</v>
      </c>
      <c r="AI144" s="23" t="n">
        <f aca="false">C144+IF(ISNUMBER(J144),J144,0)/100000+(10000-ROW())/1000000000</f>
        <v>64.000399856</v>
      </c>
      <c r="AJ144" s="18"/>
      <c r="AK144" s="18"/>
      <c r="AL144" s="18"/>
      <c r="AM144" s="18"/>
    </row>
    <row r="145" customFormat="false" ht="15" hidden="false" customHeight="false" outlineLevel="0" collapsed="false">
      <c r="A145" s="15" t="n">
        <f aca="false">RANK(AI145,$AI$2:$AI$755)</f>
        <v>144</v>
      </c>
      <c r="B145" s="16" t="str">
        <f aca="false">IF(T145="Y","Superseded",IF(C145&gt;=Scoring!$B$16,"Immediate",IF(C145&gt;=Scoring!$B$17,"This week",IF(C145&gt;=Scoring!$B$18,"Nurture","Low"))))</f>
        <v>This week</v>
      </c>
      <c r="C145" s="3" t="n">
        <f aca="false">SUM(AC145:AH145)</f>
        <v>64</v>
      </c>
      <c r="D145" s="15" t="str">
        <f aca="false">IF(T145="Y","Superseded record",IF(AND(U145&lt;&gt;"",AA145&lt;0),"Expired (verified)",IF(AND(U145&lt;&gt;"",AA145&lt;=Scoring!$B$5),"Expiring: notice window (verified)",IF(AND(U145&lt;&gt;"",AA145&lt;=Scoring!$B$6),"Expiring: 10-yr horizon (verified)",IF(M145="No Longer Monitored","Out of program",IF(N145="","Unknown vintage",IF(N145&lt;Scoring!$B$12,"Pre-1990, still listed",IF(AND(U145="",AA145&lt;0),"Past 30-yr mark (verify)",IF(AND(U145="",AA145&lt;=Scoring!$B$5),"30-yr mark: notice window (est.)",IF(AND(O145&gt;=Scoring!$B$7,O145&lt;=Scoring!$B$8),"Year-15 window",IF(O145&gt;=Scoring!$B$9,"Recap window",IF(O145&gt;=11,"Late compliance","Credit period"))))))))))))</f>
        <v>Past 30-yr mark (verify)</v>
      </c>
      <c r="E145" s="15" t="s">
        <v>655</v>
      </c>
      <c r="F145" s="15" t="s">
        <v>656</v>
      </c>
      <c r="G145" s="15" t="s">
        <v>657</v>
      </c>
      <c r="H145" s="15" t="s">
        <v>658</v>
      </c>
      <c r="I145" s="15" t="s">
        <v>659</v>
      </c>
      <c r="J145" s="15" t="n">
        <v>36</v>
      </c>
      <c r="K145" s="15" t="n">
        <v>36</v>
      </c>
      <c r="L145" s="15" t="n">
        <f aca="false">IF(OR(J145="",K145=""),"",MAX(J145-K145,0))</f>
        <v>0</v>
      </c>
      <c r="M145" s="15" t="s">
        <v>99</v>
      </c>
      <c r="N145" s="17" t="n">
        <v>1993</v>
      </c>
      <c r="O145" s="15" t="n">
        <f aca="false">IF(N145="","",Scoring!$B$4-N145)</f>
        <v>33</v>
      </c>
      <c r="P145" s="15" t="n">
        <f aca="false">IF(N145="","",N145+14)</f>
        <v>2007</v>
      </c>
      <c r="Q145" s="15" t="n">
        <f aca="false">IF(N145="","",IF(N145&lt;Scoring!$B$12,"n/a (pre-1990)",N145+Scoring!$B$13))</f>
        <v>2022</v>
      </c>
      <c r="R145" s="15" t="str">
        <f aca="false">IF(J145="","Unknown",IF(J145&gt;=5,"Yes","No (under 5 units)"))</f>
        <v>Yes</v>
      </c>
      <c r="S145" s="15"/>
      <c r="T145" s="18"/>
      <c r="U145" s="19"/>
      <c r="V145" s="18"/>
      <c r="W145" s="18"/>
      <c r="X145" s="20"/>
      <c r="Y145" s="18"/>
      <c r="Z145" s="18"/>
      <c r="AA145" s="21" t="n">
        <f aca="false">IF(U145&lt;&gt;"",(U145-Scoring!$B$3)/365.25,IF(N145="","",IF(N145&lt;Scoring!$B$12,"",(DATE(N145+Scoring!$B$13,12,31)-Scoring!$B$3)/365.25)))</f>
        <v>-3.75359342915811</v>
      </c>
      <c r="AB145" s="22" t="n">
        <f aca="false">IF(T145="Y",0,IF(OR(D145="Expired (verified)",D145="Expiring: notice window (verified)",D145="Expiring: 10-yr horizon (verified)",D145="Past 30-yr mark (verify)",D145="30-yr mark: notice window (est.)",D145="Year-15 window"),1,0)+IF(ISNUMBER(O145),IF(O145&gt;=Scoring!$B$10,1,0),0)+IF(AND(ISNUMBER(L145),ISNUMBER(J145)),IF(J145&gt;0,IF(L145/J145&gt;=Scoring!$B$11,1,0),0),0)+IF(ISNUMBER(Z145),MIN(Z145,3),0))</f>
        <v>2</v>
      </c>
      <c r="AC145" s="22" t="n">
        <f aca="false">IF(AB145&gt;=3,Scoring!$C$24,IF(AB145=2,Scoring!$C$23,IF(AB145=1,Scoring!$C$22,0)))</f>
        <v>18</v>
      </c>
      <c r="AD145" s="22" t="n">
        <f aca="false">IF(T145="Y",0,IF(ISNUMBER(X145),IF(X145&gt;0.7,Scoring!$C$25,IF(X145&gt;=0.5,Scoring!$C$26,IF(X145&gt;=0.3,Scoring!$C$27,Scoring!$C$28))),Scoring!$C$29))</f>
        <v>10</v>
      </c>
      <c r="AE145" s="22" t="n">
        <f aca="false">IF(D145="Expiring: notice window (verified)",Scoring!$C$30,IF(OR(D145="Expired (verified)",D145="30-yr mark: notice window (est.)",D145="Year-15 window"),Scoring!$C$31,IF(D145="Expiring: 10-yr horizon (verified)",Scoring!$C$32,IF(D145="Past 30-yr mark (verify)",Scoring!$C$33,IF(OR(D145="Credit period",D145="Superseded record"),Scoring!$C$35,Scoring!$C$34)))))</f>
        <v>8</v>
      </c>
      <c r="AF145" s="22" t="n">
        <f aca="false">IF(T145="Y",0,IF(ISNUMBER(V145),IF(Scoring!$B$4-V145&gt;15,Scoring!$C$36,IF(Scoring!$B$4-V145&gt;=10,Scoring!$C$37,IF(Scoring!$B$4-V145&gt;=5,Scoring!$C$38,Scoring!$C$39))),IF(OR(N145="",D145="Out of program"),Scoring!$C$40,IF(O145&gt;15,Scoring!$C$36,IF(O145&gt;=10,Scoring!$C$37,IF(O145&gt;=5,Scoring!$C$38,Scoring!$C$39))))))</f>
        <v>15</v>
      </c>
      <c r="AG145" s="22" t="n">
        <f aca="false">IF(T145="Y",0,IF(Y145="Y",Scoring!$C$41,IF(ISNUMBER(O145),IF(O145&gt;=25,Scoring!$C$42,IF(O145&gt;=15,Scoring!$C$43,Scoring!$C$44)),Scoring!$C$44)))</f>
        <v>8</v>
      </c>
      <c r="AH145" s="22" t="n">
        <f aca="false">IF(T145="Y",0,IF(W145="",Scoring!$C$49,IFERROR(VLOOKUP(W145,Scoring!$B$45:$C$48,2,FALSE()),Scoring!$C$49)))</f>
        <v>5</v>
      </c>
      <c r="AI145" s="23" t="n">
        <f aca="false">C145+IF(ISNUMBER(J145),J145,0)/100000+(10000-ROW())/1000000000</f>
        <v>64.000369855</v>
      </c>
      <c r="AJ145" s="18"/>
      <c r="AK145" s="18"/>
      <c r="AL145" s="18"/>
      <c r="AM145" s="18"/>
    </row>
    <row r="146" customFormat="false" ht="15" hidden="false" customHeight="false" outlineLevel="0" collapsed="false">
      <c r="A146" s="15" t="n">
        <f aca="false">RANK(AI146,$AI$2:$AI$755)</f>
        <v>145</v>
      </c>
      <c r="B146" s="16" t="str">
        <f aca="false">IF(T146="Y","Superseded",IF(C146&gt;=Scoring!$B$16,"Immediate",IF(C146&gt;=Scoring!$B$17,"This week",IF(C146&gt;=Scoring!$B$18,"Nurture","Low"))))</f>
        <v>This week</v>
      </c>
      <c r="C146" s="3" t="n">
        <f aca="false">SUM(AC146:AH146)</f>
        <v>64</v>
      </c>
      <c r="D146" s="15" t="str">
        <f aca="false">IF(T146="Y","Superseded record",IF(AND(U146&lt;&gt;"",AA146&lt;0),"Expired (verified)",IF(AND(U146&lt;&gt;"",AA146&lt;=Scoring!$B$5),"Expiring: notice window (verified)",IF(AND(U146&lt;&gt;"",AA146&lt;=Scoring!$B$6),"Expiring: 10-yr horizon (verified)",IF(M146="No Longer Monitored","Out of program",IF(N146="","Unknown vintage",IF(N146&lt;Scoring!$B$12,"Pre-1990, still listed",IF(AND(U146="",AA146&lt;0),"Past 30-yr mark (verify)",IF(AND(U146="",AA146&lt;=Scoring!$B$5),"30-yr mark: notice window (est.)",IF(AND(O146&gt;=Scoring!$B$7,O146&lt;=Scoring!$B$8),"Year-15 window",IF(O146&gt;=Scoring!$B$9,"Recap window",IF(O146&gt;=11,"Late compliance","Credit period"))))))))))))</f>
        <v>Past 30-yr mark (verify)</v>
      </c>
      <c r="E146" s="15" t="s">
        <v>660</v>
      </c>
      <c r="F146" s="15" t="s">
        <v>661</v>
      </c>
      <c r="G146" s="15" t="s">
        <v>662</v>
      </c>
      <c r="H146" s="15" t="s">
        <v>366</v>
      </c>
      <c r="I146" s="15" t="s">
        <v>367</v>
      </c>
      <c r="J146" s="15" t="n">
        <v>36</v>
      </c>
      <c r="K146" s="15" t="n">
        <v>36</v>
      </c>
      <c r="L146" s="15" t="n">
        <f aca="false">IF(OR(J146="",K146=""),"",MAX(J146-K146,0))</f>
        <v>0</v>
      </c>
      <c r="M146" s="15" t="s">
        <v>99</v>
      </c>
      <c r="N146" s="17" t="n">
        <v>1994</v>
      </c>
      <c r="O146" s="15" t="n">
        <f aca="false">IF(N146="","",Scoring!$B$4-N146)</f>
        <v>32</v>
      </c>
      <c r="P146" s="15" t="n">
        <f aca="false">IF(N146="","",N146+14)</f>
        <v>2008</v>
      </c>
      <c r="Q146" s="15" t="n">
        <f aca="false">IF(N146="","",IF(N146&lt;Scoring!$B$12,"n/a (pre-1990)",N146+Scoring!$B$13))</f>
        <v>2023</v>
      </c>
      <c r="R146" s="15" t="str">
        <f aca="false">IF(J146="","Unknown",IF(J146&gt;=5,"Yes","No (under 5 units)"))</f>
        <v>Yes</v>
      </c>
      <c r="S146" s="15"/>
      <c r="T146" s="18"/>
      <c r="U146" s="19"/>
      <c r="V146" s="18"/>
      <c r="W146" s="18"/>
      <c r="X146" s="20"/>
      <c r="Y146" s="18"/>
      <c r="Z146" s="18"/>
      <c r="AA146" s="21" t="n">
        <f aca="false">IF(U146&lt;&gt;"",(U146-Scoring!$B$3)/365.25,IF(N146="","",IF(N146&lt;Scoring!$B$12,"",(DATE(N146+Scoring!$B$13,12,31)-Scoring!$B$3)/365.25)))</f>
        <v>-2.75427789185489</v>
      </c>
      <c r="AB146" s="22" t="n">
        <f aca="false">IF(T146="Y",0,IF(OR(D146="Expired (verified)",D146="Expiring: notice window (verified)",D146="Expiring: 10-yr horizon (verified)",D146="Past 30-yr mark (verify)",D146="30-yr mark: notice window (est.)",D146="Year-15 window"),1,0)+IF(ISNUMBER(O146),IF(O146&gt;=Scoring!$B$10,1,0),0)+IF(AND(ISNUMBER(L146),ISNUMBER(J146)),IF(J146&gt;0,IF(L146/J146&gt;=Scoring!$B$11,1,0),0),0)+IF(ISNUMBER(Z146),MIN(Z146,3),0))</f>
        <v>2</v>
      </c>
      <c r="AC146" s="22" t="n">
        <f aca="false">IF(AB146&gt;=3,Scoring!$C$24,IF(AB146=2,Scoring!$C$23,IF(AB146=1,Scoring!$C$22,0)))</f>
        <v>18</v>
      </c>
      <c r="AD146" s="22" t="n">
        <f aca="false">IF(T146="Y",0,IF(ISNUMBER(X146),IF(X146&gt;0.7,Scoring!$C$25,IF(X146&gt;=0.5,Scoring!$C$26,IF(X146&gt;=0.3,Scoring!$C$27,Scoring!$C$28))),Scoring!$C$29))</f>
        <v>10</v>
      </c>
      <c r="AE146" s="22" t="n">
        <f aca="false">IF(D146="Expiring: notice window (verified)",Scoring!$C$30,IF(OR(D146="Expired (verified)",D146="30-yr mark: notice window (est.)",D146="Year-15 window"),Scoring!$C$31,IF(D146="Expiring: 10-yr horizon (verified)",Scoring!$C$32,IF(D146="Past 30-yr mark (verify)",Scoring!$C$33,IF(OR(D146="Credit period",D146="Superseded record"),Scoring!$C$35,Scoring!$C$34)))))</f>
        <v>8</v>
      </c>
      <c r="AF146" s="22" t="n">
        <f aca="false">IF(T146="Y",0,IF(ISNUMBER(V146),IF(Scoring!$B$4-V146&gt;15,Scoring!$C$36,IF(Scoring!$B$4-V146&gt;=10,Scoring!$C$37,IF(Scoring!$B$4-V146&gt;=5,Scoring!$C$38,Scoring!$C$39))),IF(OR(N146="",D146="Out of program"),Scoring!$C$40,IF(O146&gt;15,Scoring!$C$36,IF(O146&gt;=10,Scoring!$C$37,IF(O146&gt;=5,Scoring!$C$38,Scoring!$C$39))))))</f>
        <v>15</v>
      </c>
      <c r="AG146" s="22" t="n">
        <f aca="false">IF(T146="Y",0,IF(Y146="Y",Scoring!$C$41,IF(ISNUMBER(O146),IF(O146&gt;=25,Scoring!$C$42,IF(O146&gt;=15,Scoring!$C$43,Scoring!$C$44)),Scoring!$C$44)))</f>
        <v>8</v>
      </c>
      <c r="AH146" s="22" t="n">
        <f aca="false">IF(T146="Y",0,IF(W146="",Scoring!$C$49,IFERROR(VLOOKUP(W146,Scoring!$B$45:$C$48,2,FALSE()),Scoring!$C$49)))</f>
        <v>5</v>
      </c>
      <c r="AI146" s="23" t="n">
        <f aca="false">C146+IF(ISNUMBER(J146),J146,0)/100000+(10000-ROW())/1000000000</f>
        <v>64.000369854</v>
      </c>
      <c r="AJ146" s="18"/>
      <c r="AK146" s="18"/>
      <c r="AL146" s="18"/>
      <c r="AM146" s="18"/>
    </row>
    <row r="147" customFormat="false" ht="15" hidden="false" customHeight="false" outlineLevel="0" collapsed="false">
      <c r="A147" s="15" t="n">
        <f aca="false">RANK(AI147,$AI$2:$AI$755)</f>
        <v>146</v>
      </c>
      <c r="B147" s="16" t="str">
        <f aca="false">IF(T147="Y","Superseded",IF(C147&gt;=Scoring!$B$16,"Immediate",IF(C147&gt;=Scoring!$B$17,"This week",IF(C147&gt;=Scoring!$B$18,"Nurture","Low"))))</f>
        <v>This week</v>
      </c>
      <c r="C147" s="3" t="n">
        <f aca="false">SUM(AC147:AH147)</f>
        <v>64</v>
      </c>
      <c r="D147" s="15" t="str">
        <f aca="false">IF(T147="Y","Superseded record",IF(AND(U147&lt;&gt;"",AA147&lt;0),"Expired (verified)",IF(AND(U147&lt;&gt;"",AA147&lt;=Scoring!$B$5),"Expiring: notice window (verified)",IF(AND(U147&lt;&gt;"",AA147&lt;=Scoring!$B$6),"Expiring: 10-yr horizon (verified)",IF(M147="No Longer Monitored","Out of program",IF(N147="","Unknown vintage",IF(N147&lt;Scoring!$B$12,"Pre-1990, still listed",IF(AND(U147="",AA147&lt;0),"Past 30-yr mark (verify)",IF(AND(U147="",AA147&lt;=Scoring!$B$5),"30-yr mark: notice window (est.)",IF(AND(O147&gt;=Scoring!$B$7,O147&lt;=Scoring!$B$8),"Year-15 window",IF(O147&gt;=Scoring!$B$9,"Recap window",IF(O147&gt;=11,"Late compliance","Credit period"))))))))))))</f>
        <v>Past 30-yr mark (verify)</v>
      </c>
      <c r="E147" s="15" t="s">
        <v>663</v>
      </c>
      <c r="F147" s="15" t="s">
        <v>664</v>
      </c>
      <c r="G147" s="15" t="s">
        <v>665</v>
      </c>
      <c r="H147" s="15" t="s">
        <v>666</v>
      </c>
      <c r="I147" s="15" t="s">
        <v>667</v>
      </c>
      <c r="J147" s="15" t="n">
        <v>36</v>
      </c>
      <c r="K147" s="15"/>
      <c r="L147" s="15" t="str">
        <f aca="false">IF(OR(J147="",K147=""),"",MAX(J147-K147,0))</f>
        <v/>
      </c>
      <c r="M147" s="15" t="s">
        <v>99</v>
      </c>
      <c r="N147" s="17" t="n">
        <v>1994</v>
      </c>
      <c r="O147" s="15" t="n">
        <f aca="false">IF(N147="","",Scoring!$B$4-N147)</f>
        <v>32</v>
      </c>
      <c r="P147" s="15" t="n">
        <f aca="false">IF(N147="","",N147+14)</f>
        <v>2008</v>
      </c>
      <c r="Q147" s="15" t="n">
        <f aca="false">IF(N147="","",IF(N147&lt;Scoring!$B$12,"n/a (pre-1990)",N147+Scoring!$B$13))</f>
        <v>2023</v>
      </c>
      <c r="R147" s="15" t="str">
        <f aca="false">IF(J147="","Unknown",IF(J147&gt;=5,"Yes","No (under 5 units)"))</f>
        <v>Yes</v>
      </c>
      <c r="S147" s="15"/>
      <c r="T147" s="18"/>
      <c r="U147" s="19"/>
      <c r="V147" s="18"/>
      <c r="W147" s="18"/>
      <c r="X147" s="20"/>
      <c r="Y147" s="18"/>
      <c r="Z147" s="18"/>
      <c r="AA147" s="21" t="n">
        <f aca="false">IF(U147&lt;&gt;"",(U147-Scoring!$B$3)/365.25,IF(N147="","",IF(N147&lt;Scoring!$B$12,"",(DATE(N147+Scoring!$B$13,12,31)-Scoring!$B$3)/365.25)))</f>
        <v>-2.75427789185489</v>
      </c>
      <c r="AB147" s="22" t="n">
        <f aca="false">IF(T147="Y",0,IF(OR(D147="Expired (verified)",D147="Expiring: notice window (verified)",D147="Expiring: 10-yr horizon (verified)",D147="Past 30-yr mark (verify)",D147="30-yr mark: notice window (est.)",D147="Year-15 window"),1,0)+IF(ISNUMBER(O147),IF(O147&gt;=Scoring!$B$10,1,0),0)+IF(AND(ISNUMBER(L147),ISNUMBER(J147)),IF(J147&gt;0,IF(L147/J147&gt;=Scoring!$B$11,1,0),0),0)+IF(ISNUMBER(Z147),MIN(Z147,3),0))</f>
        <v>2</v>
      </c>
      <c r="AC147" s="22" t="n">
        <f aca="false">IF(AB147&gt;=3,Scoring!$C$24,IF(AB147=2,Scoring!$C$23,IF(AB147=1,Scoring!$C$22,0)))</f>
        <v>18</v>
      </c>
      <c r="AD147" s="22" t="n">
        <f aca="false">IF(T147="Y",0,IF(ISNUMBER(X147),IF(X147&gt;0.7,Scoring!$C$25,IF(X147&gt;=0.5,Scoring!$C$26,IF(X147&gt;=0.3,Scoring!$C$27,Scoring!$C$28))),Scoring!$C$29))</f>
        <v>10</v>
      </c>
      <c r="AE147" s="22" t="n">
        <f aca="false">IF(D147="Expiring: notice window (verified)",Scoring!$C$30,IF(OR(D147="Expired (verified)",D147="30-yr mark: notice window (est.)",D147="Year-15 window"),Scoring!$C$31,IF(D147="Expiring: 10-yr horizon (verified)",Scoring!$C$32,IF(D147="Past 30-yr mark (verify)",Scoring!$C$33,IF(OR(D147="Credit period",D147="Superseded record"),Scoring!$C$35,Scoring!$C$34)))))</f>
        <v>8</v>
      </c>
      <c r="AF147" s="22" t="n">
        <f aca="false">IF(T147="Y",0,IF(ISNUMBER(V147),IF(Scoring!$B$4-V147&gt;15,Scoring!$C$36,IF(Scoring!$B$4-V147&gt;=10,Scoring!$C$37,IF(Scoring!$B$4-V147&gt;=5,Scoring!$C$38,Scoring!$C$39))),IF(OR(N147="",D147="Out of program"),Scoring!$C$40,IF(O147&gt;15,Scoring!$C$36,IF(O147&gt;=10,Scoring!$C$37,IF(O147&gt;=5,Scoring!$C$38,Scoring!$C$39))))))</f>
        <v>15</v>
      </c>
      <c r="AG147" s="22" t="n">
        <f aca="false">IF(T147="Y",0,IF(Y147="Y",Scoring!$C$41,IF(ISNUMBER(O147),IF(O147&gt;=25,Scoring!$C$42,IF(O147&gt;=15,Scoring!$C$43,Scoring!$C$44)),Scoring!$C$44)))</f>
        <v>8</v>
      </c>
      <c r="AH147" s="22" t="n">
        <f aca="false">IF(T147="Y",0,IF(W147="",Scoring!$C$49,IFERROR(VLOOKUP(W147,Scoring!$B$45:$C$48,2,FALSE()),Scoring!$C$49)))</f>
        <v>5</v>
      </c>
      <c r="AI147" s="23" t="n">
        <f aca="false">C147+IF(ISNUMBER(J147),J147,0)/100000+(10000-ROW())/1000000000</f>
        <v>64.000369853</v>
      </c>
      <c r="AJ147" s="18"/>
      <c r="AK147" s="18"/>
      <c r="AL147" s="18"/>
      <c r="AM147" s="18"/>
    </row>
    <row r="148" customFormat="false" ht="15" hidden="false" customHeight="false" outlineLevel="0" collapsed="false">
      <c r="A148" s="15" t="n">
        <f aca="false">RANK(AI148,$AI$2:$AI$755)</f>
        <v>147</v>
      </c>
      <c r="B148" s="16" t="str">
        <f aca="false">IF(T148="Y","Superseded",IF(C148&gt;=Scoring!$B$16,"Immediate",IF(C148&gt;=Scoring!$B$17,"This week",IF(C148&gt;=Scoring!$B$18,"Nurture","Low"))))</f>
        <v>This week</v>
      </c>
      <c r="C148" s="3" t="n">
        <f aca="false">SUM(AC148:AH148)</f>
        <v>64</v>
      </c>
      <c r="D148" s="15" t="str">
        <f aca="false">IF(T148="Y","Superseded record",IF(AND(U148&lt;&gt;"",AA148&lt;0),"Expired (verified)",IF(AND(U148&lt;&gt;"",AA148&lt;=Scoring!$B$5),"Expiring: notice window (verified)",IF(AND(U148&lt;&gt;"",AA148&lt;=Scoring!$B$6),"Expiring: 10-yr horizon (verified)",IF(M148="No Longer Monitored","Out of program",IF(N148="","Unknown vintage",IF(N148&lt;Scoring!$B$12,"Pre-1990, still listed",IF(AND(U148="",AA148&lt;0),"Past 30-yr mark (verify)",IF(AND(U148="",AA148&lt;=Scoring!$B$5),"30-yr mark: notice window (est.)",IF(AND(O148&gt;=Scoring!$B$7,O148&lt;=Scoring!$B$8),"Year-15 window",IF(O148&gt;=Scoring!$B$9,"Recap window",IF(O148&gt;=11,"Late compliance","Credit period"))))))))))))</f>
        <v>Past 30-yr mark (verify)</v>
      </c>
      <c r="E148" s="15" t="s">
        <v>668</v>
      </c>
      <c r="F148" s="15" t="s">
        <v>669</v>
      </c>
      <c r="G148" s="15" t="s">
        <v>670</v>
      </c>
      <c r="H148" s="15" t="s">
        <v>255</v>
      </c>
      <c r="I148" s="15" t="s">
        <v>256</v>
      </c>
      <c r="J148" s="15" t="n">
        <v>35</v>
      </c>
      <c r="K148" s="15" t="n">
        <v>35</v>
      </c>
      <c r="L148" s="15" t="n">
        <f aca="false">IF(OR(J148="",K148=""),"",MAX(J148-K148,0))</f>
        <v>0</v>
      </c>
      <c r="M148" s="15" t="s">
        <v>99</v>
      </c>
      <c r="N148" s="17" t="n">
        <v>1993</v>
      </c>
      <c r="O148" s="15" t="n">
        <f aca="false">IF(N148="","",Scoring!$B$4-N148)</f>
        <v>33</v>
      </c>
      <c r="P148" s="15" t="n">
        <f aca="false">IF(N148="","",N148+14)</f>
        <v>2007</v>
      </c>
      <c r="Q148" s="15" t="n">
        <f aca="false">IF(N148="","",IF(N148&lt;Scoring!$B$12,"n/a (pre-1990)",N148+Scoring!$B$13))</f>
        <v>2022</v>
      </c>
      <c r="R148" s="15" t="str">
        <f aca="false">IF(J148="","Unknown",IF(J148&gt;=5,"Yes","No (under 5 units)"))</f>
        <v>Yes</v>
      </c>
      <c r="S148" s="15"/>
      <c r="T148" s="18"/>
      <c r="U148" s="19"/>
      <c r="V148" s="18"/>
      <c r="W148" s="18"/>
      <c r="X148" s="20"/>
      <c r="Y148" s="18"/>
      <c r="Z148" s="18"/>
      <c r="AA148" s="21" t="n">
        <f aca="false">IF(U148&lt;&gt;"",(U148-Scoring!$B$3)/365.25,IF(N148="","",IF(N148&lt;Scoring!$B$12,"",(DATE(N148+Scoring!$B$13,12,31)-Scoring!$B$3)/365.25)))</f>
        <v>-3.75359342915811</v>
      </c>
      <c r="AB148" s="22" t="n">
        <f aca="false">IF(T148="Y",0,IF(OR(D148="Expired (verified)",D148="Expiring: notice window (verified)",D148="Expiring: 10-yr horizon (verified)",D148="Past 30-yr mark (verify)",D148="30-yr mark: notice window (est.)",D148="Year-15 window"),1,0)+IF(ISNUMBER(O148),IF(O148&gt;=Scoring!$B$10,1,0),0)+IF(AND(ISNUMBER(L148),ISNUMBER(J148)),IF(J148&gt;0,IF(L148/J148&gt;=Scoring!$B$11,1,0),0),0)+IF(ISNUMBER(Z148),MIN(Z148,3),0))</f>
        <v>2</v>
      </c>
      <c r="AC148" s="22" t="n">
        <f aca="false">IF(AB148&gt;=3,Scoring!$C$24,IF(AB148=2,Scoring!$C$23,IF(AB148=1,Scoring!$C$22,0)))</f>
        <v>18</v>
      </c>
      <c r="AD148" s="22" t="n">
        <f aca="false">IF(T148="Y",0,IF(ISNUMBER(X148),IF(X148&gt;0.7,Scoring!$C$25,IF(X148&gt;=0.5,Scoring!$C$26,IF(X148&gt;=0.3,Scoring!$C$27,Scoring!$C$28))),Scoring!$C$29))</f>
        <v>10</v>
      </c>
      <c r="AE148" s="22" t="n">
        <f aca="false">IF(D148="Expiring: notice window (verified)",Scoring!$C$30,IF(OR(D148="Expired (verified)",D148="30-yr mark: notice window (est.)",D148="Year-15 window"),Scoring!$C$31,IF(D148="Expiring: 10-yr horizon (verified)",Scoring!$C$32,IF(D148="Past 30-yr mark (verify)",Scoring!$C$33,IF(OR(D148="Credit period",D148="Superseded record"),Scoring!$C$35,Scoring!$C$34)))))</f>
        <v>8</v>
      </c>
      <c r="AF148" s="22" t="n">
        <f aca="false">IF(T148="Y",0,IF(ISNUMBER(V148),IF(Scoring!$B$4-V148&gt;15,Scoring!$C$36,IF(Scoring!$B$4-V148&gt;=10,Scoring!$C$37,IF(Scoring!$B$4-V148&gt;=5,Scoring!$C$38,Scoring!$C$39))),IF(OR(N148="",D148="Out of program"),Scoring!$C$40,IF(O148&gt;15,Scoring!$C$36,IF(O148&gt;=10,Scoring!$C$37,IF(O148&gt;=5,Scoring!$C$38,Scoring!$C$39))))))</f>
        <v>15</v>
      </c>
      <c r="AG148" s="22" t="n">
        <f aca="false">IF(T148="Y",0,IF(Y148="Y",Scoring!$C$41,IF(ISNUMBER(O148),IF(O148&gt;=25,Scoring!$C$42,IF(O148&gt;=15,Scoring!$C$43,Scoring!$C$44)),Scoring!$C$44)))</f>
        <v>8</v>
      </c>
      <c r="AH148" s="22" t="n">
        <f aca="false">IF(T148="Y",0,IF(W148="",Scoring!$C$49,IFERROR(VLOOKUP(W148,Scoring!$B$45:$C$48,2,FALSE()),Scoring!$C$49)))</f>
        <v>5</v>
      </c>
      <c r="AI148" s="23" t="n">
        <f aca="false">C148+IF(ISNUMBER(J148),J148,0)/100000+(10000-ROW())/1000000000</f>
        <v>64.000359852</v>
      </c>
      <c r="AJ148" s="18"/>
      <c r="AK148" s="18"/>
      <c r="AL148" s="18"/>
      <c r="AM148" s="18"/>
    </row>
    <row r="149" customFormat="false" ht="15" hidden="false" customHeight="false" outlineLevel="0" collapsed="false">
      <c r="A149" s="15" t="n">
        <f aca="false">RANK(AI149,$AI$2:$AI$755)</f>
        <v>148</v>
      </c>
      <c r="B149" s="16" t="str">
        <f aca="false">IF(T149="Y","Superseded",IF(C149&gt;=Scoring!$B$16,"Immediate",IF(C149&gt;=Scoring!$B$17,"This week",IF(C149&gt;=Scoring!$B$18,"Nurture","Low"))))</f>
        <v>This week</v>
      </c>
      <c r="C149" s="3" t="n">
        <f aca="false">SUM(AC149:AH149)</f>
        <v>64</v>
      </c>
      <c r="D149" s="15" t="str">
        <f aca="false">IF(T149="Y","Superseded record",IF(AND(U149&lt;&gt;"",AA149&lt;0),"Expired (verified)",IF(AND(U149&lt;&gt;"",AA149&lt;=Scoring!$B$5),"Expiring: notice window (verified)",IF(AND(U149&lt;&gt;"",AA149&lt;=Scoring!$B$6),"Expiring: 10-yr horizon (verified)",IF(M149="No Longer Monitored","Out of program",IF(N149="","Unknown vintage",IF(N149&lt;Scoring!$B$12,"Pre-1990, still listed",IF(AND(U149="",AA149&lt;0),"Past 30-yr mark (verify)",IF(AND(U149="",AA149&lt;=Scoring!$B$5),"30-yr mark: notice window (est.)",IF(AND(O149&gt;=Scoring!$B$7,O149&lt;=Scoring!$B$8),"Year-15 window",IF(O149&gt;=Scoring!$B$9,"Recap window",IF(O149&gt;=11,"Late compliance","Credit period"))))))))))))</f>
        <v>Past 30-yr mark (verify)</v>
      </c>
      <c r="E149" s="15" t="s">
        <v>671</v>
      </c>
      <c r="F149" s="15" t="s">
        <v>672</v>
      </c>
      <c r="G149" s="15" t="s">
        <v>673</v>
      </c>
      <c r="H149" s="15" t="s">
        <v>249</v>
      </c>
      <c r="I149" s="15" t="s">
        <v>250</v>
      </c>
      <c r="J149" s="15" t="n">
        <v>34</v>
      </c>
      <c r="K149" s="15" t="n">
        <v>34</v>
      </c>
      <c r="L149" s="15" t="n">
        <f aca="false">IF(OR(J149="",K149=""),"",MAX(J149-K149,0))</f>
        <v>0</v>
      </c>
      <c r="M149" s="15" t="s">
        <v>99</v>
      </c>
      <c r="N149" s="17" t="n">
        <v>1990</v>
      </c>
      <c r="O149" s="15" t="n">
        <f aca="false">IF(N149="","",Scoring!$B$4-N149)</f>
        <v>36</v>
      </c>
      <c r="P149" s="15" t="n">
        <f aca="false">IF(N149="","",N149+14)</f>
        <v>2004</v>
      </c>
      <c r="Q149" s="15" t="n">
        <f aca="false">IF(N149="","",IF(N149&lt;Scoring!$B$12,"n/a (pre-1990)",N149+Scoring!$B$13))</f>
        <v>2019</v>
      </c>
      <c r="R149" s="15" t="str">
        <f aca="false">IF(J149="","Unknown",IF(J149&gt;=5,"Yes","No (under 5 units)"))</f>
        <v>Yes</v>
      </c>
      <c r="S149" s="15"/>
      <c r="T149" s="18"/>
      <c r="U149" s="19"/>
      <c r="V149" s="18"/>
      <c r="W149" s="18"/>
      <c r="X149" s="20"/>
      <c r="Y149" s="18"/>
      <c r="Z149" s="18"/>
      <c r="AA149" s="21" t="n">
        <f aca="false">IF(U149&lt;&gt;"",(U149-Scoring!$B$3)/365.25,IF(N149="","",IF(N149&lt;Scoring!$B$12,"",(DATE(N149+Scoring!$B$13,12,31)-Scoring!$B$3)/365.25)))</f>
        <v>-6.75427789185489</v>
      </c>
      <c r="AB149" s="22" t="n">
        <f aca="false">IF(T149="Y",0,IF(OR(D149="Expired (verified)",D149="Expiring: notice window (verified)",D149="Expiring: 10-yr horizon (verified)",D149="Past 30-yr mark (verify)",D149="30-yr mark: notice window (est.)",D149="Year-15 window"),1,0)+IF(ISNUMBER(O149),IF(O149&gt;=Scoring!$B$10,1,0),0)+IF(AND(ISNUMBER(L149),ISNUMBER(J149)),IF(J149&gt;0,IF(L149/J149&gt;=Scoring!$B$11,1,0),0),0)+IF(ISNUMBER(Z149),MIN(Z149,3),0))</f>
        <v>2</v>
      </c>
      <c r="AC149" s="22" t="n">
        <f aca="false">IF(AB149&gt;=3,Scoring!$C$24,IF(AB149=2,Scoring!$C$23,IF(AB149=1,Scoring!$C$22,0)))</f>
        <v>18</v>
      </c>
      <c r="AD149" s="22" t="n">
        <f aca="false">IF(T149="Y",0,IF(ISNUMBER(X149),IF(X149&gt;0.7,Scoring!$C$25,IF(X149&gt;=0.5,Scoring!$C$26,IF(X149&gt;=0.3,Scoring!$C$27,Scoring!$C$28))),Scoring!$C$29))</f>
        <v>10</v>
      </c>
      <c r="AE149" s="22" t="n">
        <f aca="false">IF(D149="Expiring: notice window (verified)",Scoring!$C$30,IF(OR(D149="Expired (verified)",D149="30-yr mark: notice window (est.)",D149="Year-15 window"),Scoring!$C$31,IF(D149="Expiring: 10-yr horizon (verified)",Scoring!$C$32,IF(D149="Past 30-yr mark (verify)",Scoring!$C$33,IF(OR(D149="Credit period",D149="Superseded record"),Scoring!$C$35,Scoring!$C$34)))))</f>
        <v>8</v>
      </c>
      <c r="AF149" s="22" t="n">
        <f aca="false">IF(T149="Y",0,IF(ISNUMBER(V149),IF(Scoring!$B$4-V149&gt;15,Scoring!$C$36,IF(Scoring!$B$4-V149&gt;=10,Scoring!$C$37,IF(Scoring!$B$4-V149&gt;=5,Scoring!$C$38,Scoring!$C$39))),IF(OR(N149="",D149="Out of program"),Scoring!$C$40,IF(O149&gt;15,Scoring!$C$36,IF(O149&gt;=10,Scoring!$C$37,IF(O149&gt;=5,Scoring!$C$38,Scoring!$C$39))))))</f>
        <v>15</v>
      </c>
      <c r="AG149" s="22" t="n">
        <f aca="false">IF(T149="Y",0,IF(Y149="Y",Scoring!$C$41,IF(ISNUMBER(O149),IF(O149&gt;=25,Scoring!$C$42,IF(O149&gt;=15,Scoring!$C$43,Scoring!$C$44)),Scoring!$C$44)))</f>
        <v>8</v>
      </c>
      <c r="AH149" s="22" t="n">
        <f aca="false">IF(T149="Y",0,IF(W149="",Scoring!$C$49,IFERROR(VLOOKUP(W149,Scoring!$B$45:$C$48,2,FALSE()),Scoring!$C$49)))</f>
        <v>5</v>
      </c>
      <c r="AI149" s="23" t="n">
        <f aca="false">C149+IF(ISNUMBER(J149),J149,0)/100000+(10000-ROW())/1000000000</f>
        <v>64.000349851</v>
      </c>
      <c r="AJ149" s="18"/>
      <c r="AK149" s="18"/>
      <c r="AL149" s="18"/>
      <c r="AM149" s="18"/>
    </row>
    <row r="150" customFormat="false" ht="15" hidden="false" customHeight="false" outlineLevel="0" collapsed="false">
      <c r="A150" s="15" t="n">
        <f aca="false">RANK(AI150,$AI$2:$AI$755)</f>
        <v>149</v>
      </c>
      <c r="B150" s="16" t="str">
        <f aca="false">IF(T150="Y","Superseded",IF(C150&gt;=Scoring!$B$16,"Immediate",IF(C150&gt;=Scoring!$B$17,"This week",IF(C150&gt;=Scoring!$B$18,"Nurture","Low"))))</f>
        <v>This week</v>
      </c>
      <c r="C150" s="3" t="n">
        <f aca="false">SUM(AC150:AH150)</f>
        <v>64</v>
      </c>
      <c r="D150" s="15" t="str">
        <f aca="false">IF(T150="Y","Superseded record",IF(AND(U150&lt;&gt;"",AA150&lt;0),"Expired (verified)",IF(AND(U150&lt;&gt;"",AA150&lt;=Scoring!$B$5),"Expiring: notice window (verified)",IF(AND(U150&lt;&gt;"",AA150&lt;=Scoring!$B$6),"Expiring: 10-yr horizon (verified)",IF(M150="No Longer Monitored","Out of program",IF(N150="","Unknown vintage",IF(N150&lt;Scoring!$B$12,"Pre-1990, still listed",IF(AND(U150="",AA150&lt;0),"Past 30-yr mark (verify)",IF(AND(U150="",AA150&lt;=Scoring!$B$5),"30-yr mark: notice window (est.)",IF(AND(O150&gt;=Scoring!$B$7,O150&lt;=Scoring!$B$8),"Year-15 window",IF(O150&gt;=Scoring!$B$9,"Recap window",IF(O150&gt;=11,"Late compliance","Credit period"))))))))))))</f>
        <v>Past 30-yr mark (verify)</v>
      </c>
      <c r="E150" s="15" t="s">
        <v>674</v>
      </c>
      <c r="F150" s="15" t="s">
        <v>675</v>
      </c>
      <c r="G150" s="15" t="s">
        <v>676</v>
      </c>
      <c r="H150" s="15" t="s">
        <v>677</v>
      </c>
      <c r="I150" s="15" t="s">
        <v>678</v>
      </c>
      <c r="J150" s="15" t="n">
        <v>34</v>
      </c>
      <c r="K150" s="15" t="n">
        <v>34</v>
      </c>
      <c r="L150" s="15" t="n">
        <f aca="false">IF(OR(J150="",K150=""),"",MAX(J150-K150,0))</f>
        <v>0</v>
      </c>
      <c r="M150" s="15" t="s">
        <v>99</v>
      </c>
      <c r="N150" s="17" t="n">
        <v>1992</v>
      </c>
      <c r="O150" s="15" t="n">
        <f aca="false">IF(N150="","",Scoring!$B$4-N150)</f>
        <v>34</v>
      </c>
      <c r="P150" s="15" t="n">
        <f aca="false">IF(N150="","",N150+14)</f>
        <v>2006</v>
      </c>
      <c r="Q150" s="15" t="n">
        <f aca="false">IF(N150="","",IF(N150&lt;Scoring!$B$12,"n/a (pre-1990)",N150+Scoring!$B$13))</f>
        <v>2021</v>
      </c>
      <c r="R150" s="15" t="str">
        <f aca="false">IF(J150="","Unknown",IF(J150&gt;=5,"Yes","No (under 5 units)"))</f>
        <v>Yes</v>
      </c>
      <c r="S150" s="15"/>
      <c r="T150" s="18"/>
      <c r="U150" s="19"/>
      <c r="V150" s="18"/>
      <c r="W150" s="18"/>
      <c r="X150" s="20"/>
      <c r="Y150" s="18"/>
      <c r="Z150" s="18"/>
      <c r="AA150" s="21" t="n">
        <f aca="false">IF(U150&lt;&gt;"",(U150-Scoring!$B$3)/365.25,IF(N150="","",IF(N150&lt;Scoring!$B$12,"",(DATE(N150+Scoring!$B$13,12,31)-Scoring!$B$3)/365.25)))</f>
        <v>-4.75290896646133</v>
      </c>
      <c r="AB150" s="22" t="n">
        <f aca="false">IF(T150="Y",0,IF(OR(D150="Expired (verified)",D150="Expiring: notice window (verified)",D150="Expiring: 10-yr horizon (verified)",D150="Past 30-yr mark (verify)",D150="30-yr mark: notice window (est.)",D150="Year-15 window"),1,0)+IF(ISNUMBER(O150),IF(O150&gt;=Scoring!$B$10,1,0),0)+IF(AND(ISNUMBER(L150),ISNUMBER(J150)),IF(J150&gt;0,IF(L150/J150&gt;=Scoring!$B$11,1,0),0),0)+IF(ISNUMBER(Z150),MIN(Z150,3),0))</f>
        <v>2</v>
      </c>
      <c r="AC150" s="22" t="n">
        <f aca="false">IF(AB150&gt;=3,Scoring!$C$24,IF(AB150=2,Scoring!$C$23,IF(AB150=1,Scoring!$C$22,0)))</f>
        <v>18</v>
      </c>
      <c r="AD150" s="22" t="n">
        <f aca="false">IF(T150="Y",0,IF(ISNUMBER(X150),IF(X150&gt;0.7,Scoring!$C$25,IF(X150&gt;=0.5,Scoring!$C$26,IF(X150&gt;=0.3,Scoring!$C$27,Scoring!$C$28))),Scoring!$C$29))</f>
        <v>10</v>
      </c>
      <c r="AE150" s="22" t="n">
        <f aca="false">IF(D150="Expiring: notice window (verified)",Scoring!$C$30,IF(OR(D150="Expired (verified)",D150="30-yr mark: notice window (est.)",D150="Year-15 window"),Scoring!$C$31,IF(D150="Expiring: 10-yr horizon (verified)",Scoring!$C$32,IF(D150="Past 30-yr mark (verify)",Scoring!$C$33,IF(OR(D150="Credit period",D150="Superseded record"),Scoring!$C$35,Scoring!$C$34)))))</f>
        <v>8</v>
      </c>
      <c r="AF150" s="22" t="n">
        <f aca="false">IF(T150="Y",0,IF(ISNUMBER(V150),IF(Scoring!$B$4-V150&gt;15,Scoring!$C$36,IF(Scoring!$B$4-V150&gt;=10,Scoring!$C$37,IF(Scoring!$B$4-V150&gt;=5,Scoring!$C$38,Scoring!$C$39))),IF(OR(N150="",D150="Out of program"),Scoring!$C$40,IF(O150&gt;15,Scoring!$C$36,IF(O150&gt;=10,Scoring!$C$37,IF(O150&gt;=5,Scoring!$C$38,Scoring!$C$39))))))</f>
        <v>15</v>
      </c>
      <c r="AG150" s="22" t="n">
        <f aca="false">IF(T150="Y",0,IF(Y150="Y",Scoring!$C$41,IF(ISNUMBER(O150),IF(O150&gt;=25,Scoring!$C$42,IF(O150&gt;=15,Scoring!$C$43,Scoring!$C$44)),Scoring!$C$44)))</f>
        <v>8</v>
      </c>
      <c r="AH150" s="22" t="n">
        <f aca="false">IF(T150="Y",0,IF(W150="",Scoring!$C$49,IFERROR(VLOOKUP(W150,Scoring!$B$45:$C$48,2,FALSE()),Scoring!$C$49)))</f>
        <v>5</v>
      </c>
      <c r="AI150" s="23" t="n">
        <f aca="false">C150+IF(ISNUMBER(J150),J150,0)/100000+(10000-ROW())/1000000000</f>
        <v>64.00034985</v>
      </c>
      <c r="AJ150" s="18"/>
      <c r="AK150" s="18"/>
      <c r="AL150" s="18"/>
      <c r="AM150" s="18"/>
    </row>
    <row r="151" customFormat="false" ht="15" hidden="false" customHeight="false" outlineLevel="0" collapsed="false">
      <c r="A151" s="15" t="n">
        <f aca="false">RANK(AI151,$AI$2:$AI$755)</f>
        <v>150</v>
      </c>
      <c r="B151" s="16" t="str">
        <f aca="false">IF(T151="Y","Superseded",IF(C151&gt;=Scoring!$B$16,"Immediate",IF(C151&gt;=Scoring!$B$17,"This week",IF(C151&gt;=Scoring!$B$18,"Nurture","Low"))))</f>
        <v>This week</v>
      </c>
      <c r="C151" s="3" t="n">
        <f aca="false">SUM(AC151:AH151)</f>
        <v>64</v>
      </c>
      <c r="D151" s="15" t="str">
        <f aca="false">IF(T151="Y","Superseded record",IF(AND(U151&lt;&gt;"",AA151&lt;0),"Expired (verified)",IF(AND(U151&lt;&gt;"",AA151&lt;=Scoring!$B$5),"Expiring: notice window (verified)",IF(AND(U151&lt;&gt;"",AA151&lt;=Scoring!$B$6),"Expiring: 10-yr horizon (verified)",IF(M151="No Longer Monitored","Out of program",IF(N151="","Unknown vintage",IF(N151&lt;Scoring!$B$12,"Pre-1990, still listed",IF(AND(U151="",AA151&lt;0),"Past 30-yr mark (verify)",IF(AND(U151="",AA151&lt;=Scoring!$B$5),"30-yr mark: notice window (est.)",IF(AND(O151&gt;=Scoring!$B$7,O151&lt;=Scoring!$B$8),"Year-15 window",IF(O151&gt;=Scoring!$B$9,"Recap window",IF(O151&gt;=11,"Late compliance","Credit period"))))))))))))</f>
        <v>Past 30-yr mark (verify)</v>
      </c>
      <c r="E151" s="15" t="s">
        <v>679</v>
      </c>
      <c r="F151" s="15" t="s">
        <v>680</v>
      </c>
      <c r="G151" s="15" t="s">
        <v>681</v>
      </c>
      <c r="H151" s="15" t="s">
        <v>541</v>
      </c>
      <c r="I151" s="15" t="s">
        <v>542</v>
      </c>
      <c r="J151" s="15" t="n">
        <v>34</v>
      </c>
      <c r="K151" s="15" t="n">
        <v>33</v>
      </c>
      <c r="L151" s="15" t="n">
        <f aca="false">IF(OR(J151="",K151=""),"",MAX(J151-K151,0))</f>
        <v>1</v>
      </c>
      <c r="M151" s="15" t="s">
        <v>99</v>
      </c>
      <c r="N151" s="17" t="n">
        <v>1994</v>
      </c>
      <c r="O151" s="15" t="n">
        <f aca="false">IF(N151="","",Scoring!$B$4-N151)</f>
        <v>32</v>
      </c>
      <c r="P151" s="15" t="n">
        <f aca="false">IF(N151="","",N151+14)</f>
        <v>2008</v>
      </c>
      <c r="Q151" s="15" t="n">
        <f aca="false">IF(N151="","",IF(N151&lt;Scoring!$B$12,"n/a (pre-1990)",N151+Scoring!$B$13))</f>
        <v>2023</v>
      </c>
      <c r="R151" s="15" t="str">
        <f aca="false">IF(J151="","Unknown",IF(J151&gt;=5,"Yes","No (under 5 units)"))</f>
        <v>Yes</v>
      </c>
      <c r="S151" s="15"/>
      <c r="T151" s="18"/>
      <c r="U151" s="19"/>
      <c r="V151" s="18"/>
      <c r="W151" s="18"/>
      <c r="X151" s="20"/>
      <c r="Y151" s="18"/>
      <c r="Z151" s="18"/>
      <c r="AA151" s="21" t="n">
        <f aca="false">IF(U151&lt;&gt;"",(U151-Scoring!$B$3)/365.25,IF(N151="","",IF(N151&lt;Scoring!$B$12,"",(DATE(N151+Scoring!$B$13,12,31)-Scoring!$B$3)/365.25)))</f>
        <v>-2.75427789185489</v>
      </c>
      <c r="AB151" s="22" t="n">
        <f aca="false">IF(T151="Y",0,IF(OR(D151="Expired (verified)",D151="Expiring: notice window (verified)",D151="Expiring: 10-yr horizon (verified)",D151="Past 30-yr mark (verify)",D151="30-yr mark: notice window (est.)",D151="Year-15 window"),1,0)+IF(ISNUMBER(O151),IF(O151&gt;=Scoring!$B$10,1,0),0)+IF(AND(ISNUMBER(L151),ISNUMBER(J151)),IF(J151&gt;0,IF(L151/J151&gt;=Scoring!$B$11,1,0),0),0)+IF(ISNUMBER(Z151),MIN(Z151,3),0))</f>
        <v>2</v>
      </c>
      <c r="AC151" s="22" t="n">
        <f aca="false">IF(AB151&gt;=3,Scoring!$C$24,IF(AB151=2,Scoring!$C$23,IF(AB151=1,Scoring!$C$22,0)))</f>
        <v>18</v>
      </c>
      <c r="AD151" s="22" t="n">
        <f aca="false">IF(T151="Y",0,IF(ISNUMBER(X151),IF(X151&gt;0.7,Scoring!$C$25,IF(X151&gt;=0.5,Scoring!$C$26,IF(X151&gt;=0.3,Scoring!$C$27,Scoring!$C$28))),Scoring!$C$29))</f>
        <v>10</v>
      </c>
      <c r="AE151" s="22" t="n">
        <f aca="false">IF(D151="Expiring: notice window (verified)",Scoring!$C$30,IF(OR(D151="Expired (verified)",D151="30-yr mark: notice window (est.)",D151="Year-15 window"),Scoring!$C$31,IF(D151="Expiring: 10-yr horizon (verified)",Scoring!$C$32,IF(D151="Past 30-yr mark (verify)",Scoring!$C$33,IF(OR(D151="Credit period",D151="Superseded record"),Scoring!$C$35,Scoring!$C$34)))))</f>
        <v>8</v>
      </c>
      <c r="AF151" s="22" t="n">
        <f aca="false">IF(T151="Y",0,IF(ISNUMBER(V151),IF(Scoring!$B$4-V151&gt;15,Scoring!$C$36,IF(Scoring!$B$4-V151&gt;=10,Scoring!$C$37,IF(Scoring!$B$4-V151&gt;=5,Scoring!$C$38,Scoring!$C$39))),IF(OR(N151="",D151="Out of program"),Scoring!$C$40,IF(O151&gt;15,Scoring!$C$36,IF(O151&gt;=10,Scoring!$C$37,IF(O151&gt;=5,Scoring!$C$38,Scoring!$C$39))))))</f>
        <v>15</v>
      </c>
      <c r="AG151" s="22" t="n">
        <f aca="false">IF(T151="Y",0,IF(Y151="Y",Scoring!$C$41,IF(ISNUMBER(O151),IF(O151&gt;=25,Scoring!$C$42,IF(O151&gt;=15,Scoring!$C$43,Scoring!$C$44)),Scoring!$C$44)))</f>
        <v>8</v>
      </c>
      <c r="AH151" s="22" t="n">
        <f aca="false">IF(T151="Y",0,IF(W151="",Scoring!$C$49,IFERROR(VLOOKUP(W151,Scoring!$B$45:$C$48,2,FALSE()),Scoring!$C$49)))</f>
        <v>5</v>
      </c>
      <c r="AI151" s="23" t="n">
        <f aca="false">C151+IF(ISNUMBER(J151),J151,0)/100000+(10000-ROW())/1000000000</f>
        <v>64.000349849</v>
      </c>
      <c r="AJ151" s="18"/>
      <c r="AK151" s="18"/>
      <c r="AL151" s="18"/>
      <c r="AM151" s="18"/>
    </row>
    <row r="152" customFormat="false" ht="15" hidden="false" customHeight="false" outlineLevel="0" collapsed="false">
      <c r="A152" s="15" t="n">
        <f aca="false">RANK(AI152,$AI$2:$AI$755)</f>
        <v>151</v>
      </c>
      <c r="B152" s="16" t="str">
        <f aca="false">IF(T152="Y","Superseded",IF(C152&gt;=Scoring!$B$16,"Immediate",IF(C152&gt;=Scoring!$B$17,"This week",IF(C152&gt;=Scoring!$B$18,"Nurture","Low"))))</f>
        <v>This week</v>
      </c>
      <c r="C152" s="3" t="n">
        <f aca="false">SUM(AC152:AH152)</f>
        <v>64</v>
      </c>
      <c r="D152" s="15" t="str">
        <f aca="false">IF(T152="Y","Superseded record",IF(AND(U152&lt;&gt;"",AA152&lt;0),"Expired (verified)",IF(AND(U152&lt;&gt;"",AA152&lt;=Scoring!$B$5),"Expiring: notice window (verified)",IF(AND(U152&lt;&gt;"",AA152&lt;=Scoring!$B$6),"Expiring: 10-yr horizon (verified)",IF(M152="No Longer Monitored","Out of program",IF(N152="","Unknown vintage",IF(N152&lt;Scoring!$B$12,"Pre-1990, still listed",IF(AND(U152="",AA152&lt;0),"Past 30-yr mark (verify)",IF(AND(U152="",AA152&lt;=Scoring!$B$5),"30-yr mark: notice window (est.)",IF(AND(O152&gt;=Scoring!$B$7,O152&lt;=Scoring!$B$8),"Year-15 window",IF(O152&gt;=Scoring!$B$9,"Recap window",IF(O152&gt;=11,"Late compliance","Credit period"))))))))))))</f>
        <v>Past 30-yr mark (verify)</v>
      </c>
      <c r="E152" s="15" t="s">
        <v>682</v>
      </c>
      <c r="F152" s="15" t="s">
        <v>683</v>
      </c>
      <c r="G152" s="15" t="s">
        <v>684</v>
      </c>
      <c r="H152" s="15" t="s">
        <v>97</v>
      </c>
      <c r="I152" s="15" t="s">
        <v>160</v>
      </c>
      <c r="J152" s="15" t="n">
        <v>33</v>
      </c>
      <c r="K152" s="15" t="n">
        <v>33</v>
      </c>
      <c r="L152" s="15" t="n">
        <f aca="false">IF(OR(J152="",K152=""),"",MAX(J152-K152,0))</f>
        <v>0</v>
      </c>
      <c r="M152" s="15" t="s">
        <v>99</v>
      </c>
      <c r="N152" s="17" t="n">
        <v>1996</v>
      </c>
      <c r="O152" s="15" t="n">
        <f aca="false">IF(N152="","",Scoring!$B$4-N152)</f>
        <v>30</v>
      </c>
      <c r="P152" s="15" t="n">
        <f aca="false">IF(N152="","",N152+14)</f>
        <v>2010</v>
      </c>
      <c r="Q152" s="15" t="n">
        <f aca="false">IF(N152="","",IF(N152&lt;Scoring!$B$12,"n/a (pre-1990)",N152+Scoring!$B$13))</f>
        <v>2025</v>
      </c>
      <c r="R152" s="15" t="str">
        <f aca="false">IF(J152="","Unknown",IF(J152&gt;=5,"Yes","No (under 5 units)"))</f>
        <v>Yes</v>
      </c>
      <c r="S152" s="15"/>
      <c r="T152" s="18"/>
      <c r="U152" s="19"/>
      <c r="V152" s="18"/>
      <c r="W152" s="18"/>
      <c r="X152" s="20"/>
      <c r="Y152" s="18"/>
      <c r="Z152" s="18"/>
      <c r="AA152" s="21" t="n">
        <f aca="false">IF(U152&lt;&gt;"",(U152-Scoring!$B$3)/365.25,IF(N152="","",IF(N152&lt;Scoring!$B$12,"",(DATE(N152+Scoring!$B$13,12,31)-Scoring!$B$3)/365.25)))</f>
        <v>-0.752908966461328</v>
      </c>
      <c r="AB152" s="22" t="n">
        <f aca="false">IF(T152="Y",0,IF(OR(D152="Expired (verified)",D152="Expiring: notice window (verified)",D152="Expiring: 10-yr horizon (verified)",D152="Past 30-yr mark (verify)",D152="30-yr mark: notice window (est.)",D152="Year-15 window"),1,0)+IF(ISNUMBER(O152),IF(O152&gt;=Scoring!$B$10,1,0),0)+IF(AND(ISNUMBER(L152),ISNUMBER(J152)),IF(J152&gt;0,IF(L152/J152&gt;=Scoring!$B$11,1,0),0),0)+IF(ISNUMBER(Z152),MIN(Z152,3),0))</f>
        <v>2</v>
      </c>
      <c r="AC152" s="22" t="n">
        <f aca="false">IF(AB152&gt;=3,Scoring!$C$24,IF(AB152=2,Scoring!$C$23,IF(AB152=1,Scoring!$C$22,0)))</f>
        <v>18</v>
      </c>
      <c r="AD152" s="22" t="n">
        <f aca="false">IF(T152="Y",0,IF(ISNUMBER(X152),IF(X152&gt;0.7,Scoring!$C$25,IF(X152&gt;=0.5,Scoring!$C$26,IF(X152&gt;=0.3,Scoring!$C$27,Scoring!$C$28))),Scoring!$C$29))</f>
        <v>10</v>
      </c>
      <c r="AE152" s="22" t="n">
        <f aca="false">IF(D152="Expiring: notice window (verified)",Scoring!$C$30,IF(OR(D152="Expired (verified)",D152="30-yr mark: notice window (est.)",D152="Year-15 window"),Scoring!$C$31,IF(D152="Expiring: 10-yr horizon (verified)",Scoring!$C$32,IF(D152="Past 30-yr mark (verify)",Scoring!$C$33,IF(OR(D152="Credit period",D152="Superseded record"),Scoring!$C$35,Scoring!$C$34)))))</f>
        <v>8</v>
      </c>
      <c r="AF152" s="22" t="n">
        <f aca="false">IF(T152="Y",0,IF(ISNUMBER(V152),IF(Scoring!$B$4-V152&gt;15,Scoring!$C$36,IF(Scoring!$B$4-V152&gt;=10,Scoring!$C$37,IF(Scoring!$B$4-V152&gt;=5,Scoring!$C$38,Scoring!$C$39))),IF(OR(N152="",D152="Out of program"),Scoring!$C$40,IF(O152&gt;15,Scoring!$C$36,IF(O152&gt;=10,Scoring!$C$37,IF(O152&gt;=5,Scoring!$C$38,Scoring!$C$39))))))</f>
        <v>15</v>
      </c>
      <c r="AG152" s="22" t="n">
        <f aca="false">IF(T152="Y",0,IF(Y152="Y",Scoring!$C$41,IF(ISNUMBER(O152),IF(O152&gt;=25,Scoring!$C$42,IF(O152&gt;=15,Scoring!$C$43,Scoring!$C$44)),Scoring!$C$44)))</f>
        <v>8</v>
      </c>
      <c r="AH152" s="22" t="n">
        <f aca="false">IF(T152="Y",0,IF(W152="",Scoring!$C$49,IFERROR(VLOOKUP(W152,Scoring!$B$45:$C$48,2,FALSE()),Scoring!$C$49)))</f>
        <v>5</v>
      </c>
      <c r="AI152" s="23" t="n">
        <f aca="false">C152+IF(ISNUMBER(J152),J152,0)/100000+(10000-ROW())/1000000000</f>
        <v>64.000339848</v>
      </c>
      <c r="AJ152" s="18"/>
      <c r="AK152" s="18"/>
      <c r="AL152" s="18"/>
      <c r="AM152" s="18"/>
    </row>
    <row r="153" customFormat="false" ht="15" hidden="false" customHeight="false" outlineLevel="0" collapsed="false">
      <c r="A153" s="15" t="n">
        <f aca="false">RANK(AI153,$AI$2:$AI$755)</f>
        <v>152</v>
      </c>
      <c r="B153" s="16" t="str">
        <f aca="false">IF(T153="Y","Superseded",IF(C153&gt;=Scoring!$B$16,"Immediate",IF(C153&gt;=Scoring!$B$17,"This week",IF(C153&gt;=Scoring!$B$18,"Nurture","Low"))))</f>
        <v>This week</v>
      </c>
      <c r="C153" s="3" t="n">
        <f aca="false">SUM(AC153:AH153)</f>
        <v>64</v>
      </c>
      <c r="D153" s="15" t="str">
        <f aca="false">IF(T153="Y","Superseded record",IF(AND(U153&lt;&gt;"",AA153&lt;0),"Expired (verified)",IF(AND(U153&lt;&gt;"",AA153&lt;=Scoring!$B$5),"Expiring: notice window (verified)",IF(AND(U153&lt;&gt;"",AA153&lt;=Scoring!$B$6),"Expiring: 10-yr horizon (verified)",IF(M153="No Longer Monitored","Out of program",IF(N153="","Unknown vintage",IF(N153&lt;Scoring!$B$12,"Pre-1990, still listed",IF(AND(U153="",AA153&lt;0),"Past 30-yr mark (verify)",IF(AND(U153="",AA153&lt;=Scoring!$B$5),"30-yr mark: notice window (est.)",IF(AND(O153&gt;=Scoring!$B$7,O153&lt;=Scoring!$B$8),"Year-15 window",IF(O153&gt;=Scoring!$B$9,"Recap window",IF(O153&gt;=11,"Late compliance","Credit period"))))))))))))</f>
        <v>Past 30-yr mark (verify)</v>
      </c>
      <c r="E153" s="15" t="s">
        <v>685</v>
      </c>
      <c r="F153" s="15" t="s">
        <v>686</v>
      </c>
      <c r="G153" s="15" t="s">
        <v>687</v>
      </c>
      <c r="H153" s="15" t="s">
        <v>688</v>
      </c>
      <c r="I153" s="15"/>
      <c r="J153" s="15" t="n">
        <v>33</v>
      </c>
      <c r="K153" s="15" t="n">
        <v>33</v>
      </c>
      <c r="L153" s="15" t="n">
        <f aca="false">IF(OR(J153="",K153=""),"",MAX(J153-K153,0))</f>
        <v>0</v>
      </c>
      <c r="M153" s="15" t="s">
        <v>99</v>
      </c>
      <c r="N153" s="17" t="n">
        <v>1996</v>
      </c>
      <c r="O153" s="15" t="n">
        <f aca="false">IF(N153="","",Scoring!$B$4-N153)</f>
        <v>30</v>
      </c>
      <c r="P153" s="15" t="n">
        <f aca="false">IF(N153="","",N153+14)</f>
        <v>2010</v>
      </c>
      <c r="Q153" s="15" t="n">
        <f aca="false">IF(N153="","",IF(N153&lt;Scoring!$B$12,"n/a (pre-1990)",N153+Scoring!$B$13))</f>
        <v>2025</v>
      </c>
      <c r="R153" s="15" t="str">
        <f aca="false">IF(J153="","Unknown",IF(J153&gt;=5,"Yes","No (under 5 units)"))</f>
        <v>Yes</v>
      </c>
      <c r="S153" s="15"/>
      <c r="T153" s="18"/>
      <c r="U153" s="19"/>
      <c r="V153" s="18"/>
      <c r="W153" s="18"/>
      <c r="X153" s="20"/>
      <c r="Y153" s="18"/>
      <c r="Z153" s="18"/>
      <c r="AA153" s="21" t="n">
        <f aca="false">IF(U153&lt;&gt;"",(U153-Scoring!$B$3)/365.25,IF(N153="","",IF(N153&lt;Scoring!$B$12,"",(DATE(N153+Scoring!$B$13,12,31)-Scoring!$B$3)/365.25)))</f>
        <v>-0.752908966461328</v>
      </c>
      <c r="AB153" s="22" t="n">
        <f aca="false">IF(T153="Y",0,IF(OR(D153="Expired (verified)",D153="Expiring: notice window (verified)",D153="Expiring: 10-yr horizon (verified)",D153="Past 30-yr mark (verify)",D153="30-yr mark: notice window (est.)",D153="Year-15 window"),1,0)+IF(ISNUMBER(O153),IF(O153&gt;=Scoring!$B$10,1,0),0)+IF(AND(ISNUMBER(L153),ISNUMBER(J153)),IF(J153&gt;0,IF(L153/J153&gt;=Scoring!$B$11,1,0),0),0)+IF(ISNUMBER(Z153),MIN(Z153,3),0))</f>
        <v>2</v>
      </c>
      <c r="AC153" s="22" t="n">
        <f aca="false">IF(AB153&gt;=3,Scoring!$C$24,IF(AB153=2,Scoring!$C$23,IF(AB153=1,Scoring!$C$22,0)))</f>
        <v>18</v>
      </c>
      <c r="AD153" s="22" t="n">
        <f aca="false">IF(T153="Y",0,IF(ISNUMBER(X153),IF(X153&gt;0.7,Scoring!$C$25,IF(X153&gt;=0.5,Scoring!$C$26,IF(X153&gt;=0.3,Scoring!$C$27,Scoring!$C$28))),Scoring!$C$29))</f>
        <v>10</v>
      </c>
      <c r="AE153" s="22" t="n">
        <f aca="false">IF(D153="Expiring: notice window (verified)",Scoring!$C$30,IF(OR(D153="Expired (verified)",D153="30-yr mark: notice window (est.)",D153="Year-15 window"),Scoring!$C$31,IF(D153="Expiring: 10-yr horizon (verified)",Scoring!$C$32,IF(D153="Past 30-yr mark (verify)",Scoring!$C$33,IF(OR(D153="Credit period",D153="Superseded record"),Scoring!$C$35,Scoring!$C$34)))))</f>
        <v>8</v>
      </c>
      <c r="AF153" s="22" t="n">
        <f aca="false">IF(T153="Y",0,IF(ISNUMBER(V153),IF(Scoring!$B$4-V153&gt;15,Scoring!$C$36,IF(Scoring!$B$4-V153&gt;=10,Scoring!$C$37,IF(Scoring!$B$4-V153&gt;=5,Scoring!$C$38,Scoring!$C$39))),IF(OR(N153="",D153="Out of program"),Scoring!$C$40,IF(O153&gt;15,Scoring!$C$36,IF(O153&gt;=10,Scoring!$C$37,IF(O153&gt;=5,Scoring!$C$38,Scoring!$C$39))))))</f>
        <v>15</v>
      </c>
      <c r="AG153" s="22" t="n">
        <f aca="false">IF(T153="Y",0,IF(Y153="Y",Scoring!$C$41,IF(ISNUMBER(O153),IF(O153&gt;=25,Scoring!$C$42,IF(O153&gt;=15,Scoring!$C$43,Scoring!$C$44)),Scoring!$C$44)))</f>
        <v>8</v>
      </c>
      <c r="AH153" s="22" t="n">
        <f aca="false">IF(T153="Y",0,IF(W153="",Scoring!$C$49,IFERROR(VLOOKUP(W153,Scoring!$B$45:$C$48,2,FALSE()),Scoring!$C$49)))</f>
        <v>5</v>
      </c>
      <c r="AI153" s="23" t="n">
        <f aca="false">C153+IF(ISNUMBER(J153),J153,0)/100000+(10000-ROW())/1000000000</f>
        <v>64.000339847</v>
      </c>
      <c r="AJ153" s="18"/>
      <c r="AK153" s="18"/>
      <c r="AL153" s="18"/>
      <c r="AM153" s="18"/>
    </row>
    <row r="154" customFormat="false" ht="15" hidden="false" customHeight="false" outlineLevel="0" collapsed="false">
      <c r="A154" s="15" t="n">
        <f aca="false">RANK(AI154,$AI$2:$AI$755)</f>
        <v>153</v>
      </c>
      <c r="B154" s="16" t="str">
        <f aca="false">IF(T154="Y","Superseded",IF(C154&gt;=Scoring!$B$16,"Immediate",IF(C154&gt;=Scoring!$B$17,"This week",IF(C154&gt;=Scoring!$B$18,"Nurture","Low"))))</f>
        <v>This week</v>
      </c>
      <c r="C154" s="3" t="n">
        <f aca="false">SUM(AC154:AH154)</f>
        <v>64</v>
      </c>
      <c r="D154" s="15" t="str">
        <f aca="false">IF(T154="Y","Superseded record",IF(AND(U154&lt;&gt;"",AA154&lt;0),"Expired (verified)",IF(AND(U154&lt;&gt;"",AA154&lt;=Scoring!$B$5),"Expiring: notice window (verified)",IF(AND(U154&lt;&gt;"",AA154&lt;=Scoring!$B$6),"Expiring: 10-yr horizon (verified)",IF(M154="No Longer Monitored","Out of program",IF(N154="","Unknown vintage",IF(N154&lt;Scoring!$B$12,"Pre-1990, still listed",IF(AND(U154="",AA154&lt;0),"Past 30-yr mark (verify)",IF(AND(U154="",AA154&lt;=Scoring!$B$5),"30-yr mark: notice window (est.)",IF(AND(O154&gt;=Scoring!$B$7,O154&lt;=Scoring!$B$8),"Year-15 window",IF(O154&gt;=Scoring!$B$9,"Recap window",IF(O154&gt;=11,"Late compliance","Credit period"))))))))))))</f>
        <v>Past 30-yr mark (verify)</v>
      </c>
      <c r="E154" s="15" t="s">
        <v>689</v>
      </c>
      <c r="F154" s="15" t="s">
        <v>690</v>
      </c>
      <c r="G154" s="15" t="s">
        <v>691</v>
      </c>
      <c r="H154" s="15" t="s">
        <v>692</v>
      </c>
      <c r="I154" s="15" t="s">
        <v>693</v>
      </c>
      <c r="J154" s="15" t="n">
        <v>32</v>
      </c>
      <c r="K154" s="15" t="n">
        <v>31</v>
      </c>
      <c r="L154" s="15" t="n">
        <f aca="false">IF(OR(J154="",K154=""),"",MAX(J154-K154,0))</f>
        <v>1</v>
      </c>
      <c r="M154" s="15" t="s">
        <v>99</v>
      </c>
      <c r="N154" s="17" t="n">
        <v>1990</v>
      </c>
      <c r="O154" s="15" t="n">
        <f aca="false">IF(N154="","",Scoring!$B$4-N154)</f>
        <v>36</v>
      </c>
      <c r="P154" s="15" t="n">
        <f aca="false">IF(N154="","",N154+14)</f>
        <v>2004</v>
      </c>
      <c r="Q154" s="15" t="n">
        <f aca="false">IF(N154="","",IF(N154&lt;Scoring!$B$12,"n/a (pre-1990)",N154+Scoring!$B$13))</f>
        <v>2019</v>
      </c>
      <c r="R154" s="15" t="str">
        <f aca="false">IF(J154="","Unknown",IF(J154&gt;=5,"Yes","No (under 5 units)"))</f>
        <v>Yes</v>
      </c>
      <c r="S154" s="15"/>
      <c r="T154" s="18"/>
      <c r="U154" s="19"/>
      <c r="V154" s="18"/>
      <c r="W154" s="18"/>
      <c r="X154" s="20"/>
      <c r="Y154" s="18"/>
      <c r="Z154" s="18"/>
      <c r="AA154" s="21" t="n">
        <f aca="false">IF(U154&lt;&gt;"",(U154-Scoring!$B$3)/365.25,IF(N154="","",IF(N154&lt;Scoring!$B$12,"",(DATE(N154+Scoring!$B$13,12,31)-Scoring!$B$3)/365.25)))</f>
        <v>-6.75427789185489</v>
      </c>
      <c r="AB154" s="22" t="n">
        <f aca="false">IF(T154="Y",0,IF(OR(D154="Expired (verified)",D154="Expiring: notice window (verified)",D154="Expiring: 10-yr horizon (verified)",D154="Past 30-yr mark (verify)",D154="30-yr mark: notice window (est.)",D154="Year-15 window"),1,0)+IF(ISNUMBER(O154),IF(O154&gt;=Scoring!$B$10,1,0),0)+IF(AND(ISNUMBER(L154),ISNUMBER(J154)),IF(J154&gt;0,IF(L154/J154&gt;=Scoring!$B$11,1,0),0),0)+IF(ISNUMBER(Z154),MIN(Z154,3),0))</f>
        <v>2</v>
      </c>
      <c r="AC154" s="22" t="n">
        <f aca="false">IF(AB154&gt;=3,Scoring!$C$24,IF(AB154=2,Scoring!$C$23,IF(AB154=1,Scoring!$C$22,0)))</f>
        <v>18</v>
      </c>
      <c r="AD154" s="22" t="n">
        <f aca="false">IF(T154="Y",0,IF(ISNUMBER(X154),IF(X154&gt;0.7,Scoring!$C$25,IF(X154&gt;=0.5,Scoring!$C$26,IF(X154&gt;=0.3,Scoring!$C$27,Scoring!$C$28))),Scoring!$C$29))</f>
        <v>10</v>
      </c>
      <c r="AE154" s="22" t="n">
        <f aca="false">IF(D154="Expiring: notice window (verified)",Scoring!$C$30,IF(OR(D154="Expired (verified)",D154="30-yr mark: notice window (est.)",D154="Year-15 window"),Scoring!$C$31,IF(D154="Expiring: 10-yr horizon (verified)",Scoring!$C$32,IF(D154="Past 30-yr mark (verify)",Scoring!$C$33,IF(OR(D154="Credit period",D154="Superseded record"),Scoring!$C$35,Scoring!$C$34)))))</f>
        <v>8</v>
      </c>
      <c r="AF154" s="22" t="n">
        <f aca="false">IF(T154="Y",0,IF(ISNUMBER(V154),IF(Scoring!$B$4-V154&gt;15,Scoring!$C$36,IF(Scoring!$B$4-V154&gt;=10,Scoring!$C$37,IF(Scoring!$B$4-V154&gt;=5,Scoring!$C$38,Scoring!$C$39))),IF(OR(N154="",D154="Out of program"),Scoring!$C$40,IF(O154&gt;15,Scoring!$C$36,IF(O154&gt;=10,Scoring!$C$37,IF(O154&gt;=5,Scoring!$C$38,Scoring!$C$39))))))</f>
        <v>15</v>
      </c>
      <c r="AG154" s="22" t="n">
        <f aca="false">IF(T154="Y",0,IF(Y154="Y",Scoring!$C$41,IF(ISNUMBER(O154),IF(O154&gt;=25,Scoring!$C$42,IF(O154&gt;=15,Scoring!$C$43,Scoring!$C$44)),Scoring!$C$44)))</f>
        <v>8</v>
      </c>
      <c r="AH154" s="22" t="n">
        <f aca="false">IF(T154="Y",0,IF(W154="",Scoring!$C$49,IFERROR(VLOOKUP(W154,Scoring!$B$45:$C$48,2,FALSE()),Scoring!$C$49)))</f>
        <v>5</v>
      </c>
      <c r="AI154" s="23" t="n">
        <f aca="false">C154+IF(ISNUMBER(J154),J154,0)/100000+(10000-ROW())/1000000000</f>
        <v>64.000329846</v>
      </c>
      <c r="AJ154" s="18"/>
      <c r="AK154" s="18"/>
      <c r="AL154" s="18"/>
      <c r="AM154" s="18"/>
    </row>
    <row r="155" customFormat="false" ht="15" hidden="false" customHeight="false" outlineLevel="0" collapsed="false">
      <c r="A155" s="15" t="n">
        <f aca="false">RANK(AI155,$AI$2:$AI$755)</f>
        <v>154</v>
      </c>
      <c r="B155" s="16" t="str">
        <f aca="false">IF(T155="Y","Superseded",IF(C155&gt;=Scoring!$B$16,"Immediate",IF(C155&gt;=Scoring!$B$17,"This week",IF(C155&gt;=Scoring!$B$18,"Nurture","Low"))))</f>
        <v>This week</v>
      </c>
      <c r="C155" s="3" t="n">
        <f aca="false">SUM(AC155:AH155)</f>
        <v>64</v>
      </c>
      <c r="D155" s="15" t="str">
        <f aca="false">IF(T155="Y","Superseded record",IF(AND(U155&lt;&gt;"",AA155&lt;0),"Expired (verified)",IF(AND(U155&lt;&gt;"",AA155&lt;=Scoring!$B$5),"Expiring: notice window (verified)",IF(AND(U155&lt;&gt;"",AA155&lt;=Scoring!$B$6),"Expiring: 10-yr horizon (verified)",IF(M155="No Longer Monitored","Out of program",IF(N155="","Unknown vintage",IF(N155&lt;Scoring!$B$12,"Pre-1990, still listed",IF(AND(U155="",AA155&lt;0),"Past 30-yr mark (verify)",IF(AND(U155="",AA155&lt;=Scoring!$B$5),"30-yr mark: notice window (est.)",IF(AND(O155&gt;=Scoring!$B$7,O155&lt;=Scoring!$B$8),"Year-15 window",IF(O155&gt;=Scoring!$B$9,"Recap window",IF(O155&gt;=11,"Late compliance","Credit period"))))))))))))</f>
        <v>Past 30-yr mark (verify)</v>
      </c>
      <c r="E155" s="15" t="s">
        <v>694</v>
      </c>
      <c r="F155" s="15" t="s">
        <v>695</v>
      </c>
      <c r="G155" s="15" t="s">
        <v>696</v>
      </c>
      <c r="H155" s="15" t="s">
        <v>221</v>
      </c>
      <c r="I155" s="15" t="s">
        <v>222</v>
      </c>
      <c r="J155" s="15" t="n">
        <v>32</v>
      </c>
      <c r="K155" s="15" t="n">
        <v>32</v>
      </c>
      <c r="L155" s="15" t="n">
        <f aca="false">IF(OR(J155="",K155=""),"",MAX(J155-K155,0))</f>
        <v>0</v>
      </c>
      <c r="M155" s="15" t="s">
        <v>99</v>
      </c>
      <c r="N155" s="17" t="n">
        <v>1995</v>
      </c>
      <c r="O155" s="15" t="n">
        <f aca="false">IF(N155="","",Scoring!$B$4-N155)</f>
        <v>31</v>
      </c>
      <c r="P155" s="15" t="n">
        <f aca="false">IF(N155="","",N155+14)</f>
        <v>2009</v>
      </c>
      <c r="Q155" s="15" t="n">
        <f aca="false">IF(N155="","",IF(N155&lt;Scoring!$B$12,"n/a (pre-1990)",N155+Scoring!$B$13))</f>
        <v>2024</v>
      </c>
      <c r="R155" s="15" t="str">
        <f aca="false">IF(J155="","Unknown",IF(J155&gt;=5,"Yes","No (under 5 units)"))</f>
        <v>Yes</v>
      </c>
      <c r="S155" s="15"/>
      <c r="T155" s="18"/>
      <c r="U155" s="19"/>
      <c r="V155" s="18"/>
      <c r="W155" s="18"/>
      <c r="X155" s="20"/>
      <c r="Y155" s="18"/>
      <c r="Z155" s="18"/>
      <c r="AA155" s="21" t="n">
        <f aca="false">IF(U155&lt;&gt;"",(U155-Scoring!$B$3)/365.25,IF(N155="","",IF(N155&lt;Scoring!$B$12,"",(DATE(N155+Scoring!$B$13,12,31)-Scoring!$B$3)/365.25)))</f>
        <v>-1.75222450376454</v>
      </c>
      <c r="AB155" s="22" t="n">
        <f aca="false">IF(T155="Y",0,IF(OR(D155="Expired (verified)",D155="Expiring: notice window (verified)",D155="Expiring: 10-yr horizon (verified)",D155="Past 30-yr mark (verify)",D155="30-yr mark: notice window (est.)",D155="Year-15 window"),1,0)+IF(ISNUMBER(O155),IF(O155&gt;=Scoring!$B$10,1,0),0)+IF(AND(ISNUMBER(L155),ISNUMBER(J155)),IF(J155&gt;0,IF(L155/J155&gt;=Scoring!$B$11,1,0),0),0)+IF(ISNUMBER(Z155),MIN(Z155,3),0))</f>
        <v>2</v>
      </c>
      <c r="AC155" s="22" t="n">
        <f aca="false">IF(AB155&gt;=3,Scoring!$C$24,IF(AB155=2,Scoring!$C$23,IF(AB155=1,Scoring!$C$22,0)))</f>
        <v>18</v>
      </c>
      <c r="AD155" s="22" t="n">
        <f aca="false">IF(T155="Y",0,IF(ISNUMBER(X155),IF(X155&gt;0.7,Scoring!$C$25,IF(X155&gt;=0.5,Scoring!$C$26,IF(X155&gt;=0.3,Scoring!$C$27,Scoring!$C$28))),Scoring!$C$29))</f>
        <v>10</v>
      </c>
      <c r="AE155" s="22" t="n">
        <f aca="false">IF(D155="Expiring: notice window (verified)",Scoring!$C$30,IF(OR(D155="Expired (verified)",D155="30-yr mark: notice window (est.)",D155="Year-15 window"),Scoring!$C$31,IF(D155="Expiring: 10-yr horizon (verified)",Scoring!$C$32,IF(D155="Past 30-yr mark (verify)",Scoring!$C$33,IF(OR(D155="Credit period",D155="Superseded record"),Scoring!$C$35,Scoring!$C$34)))))</f>
        <v>8</v>
      </c>
      <c r="AF155" s="22" t="n">
        <f aca="false">IF(T155="Y",0,IF(ISNUMBER(V155),IF(Scoring!$B$4-V155&gt;15,Scoring!$C$36,IF(Scoring!$B$4-V155&gt;=10,Scoring!$C$37,IF(Scoring!$B$4-V155&gt;=5,Scoring!$C$38,Scoring!$C$39))),IF(OR(N155="",D155="Out of program"),Scoring!$C$40,IF(O155&gt;15,Scoring!$C$36,IF(O155&gt;=10,Scoring!$C$37,IF(O155&gt;=5,Scoring!$C$38,Scoring!$C$39))))))</f>
        <v>15</v>
      </c>
      <c r="AG155" s="22" t="n">
        <f aca="false">IF(T155="Y",0,IF(Y155="Y",Scoring!$C$41,IF(ISNUMBER(O155),IF(O155&gt;=25,Scoring!$C$42,IF(O155&gt;=15,Scoring!$C$43,Scoring!$C$44)),Scoring!$C$44)))</f>
        <v>8</v>
      </c>
      <c r="AH155" s="22" t="n">
        <f aca="false">IF(T155="Y",0,IF(W155="",Scoring!$C$49,IFERROR(VLOOKUP(W155,Scoring!$B$45:$C$48,2,FALSE()),Scoring!$C$49)))</f>
        <v>5</v>
      </c>
      <c r="AI155" s="23" t="n">
        <f aca="false">C155+IF(ISNUMBER(J155),J155,0)/100000+(10000-ROW())/1000000000</f>
        <v>64.000329845</v>
      </c>
      <c r="AJ155" s="18"/>
      <c r="AK155" s="18"/>
      <c r="AL155" s="18"/>
      <c r="AM155" s="18"/>
    </row>
    <row r="156" customFormat="false" ht="15" hidden="false" customHeight="false" outlineLevel="0" collapsed="false">
      <c r="A156" s="15" t="n">
        <f aca="false">RANK(AI156,$AI$2:$AI$755)</f>
        <v>155</v>
      </c>
      <c r="B156" s="16" t="str">
        <f aca="false">IF(T156="Y","Superseded",IF(C156&gt;=Scoring!$B$16,"Immediate",IF(C156&gt;=Scoring!$B$17,"This week",IF(C156&gt;=Scoring!$B$18,"Nurture","Low"))))</f>
        <v>This week</v>
      </c>
      <c r="C156" s="3" t="n">
        <f aca="false">SUM(AC156:AH156)</f>
        <v>64</v>
      </c>
      <c r="D156" s="15" t="str">
        <f aca="false">IF(T156="Y","Superseded record",IF(AND(U156&lt;&gt;"",AA156&lt;0),"Expired (verified)",IF(AND(U156&lt;&gt;"",AA156&lt;=Scoring!$B$5),"Expiring: notice window (verified)",IF(AND(U156&lt;&gt;"",AA156&lt;=Scoring!$B$6),"Expiring: 10-yr horizon (verified)",IF(M156="No Longer Monitored","Out of program",IF(N156="","Unknown vintage",IF(N156&lt;Scoring!$B$12,"Pre-1990, still listed",IF(AND(U156="",AA156&lt;0),"Past 30-yr mark (verify)",IF(AND(U156="",AA156&lt;=Scoring!$B$5),"30-yr mark: notice window (est.)",IF(AND(O156&gt;=Scoring!$B$7,O156&lt;=Scoring!$B$8),"Year-15 window",IF(O156&gt;=Scoring!$B$9,"Recap window",IF(O156&gt;=11,"Late compliance","Credit period"))))))))))))</f>
        <v>Past 30-yr mark (verify)</v>
      </c>
      <c r="E156" s="15" t="s">
        <v>697</v>
      </c>
      <c r="F156" s="15" t="s">
        <v>698</v>
      </c>
      <c r="G156" s="15" t="s">
        <v>699</v>
      </c>
      <c r="H156" s="15" t="s">
        <v>700</v>
      </c>
      <c r="I156" s="15" t="s">
        <v>701</v>
      </c>
      <c r="J156" s="15" t="n">
        <v>32</v>
      </c>
      <c r="K156" s="15" t="n">
        <v>32</v>
      </c>
      <c r="L156" s="15" t="n">
        <f aca="false">IF(OR(J156="",K156=""),"",MAX(J156-K156,0))</f>
        <v>0</v>
      </c>
      <c r="M156" s="15" t="s">
        <v>99</v>
      </c>
      <c r="N156" s="17" t="n">
        <v>1995</v>
      </c>
      <c r="O156" s="15" t="n">
        <f aca="false">IF(N156="","",Scoring!$B$4-N156)</f>
        <v>31</v>
      </c>
      <c r="P156" s="15" t="n">
        <f aca="false">IF(N156="","",N156+14)</f>
        <v>2009</v>
      </c>
      <c r="Q156" s="15" t="n">
        <f aca="false">IF(N156="","",IF(N156&lt;Scoring!$B$12,"n/a (pre-1990)",N156+Scoring!$B$13))</f>
        <v>2024</v>
      </c>
      <c r="R156" s="15" t="str">
        <f aca="false">IF(J156="","Unknown",IF(J156&gt;=5,"Yes","No (under 5 units)"))</f>
        <v>Yes</v>
      </c>
      <c r="S156" s="15"/>
      <c r="T156" s="18"/>
      <c r="U156" s="19"/>
      <c r="V156" s="18"/>
      <c r="W156" s="18"/>
      <c r="X156" s="20"/>
      <c r="Y156" s="18"/>
      <c r="Z156" s="18"/>
      <c r="AA156" s="21" t="n">
        <f aca="false">IF(U156&lt;&gt;"",(U156-Scoring!$B$3)/365.25,IF(N156="","",IF(N156&lt;Scoring!$B$12,"",(DATE(N156+Scoring!$B$13,12,31)-Scoring!$B$3)/365.25)))</f>
        <v>-1.75222450376454</v>
      </c>
      <c r="AB156" s="22" t="n">
        <f aca="false">IF(T156="Y",0,IF(OR(D156="Expired (verified)",D156="Expiring: notice window (verified)",D156="Expiring: 10-yr horizon (verified)",D156="Past 30-yr mark (verify)",D156="30-yr mark: notice window (est.)",D156="Year-15 window"),1,0)+IF(ISNUMBER(O156),IF(O156&gt;=Scoring!$B$10,1,0),0)+IF(AND(ISNUMBER(L156),ISNUMBER(J156)),IF(J156&gt;0,IF(L156/J156&gt;=Scoring!$B$11,1,0),0),0)+IF(ISNUMBER(Z156),MIN(Z156,3),0))</f>
        <v>2</v>
      </c>
      <c r="AC156" s="22" t="n">
        <f aca="false">IF(AB156&gt;=3,Scoring!$C$24,IF(AB156=2,Scoring!$C$23,IF(AB156=1,Scoring!$C$22,0)))</f>
        <v>18</v>
      </c>
      <c r="AD156" s="22" t="n">
        <f aca="false">IF(T156="Y",0,IF(ISNUMBER(X156),IF(X156&gt;0.7,Scoring!$C$25,IF(X156&gt;=0.5,Scoring!$C$26,IF(X156&gt;=0.3,Scoring!$C$27,Scoring!$C$28))),Scoring!$C$29))</f>
        <v>10</v>
      </c>
      <c r="AE156" s="22" t="n">
        <f aca="false">IF(D156="Expiring: notice window (verified)",Scoring!$C$30,IF(OR(D156="Expired (verified)",D156="30-yr mark: notice window (est.)",D156="Year-15 window"),Scoring!$C$31,IF(D156="Expiring: 10-yr horizon (verified)",Scoring!$C$32,IF(D156="Past 30-yr mark (verify)",Scoring!$C$33,IF(OR(D156="Credit period",D156="Superseded record"),Scoring!$C$35,Scoring!$C$34)))))</f>
        <v>8</v>
      </c>
      <c r="AF156" s="22" t="n">
        <f aca="false">IF(T156="Y",0,IF(ISNUMBER(V156),IF(Scoring!$B$4-V156&gt;15,Scoring!$C$36,IF(Scoring!$B$4-V156&gt;=10,Scoring!$C$37,IF(Scoring!$B$4-V156&gt;=5,Scoring!$C$38,Scoring!$C$39))),IF(OR(N156="",D156="Out of program"),Scoring!$C$40,IF(O156&gt;15,Scoring!$C$36,IF(O156&gt;=10,Scoring!$C$37,IF(O156&gt;=5,Scoring!$C$38,Scoring!$C$39))))))</f>
        <v>15</v>
      </c>
      <c r="AG156" s="22" t="n">
        <f aca="false">IF(T156="Y",0,IF(Y156="Y",Scoring!$C$41,IF(ISNUMBER(O156),IF(O156&gt;=25,Scoring!$C$42,IF(O156&gt;=15,Scoring!$C$43,Scoring!$C$44)),Scoring!$C$44)))</f>
        <v>8</v>
      </c>
      <c r="AH156" s="22" t="n">
        <f aca="false">IF(T156="Y",0,IF(W156="",Scoring!$C$49,IFERROR(VLOOKUP(W156,Scoring!$B$45:$C$48,2,FALSE()),Scoring!$C$49)))</f>
        <v>5</v>
      </c>
      <c r="AI156" s="23" t="n">
        <f aca="false">C156+IF(ISNUMBER(J156),J156,0)/100000+(10000-ROW())/1000000000</f>
        <v>64.000329844</v>
      </c>
      <c r="AJ156" s="18"/>
      <c r="AK156" s="18"/>
      <c r="AL156" s="18"/>
      <c r="AM156" s="18"/>
    </row>
    <row r="157" customFormat="false" ht="15" hidden="false" customHeight="false" outlineLevel="0" collapsed="false">
      <c r="A157" s="15" t="n">
        <f aca="false">RANK(AI157,$AI$2:$AI$755)</f>
        <v>156</v>
      </c>
      <c r="B157" s="16" t="str">
        <f aca="false">IF(T157="Y","Superseded",IF(C157&gt;=Scoring!$B$16,"Immediate",IF(C157&gt;=Scoring!$B$17,"This week",IF(C157&gt;=Scoring!$B$18,"Nurture","Low"))))</f>
        <v>This week</v>
      </c>
      <c r="C157" s="3" t="n">
        <f aca="false">SUM(AC157:AH157)</f>
        <v>64</v>
      </c>
      <c r="D157" s="15" t="str">
        <f aca="false">IF(T157="Y","Superseded record",IF(AND(U157&lt;&gt;"",AA157&lt;0),"Expired (verified)",IF(AND(U157&lt;&gt;"",AA157&lt;=Scoring!$B$5),"Expiring: notice window (verified)",IF(AND(U157&lt;&gt;"",AA157&lt;=Scoring!$B$6),"Expiring: 10-yr horizon (verified)",IF(M157="No Longer Monitored","Out of program",IF(N157="","Unknown vintage",IF(N157&lt;Scoring!$B$12,"Pre-1990, still listed",IF(AND(U157="",AA157&lt;0),"Past 30-yr mark (verify)",IF(AND(U157="",AA157&lt;=Scoring!$B$5),"30-yr mark: notice window (est.)",IF(AND(O157&gt;=Scoring!$B$7,O157&lt;=Scoring!$B$8),"Year-15 window",IF(O157&gt;=Scoring!$B$9,"Recap window",IF(O157&gt;=11,"Late compliance","Credit period"))))))))))))</f>
        <v>Past 30-yr mark (verify)</v>
      </c>
      <c r="E157" s="15" t="s">
        <v>702</v>
      </c>
      <c r="F157" s="15" t="s">
        <v>703</v>
      </c>
      <c r="G157" s="15" t="s">
        <v>704</v>
      </c>
      <c r="H157" s="15" t="s">
        <v>232</v>
      </c>
      <c r="I157" s="15" t="s">
        <v>358</v>
      </c>
      <c r="J157" s="15" t="n">
        <v>32</v>
      </c>
      <c r="K157" s="15" t="n">
        <v>32</v>
      </c>
      <c r="L157" s="15" t="n">
        <f aca="false">IF(OR(J157="",K157=""),"",MAX(J157-K157,0))</f>
        <v>0</v>
      </c>
      <c r="M157" s="15" t="s">
        <v>99</v>
      </c>
      <c r="N157" s="17" t="n">
        <v>1995</v>
      </c>
      <c r="O157" s="15" t="n">
        <f aca="false">IF(N157="","",Scoring!$B$4-N157)</f>
        <v>31</v>
      </c>
      <c r="P157" s="15" t="n">
        <f aca="false">IF(N157="","",N157+14)</f>
        <v>2009</v>
      </c>
      <c r="Q157" s="15" t="n">
        <f aca="false">IF(N157="","",IF(N157&lt;Scoring!$B$12,"n/a (pre-1990)",N157+Scoring!$B$13))</f>
        <v>2024</v>
      </c>
      <c r="R157" s="15" t="str">
        <f aca="false">IF(J157="","Unknown",IF(J157&gt;=5,"Yes","No (under 5 units)"))</f>
        <v>Yes</v>
      </c>
      <c r="S157" s="15"/>
      <c r="T157" s="18"/>
      <c r="U157" s="19"/>
      <c r="V157" s="18"/>
      <c r="W157" s="18"/>
      <c r="X157" s="20"/>
      <c r="Y157" s="18"/>
      <c r="Z157" s="18"/>
      <c r="AA157" s="21" t="n">
        <f aca="false">IF(U157&lt;&gt;"",(U157-Scoring!$B$3)/365.25,IF(N157="","",IF(N157&lt;Scoring!$B$12,"",(DATE(N157+Scoring!$B$13,12,31)-Scoring!$B$3)/365.25)))</f>
        <v>-1.75222450376454</v>
      </c>
      <c r="AB157" s="22" t="n">
        <f aca="false">IF(T157="Y",0,IF(OR(D157="Expired (verified)",D157="Expiring: notice window (verified)",D157="Expiring: 10-yr horizon (verified)",D157="Past 30-yr mark (verify)",D157="30-yr mark: notice window (est.)",D157="Year-15 window"),1,0)+IF(ISNUMBER(O157),IF(O157&gt;=Scoring!$B$10,1,0),0)+IF(AND(ISNUMBER(L157),ISNUMBER(J157)),IF(J157&gt;0,IF(L157/J157&gt;=Scoring!$B$11,1,0),0),0)+IF(ISNUMBER(Z157),MIN(Z157,3),0))</f>
        <v>2</v>
      </c>
      <c r="AC157" s="22" t="n">
        <f aca="false">IF(AB157&gt;=3,Scoring!$C$24,IF(AB157=2,Scoring!$C$23,IF(AB157=1,Scoring!$C$22,0)))</f>
        <v>18</v>
      </c>
      <c r="AD157" s="22" t="n">
        <f aca="false">IF(T157="Y",0,IF(ISNUMBER(X157),IF(X157&gt;0.7,Scoring!$C$25,IF(X157&gt;=0.5,Scoring!$C$26,IF(X157&gt;=0.3,Scoring!$C$27,Scoring!$C$28))),Scoring!$C$29))</f>
        <v>10</v>
      </c>
      <c r="AE157" s="22" t="n">
        <f aca="false">IF(D157="Expiring: notice window (verified)",Scoring!$C$30,IF(OR(D157="Expired (verified)",D157="30-yr mark: notice window (est.)",D157="Year-15 window"),Scoring!$C$31,IF(D157="Expiring: 10-yr horizon (verified)",Scoring!$C$32,IF(D157="Past 30-yr mark (verify)",Scoring!$C$33,IF(OR(D157="Credit period",D157="Superseded record"),Scoring!$C$35,Scoring!$C$34)))))</f>
        <v>8</v>
      </c>
      <c r="AF157" s="22" t="n">
        <f aca="false">IF(T157="Y",0,IF(ISNUMBER(V157),IF(Scoring!$B$4-V157&gt;15,Scoring!$C$36,IF(Scoring!$B$4-V157&gt;=10,Scoring!$C$37,IF(Scoring!$B$4-V157&gt;=5,Scoring!$C$38,Scoring!$C$39))),IF(OR(N157="",D157="Out of program"),Scoring!$C$40,IF(O157&gt;15,Scoring!$C$36,IF(O157&gt;=10,Scoring!$C$37,IF(O157&gt;=5,Scoring!$C$38,Scoring!$C$39))))))</f>
        <v>15</v>
      </c>
      <c r="AG157" s="22" t="n">
        <f aca="false">IF(T157="Y",0,IF(Y157="Y",Scoring!$C$41,IF(ISNUMBER(O157),IF(O157&gt;=25,Scoring!$C$42,IF(O157&gt;=15,Scoring!$C$43,Scoring!$C$44)),Scoring!$C$44)))</f>
        <v>8</v>
      </c>
      <c r="AH157" s="22" t="n">
        <f aca="false">IF(T157="Y",0,IF(W157="",Scoring!$C$49,IFERROR(VLOOKUP(W157,Scoring!$B$45:$C$48,2,FALSE()),Scoring!$C$49)))</f>
        <v>5</v>
      </c>
      <c r="AI157" s="23" t="n">
        <f aca="false">C157+IF(ISNUMBER(J157),J157,0)/100000+(10000-ROW())/1000000000</f>
        <v>64.000329843</v>
      </c>
      <c r="AJ157" s="18"/>
      <c r="AK157" s="18"/>
      <c r="AL157" s="18"/>
      <c r="AM157" s="18"/>
    </row>
    <row r="158" customFormat="false" ht="15" hidden="false" customHeight="false" outlineLevel="0" collapsed="false">
      <c r="A158" s="15" t="n">
        <f aca="false">RANK(AI158,$AI$2:$AI$755)</f>
        <v>157</v>
      </c>
      <c r="B158" s="16" t="str">
        <f aca="false">IF(T158="Y","Superseded",IF(C158&gt;=Scoring!$B$16,"Immediate",IF(C158&gt;=Scoring!$B$17,"This week",IF(C158&gt;=Scoring!$B$18,"Nurture","Low"))))</f>
        <v>This week</v>
      </c>
      <c r="C158" s="3" t="n">
        <f aca="false">SUM(AC158:AH158)</f>
        <v>64</v>
      </c>
      <c r="D158" s="15" t="str">
        <f aca="false">IF(T158="Y","Superseded record",IF(AND(U158&lt;&gt;"",AA158&lt;0),"Expired (verified)",IF(AND(U158&lt;&gt;"",AA158&lt;=Scoring!$B$5),"Expiring: notice window (verified)",IF(AND(U158&lt;&gt;"",AA158&lt;=Scoring!$B$6),"Expiring: 10-yr horizon (verified)",IF(M158="No Longer Monitored","Out of program",IF(N158="","Unknown vintage",IF(N158&lt;Scoring!$B$12,"Pre-1990, still listed",IF(AND(U158="",AA158&lt;0),"Past 30-yr mark (verify)",IF(AND(U158="",AA158&lt;=Scoring!$B$5),"30-yr mark: notice window (est.)",IF(AND(O158&gt;=Scoring!$B$7,O158&lt;=Scoring!$B$8),"Year-15 window",IF(O158&gt;=Scoring!$B$9,"Recap window",IF(O158&gt;=11,"Late compliance","Credit period"))))))))))))</f>
        <v>Past 30-yr mark (verify)</v>
      </c>
      <c r="E158" s="15" t="s">
        <v>705</v>
      </c>
      <c r="F158" s="15" t="s">
        <v>706</v>
      </c>
      <c r="G158" s="15" t="s">
        <v>707</v>
      </c>
      <c r="H158" s="15" t="s">
        <v>319</v>
      </c>
      <c r="I158" s="15" t="s">
        <v>320</v>
      </c>
      <c r="J158" s="15" t="n">
        <v>32</v>
      </c>
      <c r="K158" s="15" t="n">
        <v>31</v>
      </c>
      <c r="L158" s="15" t="n">
        <f aca="false">IF(OR(J158="",K158=""),"",MAX(J158-K158,0))</f>
        <v>1</v>
      </c>
      <c r="M158" s="15" t="s">
        <v>99</v>
      </c>
      <c r="N158" s="17" t="n">
        <v>1995</v>
      </c>
      <c r="O158" s="15" t="n">
        <f aca="false">IF(N158="","",Scoring!$B$4-N158)</f>
        <v>31</v>
      </c>
      <c r="P158" s="15" t="n">
        <f aca="false">IF(N158="","",N158+14)</f>
        <v>2009</v>
      </c>
      <c r="Q158" s="15" t="n">
        <f aca="false">IF(N158="","",IF(N158&lt;Scoring!$B$12,"n/a (pre-1990)",N158+Scoring!$B$13))</f>
        <v>2024</v>
      </c>
      <c r="R158" s="15" t="str">
        <f aca="false">IF(J158="","Unknown",IF(J158&gt;=5,"Yes","No (under 5 units)"))</f>
        <v>Yes</v>
      </c>
      <c r="S158" s="15"/>
      <c r="T158" s="18"/>
      <c r="U158" s="19"/>
      <c r="V158" s="18"/>
      <c r="W158" s="18"/>
      <c r="X158" s="20"/>
      <c r="Y158" s="18"/>
      <c r="Z158" s="18"/>
      <c r="AA158" s="21" t="n">
        <f aca="false">IF(U158&lt;&gt;"",(U158-Scoring!$B$3)/365.25,IF(N158="","",IF(N158&lt;Scoring!$B$12,"",(DATE(N158+Scoring!$B$13,12,31)-Scoring!$B$3)/365.25)))</f>
        <v>-1.75222450376454</v>
      </c>
      <c r="AB158" s="22" t="n">
        <f aca="false">IF(T158="Y",0,IF(OR(D158="Expired (verified)",D158="Expiring: notice window (verified)",D158="Expiring: 10-yr horizon (verified)",D158="Past 30-yr mark (verify)",D158="30-yr mark: notice window (est.)",D158="Year-15 window"),1,0)+IF(ISNUMBER(O158),IF(O158&gt;=Scoring!$B$10,1,0),0)+IF(AND(ISNUMBER(L158),ISNUMBER(J158)),IF(J158&gt;0,IF(L158/J158&gt;=Scoring!$B$11,1,0),0),0)+IF(ISNUMBER(Z158),MIN(Z158,3),0))</f>
        <v>2</v>
      </c>
      <c r="AC158" s="22" t="n">
        <f aca="false">IF(AB158&gt;=3,Scoring!$C$24,IF(AB158=2,Scoring!$C$23,IF(AB158=1,Scoring!$C$22,0)))</f>
        <v>18</v>
      </c>
      <c r="AD158" s="22" t="n">
        <f aca="false">IF(T158="Y",0,IF(ISNUMBER(X158),IF(X158&gt;0.7,Scoring!$C$25,IF(X158&gt;=0.5,Scoring!$C$26,IF(X158&gt;=0.3,Scoring!$C$27,Scoring!$C$28))),Scoring!$C$29))</f>
        <v>10</v>
      </c>
      <c r="AE158" s="22" t="n">
        <f aca="false">IF(D158="Expiring: notice window (verified)",Scoring!$C$30,IF(OR(D158="Expired (verified)",D158="30-yr mark: notice window (est.)",D158="Year-15 window"),Scoring!$C$31,IF(D158="Expiring: 10-yr horizon (verified)",Scoring!$C$32,IF(D158="Past 30-yr mark (verify)",Scoring!$C$33,IF(OR(D158="Credit period",D158="Superseded record"),Scoring!$C$35,Scoring!$C$34)))))</f>
        <v>8</v>
      </c>
      <c r="AF158" s="22" t="n">
        <f aca="false">IF(T158="Y",0,IF(ISNUMBER(V158),IF(Scoring!$B$4-V158&gt;15,Scoring!$C$36,IF(Scoring!$B$4-V158&gt;=10,Scoring!$C$37,IF(Scoring!$B$4-V158&gt;=5,Scoring!$C$38,Scoring!$C$39))),IF(OR(N158="",D158="Out of program"),Scoring!$C$40,IF(O158&gt;15,Scoring!$C$36,IF(O158&gt;=10,Scoring!$C$37,IF(O158&gt;=5,Scoring!$C$38,Scoring!$C$39))))))</f>
        <v>15</v>
      </c>
      <c r="AG158" s="22" t="n">
        <f aca="false">IF(T158="Y",0,IF(Y158="Y",Scoring!$C$41,IF(ISNUMBER(O158),IF(O158&gt;=25,Scoring!$C$42,IF(O158&gt;=15,Scoring!$C$43,Scoring!$C$44)),Scoring!$C$44)))</f>
        <v>8</v>
      </c>
      <c r="AH158" s="22" t="n">
        <f aca="false">IF(T158="Y",0,IF(W158="",Scoring!$C$49,IFERROR(VLOOKUP(W158,Scoring!$B$45:$C$48,2,FALSE()),Scoring!$C$49)))</f>
        <v>5</v>
      </c>
      <c r="AI158" s="23" t="n">
        <f aca="false">C158+IF(ISNUMBER(J158),J158,0)/100000+(10000-ROW())/1000000000</f>
        <v>64.000329842</v>
      </c>
      <c r="AJ158" s="18"/>
      <c r="AK158" s="18"/>
      <c r="AL158" s="18"/>
      <c r="AM158" s="18"/>
    </row>
    <row r="159" customFormat="false" ht="15" hidden="false" customHeight="false" outlineLevel="0" collapsed="false">
      <c r="A159" s="15" t="n">
        <f aca="false">RANK(AI159,$AI$2:$AI$755)</f>
        <v>158</v>
      </c>
      <c r="B159" s="16" t="str">
        <f aca="false">IF(T159="Y","Superseded",IF(C159&gt;=Scoring!$B$16,"Immediate",IF(C159&gt;=Scoring!$B$17,"This week",IF(C159&gt;=Scoring!$B$18,"Nurture","Low"))))</f>
        <v>This week</v>
      </c>
      <c r="C159" s="3" t="n">
        <f aca="false">SUM(AC159:AH159)</f>
        <v>64</v>
      </c>
      <c r="D159" s="15" t="str">
        <f aca="false">IF(T159="Y","Superseded record",IF(AND(U159&lt;&gt;"",AA159&lt;0),"Expired (verified)",IF(AND(U159&lt;&gt;"",AA159&lt;=Scoring!$B$5),"Expiring: notice window (verified)",IF(AND(U159&lt;&gt;"",AA159&lt;=Scoring!$B$6),"Expiring: 10-yr horizon (verified)",IF(M159="No Longer Monitored","Out of program",IF(N159="","Unknown vintage",IF(N159&lt;Scoring!$B$12,"Pre-1990, still listed",IF(AND(U159="",AA159&lt;0),"Past 30-yr mark (verify)",IF(AND(U159="",AA159&lt;=Scoring!$B$5),"30-yr mark: notice window (est.)",IF(AND(O159&gt;=Scoring!$B$7,O159&lt;=Scoring!$B$8),"Year-15 window",IF(O159&gt;=Scoring!$B$9,"Recap window",IF(O159&gt;=11,"Late compliance","Credit period"))))))))))))</f>
        <v>Past 30-yr mark (verify)</v>
      </c>
      <c r="E159" s="15" t="s">
        <v>708</v>
      </c>
      <c r="F159" s="15" t="s">
        <v>709</v>
      </c>
      <c r="G159" s="15" t="s">
        <v>710</v>
      </c>
      <c r="H159" s="15" t="s">
        <v>249</v>
      </c>
      <c r="I159" s="15" t="s">
        <v>250</v>
      </c>
      <c r="J159" s="15" t="n">
        <v>31</v>
      </c>
      <c r="K159" s="15" t="n">
        <v>31</v>
      </c>
      <c r="L159" s="15" t="n">
        <f aca="false">IF(OR(J159="",K159=""),"",MAX(J159-K159,0))</f>
        <v>0</v>
      </c>
      <c r="M159" s="15" t="s">
        <v>99</v>
      </c>
      <c r="N159" s="17" t="n">
        <v>1991</v>
      </c>
      <c r="O159" s="15" t="n">
        <f aca="false">IF(N159="","",Scoring!$B$4-N159)</f>
        <v>35</v>
      </c>
      <c r="P159" s="15" t="n">
        <f aca="false">IF(N159="","",N159+14)</f>
        <v>2005</v>
      </c>
      <c r="Q159" s="15" t="n">
        <f aca="false">IF(N159="","",IF(N159&lt;Scoring!$B$12,"n/a (pre-1990)",N159+Scoring!$B$13))</f>
        <v>2020</v>
      </c>
      <c r="R159" s="15" t="str">
        <f aca="false">IF(J159="","Unknown",IF(J159&gt;=5,"Yes","No (under 5 units)"))</f>
        <v>Yes</v>
      </c>
      <c r="S159" s="15"/>
      <c r="T159" s="18"/>
      <c r="U159" s="19"/>
      <c r="V159" s="18"/>
      <c r="W159" s="18"/>
      <c r="X159" s="20"/>
      <c r="Y159" s="18"/>
      <c r="Z159" s="18"/>
      <c r="AA159" s="21" t="n">
        <f aca="false">IF(U159&lt;&gt;"",(U159-Scoring!$B$3)/365.25,IF(N159="","",IF(N159&lt;Scoring!$B$12,"",(DATE(N159+Scoring!$B$13,12,31)-Scoring!$B$3)/365.25)))</f>
        <v>-5.75222450376455</v>
      </c>
      <c r="AB159" s="22" t="n">
        <f aca="false">IF(T159="Y",0,IF(OR(D159="Expired (verified)",D159="Expiring: notice window (verified)",D159="Expiring: 10-yr horizon (verified)",D159="Past 30-yr mark (verify)",D159="30-yr mark: notice window (est.)",D159="Year-15 window"),1,0)+IF(ISNUMBER(O159),IF(O159&gt;=Scoring!$B$10,1,0),0)+IF(AND(ISNUMBER(L159),ISNUMBER(J159)),IF(J159&gt;0,IF(L159/J159&gt;=Scoring!$B$11,1,0),0),0)+IF(ISNUMBER(Z159),MIN(Z159,3),0))</f>
        <v>2</v>
      </c>
      <c r="AC159" s="22" t="n">
        <f aca="false">IF(AB159&gt;=3,Scoring!$C$24,IF(AB159=2,Scoring!$C$23,IF(AB159=1,Scoring!$C$22,0)))</f>
        <v>18</v>
      </c>
      <c r="AD159" s="22" t="n">
        <f aca="false">IF(T159="Y",0,IF(ISNUMBER(X159),IF(X159&gt;0.7,Scoring!$C$25,IF(X159&gt;=0.5,Scoring!$C$26,IF(X159&gt;=0.3,Scoring!$C$27,Scoring!$C$28))),Scoring!$C$29))</f>
        <v>10</v>
      </c>
      <c r="AE159" s="22" t="n">
        <f aca="false">IF(D159="Expiring: notice window (verified)",Scoring!$C$30,IF(OR(D159="Expired (verified)",D159="30-yr mark: notice window (est.)",D159="Year-15 window"),Scoring!$C$31,IF(D159="Expiring: 10-yr horizon (verified)",Scoring!$C$32,IF(D159="Past 30-yr mark (verify)",Scoring!$C$33,IF(OR(D159="Credit period",D159="Superseded record"),Scoring!$C$35,Scoring!$C$34)))))</f>
        <v>8</v>
      </c>
      <c r="AF159" s="22" t="n">
        <f aca="false">IF(T159="Y",0,IF(ISNUMBER(V159),IF(Scoring!$B$4-V159&gt;15,Scoring!$C$36,IF(Scoring!$B$4-V159&gt;=10,Scoring!$C$37,IF(Scoring!$B$4-V159&gt;=5,Scoring!$C$38,Scoring!$C$39))),IF(OR(N159="",D159="Out of program"),Scoring!$C$40,IF(O159&gt;15,Scoring!$C$36,IF(O159&gt;=10,Scoring!$C$37,IF(O159&gt;=5,Scoring!$C$38,Scoring!$C$39))))))</f>
        <v>15</v>
      </c>
      <c r="AG159" s="22" t="n">
        <f aca="false">IF(T159="Y",0,IF(Y159="Y",Scoring!$C$41,IF(ISNUMBER(O159),IF(O159&gt;=25,Scoring!$C$42,IF(O159&gt;=15,Scoring!$C$43,Scoring!$C$44)),Scoring!$C$44)))</f>
        <v>8</v>
      </c>
      <c r="AH159" s="22" t="n">
        <f aca="false">IF(T159="Y",0,IF(W159="",Scoring!$C$49,IFERROR(VLOOKUP(W159,Scoring!$B$45:$C$48,2,FALSE()),Scoring!$C$49)))</f>
        <v>5</v>
      </c>
      <c r="AI159" s="23" t="n">
        <f aca="false">C159+IF(ISNUMBER(J159),J159,0)/100000+(10000-ROW())/1000000000</f>
        <v>64.000319841</v>
      </c>
      <c r="AJ159" s="18"/>
      <c r="AK159" s="18"/>
      <c r="AL159" s="18"/>
      <c r="AM159" s="18"/>
    </row>
    <row r="160" customFormat="false" ht="15" hidden="false" customHeight="false" outlineLevel="0" collapsed="false">
      <c r="A160" s="15" t="n">
        <f aca="false">RANK(AI160,$AI$2:$AI$755)</f>
        <v>159</v>
      </c>
      <c r="B160" s="16" t="str">
        <f aca="false">IF(T160="Y","Superseded",IF(C160&gt;=Scoring!$B$16,"Immediate",IF(C160&gt;=Scoring!$B$17,"This week",IF(C160&gt;=Scoring!$B$18,"Nurture","Low"))))</f>
        <v>This week</v>
      </c>
      <c r="C160" s="3" t="n">
        <f aca="false">SUM(AC160:AH160)</f>
        <v>64</v>
      </c>
      <c r="D160" s="15" t="str">
        <f aca="false">IF(T160="Y","Superseded record",IF(AND(U160&lt;&gt;"",AA160&lt;0),"Expired (verified)",IF(AND(U160&lt;&gt;"",AA160&lt;=Scoring!$B$5),"Expiring: notice window (verified)",IF(AND(U160&lt;&gt;"",AA160&lt;=Scoring!$B$6),"Expiring: 10-yr horizon (verified)",IF(M160="No Longer Monitored","Out of program",IF(N160="","Unknown vintage",IF(N160&lt;Scoring!$B$12,"Pre-1990, still listed",IF(AND(U160="",AA160&lt;0),"Past 30-yr mark (verify)",IF(AND(U160="",AA160&lt;=Scoring!$B$5),"30-yr mark: notice window (est.)",IF(AND(O160&gt;=Scoring!$B$7,O160&lt;=Scoring!$B$8),"Year-15 window",IF(O160&gt;=Scoring!$B$9,"Recap window",IF(O160&gt;=11,"Late compliance","Credit period"))))))))))))</f>
        <v>Past 30-yr mark (verify)</v>
      </c>
      <c r="E160" s="15" t="s">
        <v>711</v>
      </c>
      <c r="F160" s="15" t="s">
        <v>712</v>
      </c>
      <c r="G160" s="15" t="s">
        <v>713</v>
      </c>
      <c r="H160" s="15" t="s">
        <v>666</v>
      </c>
      <c r="I160" s="15"/>
      <c r="J160" s="15" t="n">
        <v>31</v>
      </c>
      <c r="K160" s="15" t="n">
        <v>31</v>
      </c>
      <c r="L160" s="15" t="n">
        <f aca="false">IF(OR(J160="",K160=""),"",MAX(J160-K160,0))</f>
        <v>0</v>
      </c>
      <c r="M160" s="15" t="s">
        <v>99</v>
      </c>
      <c r="N160" s="17" t="n">
        <v>1995</v>
      </c>
      <c r="O160" s="15" t="n">
        <f aca="false">IF(N160="","",Scoring!$B$4-N160)</f>
        <v>31</v>
      </c>
      <c r="P160" s="15" t="n">
        <f aca="false">IF(N160="","",N160+14)</f>
        <v>2009</v>
      </c>
      <c r="Q160" s="15" t="n">
        <f aca="false">IF(N160="","",IF(N160&lt;Scoring!$B$12,"n/a (pre-1990)",N160+Scoring!$B$13))</f>
        <v>2024</v>
      </c>
      <c r="R160" s="15" t="str">
        <f aca="false">IF(J160="","Unknown",IF(J160&gt;=5,"Yes","No (under 5 units)"))</f>
        <v>Yes</v>
      </c>
      <c r="S160" s="15"/>
      <c r="T160" s="18"/>
      <c r="U160" s="19"/>
      <c r="V160" s="18"/>
      <c r="W160" s="18"/>
      <c r="X160" s="20"/>
      <c r="Y160" s="18"/>
      <c r="Z160" s="18"/>
      <c r="AA160" s="21" t="n">
        <f aca="false">IF(U160&lt;&gt;"",(U160-Scoring!$B$3)/365.25,IF(N160="","",IF(N160&lt;Scoring!$B$12,"",(DATE(N160+Scoring!$B$13,12,31)-Scoring!$B$3)/365.25)))</f>
        <v>-1.75222450376454</v>
      </c>
      <c r="AB160" s="22" t="n">
        <f aca="false">IF(T160="Y",0,IF(OR(D160="Expired (verified)",D160="Expiring: notice window (verified)",D160="Expiring: 10-yr horizon (verified)",D160="Past 30-yr mark (verify)",D160="30-yr mark: notice window (est.)",D160="Year-15 window"),1,0)+IF(ISNUMBER(O160),IF(O160&gt;=Scoring!$B$10,1,0),0)+IF(AND(ISNUMBER(L160),ISNUMBER(J160)),IF(J160&gt;0,IF(L160/J160&gt;=Scoring!$B$11,1,0),0),0)+IF(ISNUMBER(Z160),MIN(Z160,3),0))</f>
        <v>2</v>
      </c>
      <c r="AC160" s="22" t="n">
        <f aca="false">IF(AB160&gt;=3,Scoring!$C$24,IF(AB160=2,Scoring!$C$23,IF(AB160=1,Scoring!$C$22,0)))</f>
        <v>18</v>
      </c>
      <c r="AD160" s="22" t="n">
        <f aca="false">IF(T160="Y",0,IF(ISNUMBER(X160),IF(X160&gt;0.7,Scoring!$C$25,IF(X160&gt;=0.5,Scoring!$C$26,IF(X160&gt;=0.3,Scoring!$C$27,Scoring!$C$28))),Scoring!$C$29))</f>
        <v>10</v>
      </c>
      <c r="AE160" s="22" t="n">
        <f aca="false">IF(D160="Expiring: notice window (verified)",Scoring!$C$30,IF(OR(D160="Expired (verified)",D160="30-yr mark: notice window (est.)",D160="Year-15 window"),Scoring!$C$31,IF(D160="Expiring: 10-yr horizon (verified)",Scoring!$C$32,IF(D160="Past 30-yr mark (verify)",Scoring!$C$33,IF(OR(D160="Credit period",D160="Superseded record"),Scoring!$C$35,Scoring!$C$34)))))</f>
        <v>8</v>
      </c>
      <c r="AF160" s="22" t="n">
        <f aca="false">IF(T160="Y",0,IF(ISNUMBER(V160),IF(Scoring!$B$4-V160&gt;15,Scoring!$C$36,IF(Scoring!$B$4-V160&gt;=10,Scoring!$C$37,IF(Scoring!$B$4-V160&gt;=5,Scoring!$C$38,Scoring!$C$39))),IF(OR(N160="",D160="Out of program"),Scoring!$C$40,IF(O160&gt;15,Scoring!$C$36,IF(O160&gt;=10,Scoring!$C$37,IF(O160&gt;=5,Scoring!$C$38,Scoring!$C$39))))))</f>
        <v>15</v>
      </c>
      <c r="AG160" s="22" t="n">
        <f aca="false">IF(T160="Y",0,IF(Y160="Y",Scoring!$C$41,IF(ISNUMBER(O160),IF(O160&gt;=25,Scoring!$C$42,IF(O160&gt;=15,Scoring!$C$43,Scoring!$C$44)),Scoring!$C$44)))</f>
        <v>8</v>
      </c>
      <c r="AH160" s="22" t="n">
        <f aca="false">IF(T160="Y",0,IF(W160="",Scoring!$C$49,IFERROR(VLOOKUP(W160,Scoring!$B$45:$C$48,2,FALSE()),Scoring!$C$49)))</f>
        <v>5</v>
      </c>
      <c r="AI160" s="23" t="n">
        <f aca="false">C160+IF(ISNUMBER(J160),J160,0)/100000+(10000-ROW())/1000000000</f>
        <v>64.00031984</v>
      </c>
      <c r="AJ160" s="18"/>
      <c r="AK160" s="18"/>
      <c r="AL160" s="18"/>
      <c r="AM160" s="18"/>
    </row>
    <row r="161" customFormat="false" ht="15" hidden="false" customHeight="false" outlineLevel="0" collapsed="false">
      <c r="A161" s="15" t="n">
        <f aca="false">RANK(AI161,$AI$2:$AI$755)</f>
        <v>160</v>
      </c>
      <c r="B161" s="16" t="str">
        <f aca="false">IF(T161="Y","Superseded",IF(C161&gt;=Scoring!$B$16,"Immediate",IF(C161&gt;=Scoring!$B$17,"This week",IF(C161&gt;=Scoring!$B$18,"Nurture","Low"))))</f>
        <v>This week</v>
      </c>
      <c r="C161" s="3" t="n">
        <f aca="false">SUM(AC161:AH161)</f>
        <v>64</v>
      </c>
      <c r="D161" s="15" t="str">
        <f aca="false">IF(T161="Y","Superseded record",IF(AND(U161&lt;&gt;"",AA161&lt;0),"Expired (verified)",IF(AND(U161&lt;&gt;"",AA161&lt;=Scoring!$B$5),"Expiring: notice window (verified)",IF(AND(U161&lt;&gt;"",AA161&lt;=Scoring!$B$6),"Expiring: 10-yr horizon (verified)",IF(M161="No Longer Monitored","Out of program",IF(N161="","Unknown vintage",IF(N161&lt;Scoring!$B$12,"Pre-1990, still listed",IF(AND(U161="",AA161&lt;0),"Past 30-yr mark (verify)",IF(AND(U161="",AA161&lt;=Scoring!$B$5),"30-yr mark: notice window (est.)",IF(AND(O161&gt;=Scoring!$B$7,O161&lt;=Scoring!$B$8),"Year-15 window",IF(O161&gt;=Scoring!$B$9,"Recap window",IF(O161&gt;=11,"Late compliance","Credit period"))))))))))))</f>
        <v>Past 30-yr mark (verify)</v>
      </c>
      <c r="E161" s="15" t="s">
        <v>714</v>
      </c>
      <c r="F161" s="15" t="s">
        <v>715</v>
      </c>
      <c r="G161" s="15" t="s">
        <v>716</v>
      </c>
      <c r="H161" s="15" t="s">
        <v>97</v>
      </c>
      <c r="I161" s="15" t="s">
        <v>362</v>
      </c>
      <c r="J161" s="15" t="n">
        <v>30</v>
      </c>
      <c r="K161" s="15" t="n">
        <v>30</v>
      </c>
      <c r="L161" s="15" t="n">
        <f aca="false">IF(OR(J161="",K161=""),"",MAX(J161-K161,0))</f>
        <v>0</v>
      </c>
      <c r="M161" s="15" t="s">
        <v>99</v>
      </c>
      <c r="N161" s="17" t="n">
        <v>1993</v>
      </c>
      <c r="O161" s="15" t="n">
        <f aca="false">IF(N161="","",Scoring!$B$4-N161)</f>
        <v>33</v>
      </c>
      <c r="P161" s="15" t="n">
        <f aca="false">IF(N161="","",N161+14)</f>
        <v>2007</v>
      </c>
      <c r="Q161" s="15" t="n">
        <f aca="false">IF(N161="","",IF(N161&lt;Scoring!$B$12,"n/a (pre-1990)",N161+Scoring!$B$13))</f>
        <v>2022</v>
      </c>
      <c r="R161" s="15" t="str">
        <f aca="false">IF(J161="","Unknown",IF(J161&gt;=5,"Yes","No (under 5 units)"))</f>
        <v>Yes</v>
      </c>
      <c r="S161" s="15"/>
      <c r="T161" s="18"/>
      <c r="U161" s="19"/>
      <c r="V161" s="18"/>
      <c r="W161" s="18"/>
      <c r="X161" s="20"/>
      <c r="Y161" s="18"/>
      <c r="Z161" s="18"/>
      <c r="AA161" s="21" t="n">
        <f aca="false">IF(U161&lt;&gt;"",(U161-Scoring!$B$3)/365.25,IF(N161="","",IF(N161&lt;Scoring!$B$12,"",(DATE(N161+Scoring!$B$13,12,31)-Scoring!$B$3)/365.25)))</f>
        <v>-3.75359342915811</v>
      </c>
      <c r="AB161" s="22" t="n">
        <f aca="false">IF(T161="Y",0,IF(OR(D161="Expired (verified)",D161="Expiring: notice window (verified)",D161="Expiring: 10-yr horizon (verified)",D161="Past 30-yr mark (verify)",D161="30-yr mark: notice window (est.)",D161="Year-15 window"),1,0)+IF(ISNUMBER(O161),IF(O161&gt;=Scoring!$B$10,1,0),0)+IF(AND(ISNUMBER(L161),ISNUMBER(J161)),IF(J161&gt;0,IF(L161/J161&gt;=Scoring!$B$11,1,0),0),0)+IF(ISNUMBER(Z161),MIN(Z161,3),0))</f>
        <v>2</v>
      </c>
      <c r="AC161" s="22" t="n">
        <f aca="false">IF(AB161&gt;=3,Scoring!$C$24,IF(AB161=2,Scoring!$C$23,IF(AB161=1,Scoring!$C$22,0)))</f>
        <v>18</v>
      </c>
      <c r="AD161" s="22" t="n">
        <f aca="false">IF(T161="Y",0,IF(ISNUMBER(X161),IF(X161&gt;0.7,Scoring!$C$25,IF(X161&gt;=0.5,Scoring!$C$26,IF(X161&gt;=0.3,Scoring!$C$27,Scoring!$C$28))),Scoring!$C$29))</f>
        <v>10</v>
      </c>
      <c r="AE161" s="22" t="n">
        <f aca="false">IF(D161="Expiring: notice window (verified)",Scoring!$C$30,IF(OR(D161="Expired (verified)",D161="30-yr mark: notice window (est.)",D161="Year-15 window"),Scoring!$C$31,IF(D161="Expiring: 10-yr horizon (verified)",Scoring!$C$32,IF(D161="Past 30-yr mark (verify)",Scoring!$C$33,IF(OR(D161="Credit period",D161="Superseded record"),Scoring!$C$35,Scoring!$C$34)))))</f>
        <v>8</v>
      </c>
      <c r="AF161" s="22" t="n">
        <f aca="false">IF(T161="Y",0,IF(ISNUMBER(V161),IF(Scoring!$B$4-V161&gt;15,Scoring!$C$36,IF(Scoring!$B$4-V161&gt;=10,Scoring!$C$37,IF(Scoring!$B$4-V161&gt;=5,Scoring!$C$38,Scoring!$C$39))),IF(OR(N161="",D161="Out of program"),Scoring!$C$40,IF(O161&gt;15,Scoring!$C$36,IF(O161&gt;=10,Scoring!$C$37,IF(O161&gt;=5,Scoring!$C$38,Scoring!$C$39))))))</f>
        <v>15</v>
      </c>
      <c r="AG161" s="22" t="n">
        <f aca="false">IF(T161="Y",0,IF(Y161="Y",Scoring!$C$41,IF(ISNUMBER(O161),IF(O161&gt;=25,Scoring!$C$42,IF(O161&gt;=15,Scoring!$C$43,Scoring!$C$44)),Scoring!$C$44)))</f>
        <v>8</v>
      </c>
      <c r="AH161" s="22" t="n">
        <f aca="false">IF(T161="Y",0,IF(W161="",Scoring!$C$49,IFERROR(VLOOKUP(W161,Scoring!$B$45:$C$48,2,FALSE()),Scoring!$C$49)))</f>
        <v>5</v>
      </c>
      <c r="AI161" s="23" t="n">
        <f aca="false">C161+IF(ISNUMBER(J161),J161,0)/100000+(10000-ROW())/1000000000</f>
        <v>64.000309839</v>
      </c>
      <c r="AJ161" s="18"/>
      <c r="AK161" s="18"/>
      <c r="AL161" s="18"/>
      <c r="AM161" s="18"/>
    </row>
    <row r="162" customFormat="false" ht="15" hidden="false" customHeight="false" outlineLevel="0" collapsed="false">
      <c r="A162" s="15" t="n">
        <f aca="false">RANK(AI162,$AI$2:$AI$755)</f>
        <v>161</v>
      </c>
      <c r="B162" s="16" t="str">
        <f aca="false">IF(T162="Y","Superseded",IF(C162&gt;=Scoring!$B$16,"Immediate",IF(C162&gt;=Scoring!$B$17,"This week",IF(C162&gt;=Scoring!$B$18,"Nurture","Low"))))</f>
        <v>This week</v>
      </c>
      <c r="C162" s="3" t="n">
        <f aca="false">SUM(AC162:AH162)</f>
        <v>64</v>
      </c>
      <c r="D162" s="15" t="str">
        <f aca="false">IF(T162="Y","Superseded record",IF(AND(U162&lt;&gt;"",AA162&lt;0),"Expired (verified)",IF(AND(U162&lt;&gt;"",AA162&lt;=Scoring!$B$5),"Expiring: notice window (verified)",IF(AND(U162&lt;&gt;"",AA162&lt;=Scoring!$B$6),"Expiring: 10-yr horizon (verified)",IF(M162="No Longer Monitored","Out of program",IF(N162="","Unknown vintage",IF(N162&lt;Scoring!$B$12,"Pre-1990, still listed",IF(AND(U162="",AA162&lt;0),"Past 30-yr mark (verify)",IF(AND(U162="",AA162&lt;=Scoring!$B$5),"30-yr mark: notice window (est.)",IF(AND(O162&gt;=Scoring!$B$7,O162&lt;=Scoring!$B$8),"Year-15 window",IF(O162&gt;=Scoring!$B$9,"Recap window",IF(O162&gt;=11,"Late compliance","Credit period"))))))))))))</f>
        <v>Past 30-yr mark (verify)</v>
      </c>
      <c r="E162" s="15" t="s">
        <v>717</v>
      </c>
      <c r="F162" s="15" t="s">
        <v>718</v>
      </c>
      <c r="G162" s="15" t="s">
        <v>719</v>
      </c>
      <c r="H162" s="15" t="s">
        <v>666</v>
      </c>
      <c r="I162" s="15" t="s">
        <v>667</v>
      </c>
      <c r="J162" s="15" t="n">
        <v>30</v>
      </c>
      <c r="K162" s="15"/>
      <c r="L162" s="15" t="str">
        <f aca="false">IF(OR(J162="",K162=""),"",MAX(J162-K162,0))</f>
        <v/>
      </c>
      <c r="M162" s="15" t="s">
        <v>99</v>
      </c>
      <c r="N162" s="17" t="n">
        <v>1993</v>
      </c>
      <c r="O162" s="15" t="n">
        <f aca="false">IF(N162="","",Scoring!$B$4-N162)</f>
        <v>33</v>
      </c>
      <c r="P162" s="15" t="n">
        <f aca="false">IF(N162="","",N162+14)</f>
        <v>2007</v>
      </c>
      <c r="Q162" s="15" t="n">
        <f aca="false">IF(N162="","",IF(N162&lt;Scoring!$B$12,"n/a (pre-1990)",N162+Scoring!$B$13))</f>
        <v>2022</v>
      </c>
      <c r="R162" s="15" t="str">
        <f aca="false">IF(J162="","Unknown",IF(J162&gt;=5,"Yes","No (under 5 units)"))</f>
        <v>Yes</v>
      </c>
      <c r="S162" s="15"/>
      <c r="T162" s="18"/>
      <c r="U162" s="19"/>
      <c r="V162" s="18"/>
      <c r="W162" s="18"/>
      <c r="X162" s="20"/>
      <c r="Y162" s="18"/>
      <c r="Z162" s="18"/>
      <c r="AA162" s="21" t="n">
        <f aca="false">IF(U162&lt;&gt;"",(U162-Scoring!$B$3)/365.25,IF(N162="","",IF(N162&lt;Scoring!$B$12,"",(DATE(N162+Scoring!$B$13,12,31)-Scoring!$B$3)/365.25)))</f>
        <v>-3.75359342915811</v>
      </c>
      <c r="AB162" s="22" t="n">
        <f aca="false">IF(T162="Y",0,IF(OR(D162="Expired (verified)",D162="Expiring: notice window (verified)",D162="Expiring: 10-yr horizon (verified)",D162="Past 30-yr mark (verify)",D162="30-yr mark: notice window (est.)",D162="Year-15 window"),1,0)+IF(ISNUMBER(O162),IF(O162&gt;=Scoring!$B$10,1,0),0)+IF(AND(ISNUMBER(L162),ISNUMBER(J162)),IF(J162&gt;0,IF(L162/J162&gt;=Scoring!$B$11,1,0),0),0)+IF(ISNUMBER(Z162),MIN(Z162,3),0))</f>
        <v>2</v>
      </c>
      <c r="AC162" s="22" t="n">
        <f aca="false">IF(AB162&gt;=3,Scoring!$C$24,IF(AB162=2,Scoring!$C$23,IF(AB162=1,Scoring!$C$22,0)))</f>
        <v>18</v>
      </c>
      <c r="AD162" s="22" t="n">
        <f aca="false">IF(T162="Y",0,IF(ISNUMBER(X162),IF(X162&gt;0.7,Scoring!$C$25,IF(X162&gt;=0.5,Scoring!$C$26,IF(X162&gt;=0.3,Scoring!$C$27,Scoring!$C$28))),Scoring!$C$29))</f>
        <v>10</v>
      </c>
      <c r="AE162" s="22" t="n">
        <f aca="false">IF(D162="Expiring: notice window (verified)",Scoring!$C$30,IF(OR(D162="Expired (verified)",D162="30-yr mark: notice window (est.)",D162="Year-15 window"),Scoring!$C$31,IF(D162="Expiring: 10-yr horizon (verified)",Scoring!$C$32,IF(D162="Past 30-yr mark (verify)",Scoring!$C$33,IF(OR(D162="Credit period",D162="Superseded record"),Scoring!$C$35,Scoring!$C$34)))))</f>
        <v>8</v>
      </c>
      <c r="AF162" s="22" t="n">
        <f aca="false">IF(T162="Y",0,IF(ISNUMBER(V162),IF(Scoring!$B$4-V162&gt;15,Scoring!$C$36,IF(Scoring!$B$4-V162&gt;=10,Scoring!$C$37,IF(Scoring!$B$4-V162&gt;=5,Scoring!$C$38,Scoring!$C$39))),IF(OR(N162="",D162="Out of program"),Scoring!$C$40,IF(O162&gt;15,Scoring!$C$36,IF(O162&gt;=10,Scoring!$C$37,IF(O162&gt;=5,Scoring!$C$38,Scoring!$C$39))))))</f>
        <v>15</v>
      </c>
      <c r="AG162" s="22" t="n">
        <f aca="false">IF(T162="Y",0,IF(Y162="Y",Scoring!$C$41,IF(ISNUMBER(O162),IF(O162&gt;=25,Scoring!$C$42,IF(O162&gt;=15,Scoring!$C$43,Scoring!$C$44)),Scoring!$C$44)))</f>
        <v>8</v>
      </c>
      <c r="AH162" s="22" t="n">
        <f aca="false">IF(T162="Y",0,IF(W162="",Scoring!$C$49,IFERROR(VLOOKUP(W162,Scoring!$B$45:$C$48,2,FALSE()),Scoring!$C$49)))</f>
        <v>5</v>
      </c>
      <c r="AI162" s="23" t="n">
        <f aca="false">C162+IF(ISNUMBER(J162),J162,0)/100000+(10000-ROW())/1000000000</f>
        <v>64.000309838</v>
      </c>
      <c r="AJ162" s="18"/>
      <c r="AK162" s="18"/>
      <c r="AL162" s="18"/>
      <c r="AM162" s="18"/>
    </row>
    <row r="163" customFormat="false" ht="15" hidden="false" customHeight="false" outlineLevel="0" collapsed="false">
      <c r="A163" s="15" t="n">
        <f aca="false">RANK(AI163,$AI$2:$AI$755)</f>
        <v>162</v>
      </c>
      <c r="B163" s="16" t="str">
        <f aca="false">IF(T163="Y","Superseded",IF(C163&gt;=Scoring!$B$16,"Immediate",IF(C163&gt;=Scoring!$B$17,"This week",IF(C163&gt;=Scoring!$B$18,"Nurture","Low"))))</f>
        <v>This week</v>
      </c>
      <c r="C163" s="3" t="n">
        <f aca="false">SUM(AC163:AH163)</f>
        <v>64</v>
      </c>
      <c r="D163" s="15" t="str">
        <f aca="false">IF(T163="Y","Superseded record",IF(AND(U163&lt;&gt;"",AA163&lt;0),"Expired (verified)",IF(AND(U163&lt;&gt;"",AA163&lt;=Scoring!$B$5),"Expiring: notice window (verified)",IF(AND(U163&lt;&gt;"",AA163&lt;=Scoring!$B$6),"Expiring: 10-yr horizon (verified)",IF(M163="No Longer Monitored","Out of program",IF(N163="","Unknown vintage",IF(N163&lt;Scoring!$B$12,"Pre-1990, still listed",IF(AND(U163="",AA163&lt;0),"Past 30-yr mark (verify)",IF(AND(U163="",AA163&lt;=Scoring!$B$5),"30-yr mark: notice window (est.)",IF(AND(O163&gt;=Scoring!$B$7,O163&lt;=Scoring!$B$8),"Year-15 window",IF(O163&gt;=Scoring!$B$9,"Recap window",IF(O163&gt;=11,"Late compliance","Credit period"))))))))))))</f>
        <v>Past 30-yr mark (verify)</v>
      </c>
      <c r="E163" s="15" t="s">
        <v>720</v>
      </c>
      <c r="F163" s="15" t="s">
        <v>721</v>
      </c>
      <c r="G163" s="15" t="s">
        <v>722</v>
      </c>
      <c r="H163" s="15" t="s">
        <v>97</v>
      </c>
      <c r="I163" s="15" t="s">
        <v>330</v>
      </c>
      <c r="J163" s="15" t="n">
        <v>29</v>
      </c>
      <c r="K163" s="15" t="n">
        <v>29</v>
      </c>
      <c r="L163" s="15" t="n">
        <f aca="false">IF(OR(J163="",K163=""),"",MAX(J163-K163,0))</f>
        <v>0</v>
      </c>
      <c r="M163" s="15" t="s">
        <v>99</v>
      </c>
      <c r="N163" s="17" t="n">
        <v>1991</v>
      </c>
      <c r="O163" s="15" t="n">
        <f aca="false">IF(N163="","",Scoring!$B$4-N163)</f>
        <v>35</v>
      </c>
      <c r="P163" s="15" t="n">
        <f aca="false">IF(N163="","",N163+14)</f>
        <v>2005</v>
      </c>
      <c r="Q163" s="15" t="n">
        <f aca="false">IF(N163="","",IF(N163&lt;Scoring!$B$12,"n/a (pre-1990)",N163+Scoring!$B$13))</f>
        <v>2020</v>
      </c>
      <c r="R163" s="15" t="str">
        <f aca="false">IF(J163="","Unknown",IF(J163&gt;=5,"Yes","No (under 5 units)"))</f>
        <v>Yes</v>
      </c>
      <c r="S163" s="15"/>
      <c r="T163" s="18"/>
      <c r="U163" s="19"/>
      <c r="V163" s="18"/>
      <c r="W163" s="18"/>
      <c r="X163" s="20"/>
      <c r="Y163" s="18"/>
      <c r="Z163" s="18"/>
      <c r="AA163" s="21" t="n">
        <f aca="false">IF(U163&lt;&gt;"",(U163-Scoring!$B$3)/365.25,IF(N163="","",IF(N163&lt;Scoring!$B$12,"",(DATE(N163+Scoring!$B$13,12,31)-Scoring!$B$3)/365.25)))</f>
        <v>-5.75222450376455</v>
      </c>
      <c r="AB163" s="22" t="n">
        <f aca="false">IF(T163="Y",0,IF(OR(D163="Expired (verified)",D163="Expiring: notice window (verified)",D163="Expiring: 10-yr horizon (verified)",D163="Past 30-yr mark (verify)",D163="30-yr mark: notice window (est.)",D163="Year-15 window"),1,0)+IF(ISNUMBER(O163),IF(O163&gt;=Scoring!$B$10,1,0),0)+IF(AND(ISNUMBER(L163),ISNUMBER(J163)),IF(J163&gt;0,IF(L163/J163&gt;=Scoring!$B$11,1,0),0),0)+IF(ISNUMBER(Z163),MIN(Z163,3),0))</f>
        <v>2</v>
      </c>
      <c r="AC163" s="22" t="n">
        <f aca="false">IF(AB163&gt;=3,Scoring!$C$24,IF(AB163=2,Scoring!$C$23,IF(AB163=1,Scoring!$C$22,0)))</f>
        <v>18</v>
      </c>
      <c r="AD163" s="22" t="n">
        <f aca="false">IF(T163="Y",0,IF(ISNUMBER(X163),IF(X163&gt;0.7,Scoring!$C$25,IF(X163&gt;=0.5,Scoring!$C$26,IF(X163&gt;=0.3,Scoring!$C$27,Scoring!$C$28))),Scoring!$C$29))</f>
        <v>10</v>
      </c>
      <c r="AE163" s="22" t="n">
        <f aca="false">IF(D163="Expiring: notice window (verified)",Scoring!$C$30,IF(OR(D163="Expired (verified)",D163="30-yr mark: notice window (est.)",D163="Year-15 window"),Scoring!$C$31,IF(D163="Expiring: 10-yr horizon (verified)",Scoring!$C$32,IF(D163="Past 30-yr mark (verify)",Scoring!$C$33,IF(OR(D163="Credit period",D163="Superseded record"),Scoring!$C$35,Scoring!$C$34)))))</f>
        <v>8</v>
      </c>
      <c r="AF163" s="22" t="n">
        <f aca="false">IF(T163="Y",0,IF(ISNUMBER(V163),IF(Scoring!$B$4-V163&gt;15,Scoring!$C$36,IF(Scoring!$B$4-V163&gt;=10,Scoring!$C$37,IF(Scoring!$B$4-V163&gt;=5,Scoring!$C$38,Scoring!$C$39))),IF(OR(N163="",D163="Out of program"),Scoring!$C$40,IF(O163&gt;15,Scoring!$C$36,IF(O163&gt;=10,Scoring!$C$37,IF(O163&gt;=5,Scoring!$C$38,Scoring!$C$39))))))</f>
        <v>15</v>
      </c>
      <c r="AG163" s="22" t="n">
        <f aca="false">IF(T163="Y",0,IF(Y163="Y",Scoring!$C$41,IF(ISNUMBER(O163),IF(O163&gt;=25,Scoring!$C$42,IF(O163&gt;=15,Scoring!$C$43,Scoring!$C$44)),Scoring!$C$44)))</f>
        <v>8</v>
      </c>
      <c r="AH163" s="22" t="n">
        <f aca="false">IF(T163="Y",0,IF(W163="",Scoring!$C$49,IFERROR(VLOOKUP(W163,Scoring!$B$45:$C$48,2,FALSE()),Scoring!$C$49)))</f>
        <v>5</v>
      </c>
      <c r="AI163" s="23" t="n">
        <f aca="false">C163+IF(ISNUMBER(J163),J163,0)/100000+(10000-ROW())/1000000000</f>
        <v>64.000299837</v>
      </c>
      <c r="AJ163" s="18"/>
      <c r="AK163" s="18"/>
      <c r="AL163" s="18"/>
      <c r="AM163" s="18"/>
    </row>
    <row r="164" customFormat="false" ht="15" hidden="false" customHeight="false" outlineLevel="0" collapsed="false">
      <c r="A164" s="15" t="n">
        <f aca="false">RANK(AI164,$AI$2:$AI$755)</f>
        <v>163</v>
      </c>
      <c r="B164" s="16" t="str">
        <f aca="false">IF(T164="Y","Superseded",IF(C164&gt;=Scoring!$B$16,"Immediate",IF(C164&gt;=Scoring!$B$17,"This week",IF(C164&gt;=Scoring!$B$18,"Nurture","Low"))))</f>
        <v>This week</v>
      </c>
      <c r="C164" s="3" t="n">
        <f aca="false">SUM(AC164:AH164)</f>
        <v>64</v>
      </c>
      <c r="D164" s="15" t="str">
        <f aca="false">IF(T164="Y","Superseded record",IF(AND(U164&lt;&gt;"",AA164&lt;0),"Expired (verified)",IF(AND(U164&lt;&gt;"",AA164&lt;=Scoring!$B$5),"Expiring: notice window (verified)",IF(AND(U164&lt;&gt;"",AA164&lt;=Scoring!$B$6),"Expiring: 10-yr horizon (verified)",IF(M164="No Longer Monitored","Out of program",IF(N164="","Unknown vintage",IF(N164&lt;Scoring!$B$12,"Pre-1990, still listed",IF(AND(U164="",AA164&lt;0),"Past 30-yr mark (verify)",IF(AND(U164="",AA164&lt;=Scoring!$B$5),"30-yr mark: notice window (est.)",IF(AND(O164&gt;=Scoring!$B$7,O164&lt;=Scoring!$B$8),"Year-15 window",IF(O164&gt;=Scoring!$B$9,"Recap window",IF(O164&gt;=11,"Late compliance","Credit period"))))))))))))</f>
        <v>Past 30-yr mark (verify)</v>
      </c>
      <c r="E164" s="15" t="s">
        <v>723</v>
      </c>
      <c r="F164" s="15" t="s">
        <v>724</v>
      </c>
      <c r="G164" s="15" t="s">
        <v>725</v>
      </c>
      <c r="H164" s="15" t="s">
        <v>303</v>
      </c>
      <c r="I164" s="15" t="s">
        <v>304</v>
      </c>
      <c r="J164" s="15" t="n">
        <v>28</v>
      </c>
      <c r="K164" s="15" t="n">
        <v>28</v>
      </c>
      <c r="L164" s="15" t="n">
        <f aca="false">IF(OR(J164="",K164=""),"",MAX(J164-K164,0))</f>
        <v>0</v>
      </c>
      <c r="M164" s="15" t="s">
        <v>99</v>
      </c>
      <c r="N164" s="17" t="n">
        <v>1995</v>
      </c>
      <c r="O164" s="15" t="n">
        <f aca="false">IF(N164="","",Scoring!$B$4-N164)</f>
        <v>31</v>
      </c>
      <c r="P164" s="15" t="n">
        <f aca="false">IF(N164="","",N164+14)</f>
        <v>2009</v>
      </c>
      <c r="Q164" s="15" t="n">
        <f aca="false">IF(N164="","",IF(N164&lt;Scoring!$B$12,"n/a (pre-1990)",N164+Scoring!$B$13))</f>
        <v>2024</v>
      </c>
      <c r="R164" s="15" t="str">
        <f aca="false">IF(J164="","Unknown",IF(J164&gt;=5,"Yes","No (under 5 units)"))</f>
        <v>Yes</v>
      </c>
      <c r="S164" s="15"/>
      <c r="T164" s="18"/>
      <c r="U164" s="19"/>
      <c r="V164" s="18"/>
      <c r="W164" s="18"/>
      <c r="X164" s="20"/>
      <c r="Y164" s="18"/>
      <c r="Z164" s="18"/>
      <c r="AA164" s="21" t="n">
        <f aca="false">IF(U164&lt;&gt;"",(U164-Scoring!$B$3)/365.25,IF(N164="","",IF(N164&lt;Scoring!$B$12,"",(DATE(N164+Scoring!$B$13,12,31)-Scoring!$B$3)/365.25)))</f>
        <v>-1.75222450376454</v>
      </c>
      <c r="AB164" s="22" t="n">
        <f aca="false">IF(T164="Y",0,IF(OR(D164="Expired (verified)",D164="Expiring: notice window (verified)",D164="Expiring: 10-yr horizon (verified)",D164="Past 30-yr mark (verify)",D164="30-yr mark: notice window (est.)",D164="Year-15 window"),1,0)+IF(ISNUMBER(O164),IF(O164&gt;=Scoring!$B$10,1,0),0)+IF(AND(ISNUMBER(L164),ISNUMBER(J164)),IF(J164&gt;0,IF(L164/J164&gt;=Scoring!$B$11,1,0),0),0)+IF(ISNUMBER(Z164),MIN(Z164,3),0))</f>
        <v>2</v>
      </c>
      <c r="AC164" s="22" t="n">
        <f aca="false">IF(AB164&gt;=3,Scoring!$C$24,IF(AB164=2,Scoring!$C$23,IF(AB164=1,Scoring!$C$22,0)))</f>
        <v>18</v>
      </c>
      <c r="AD164" s="22" t="n">
        <f aca="false">IF(T164="Y",0,IF(ISNUMBER(X164),IF(X164&gt;0.7,Scoring!$C$25,IF(X164&gt;=0.5,Scoring!$C$26,IF(X164&gt;=0.3,Scoring!$C$27,Scoring!$C$28))),Scoring!$C$29))</f>
        <v>10</v>
      </c>
      <c r="AE164" s="22" t="n">
        <f aca="false">IF(D164="Expiring: notice window (verified)",Scoring!$C$30,IF(OR(D164="Expired (verified)",D164="30-yr mark: notice window (est.)",D164="Year-15 window"),Scoring!$C$31,IF(D164="Expiring: 10-yr horizon (verified)",Scoring!$C$32,IF(D164="Past 30-yr mark (verify)",Scoring!$C$33,IF(OR(D164="Credit period",D164="Superseded record"),Scoring!$C$35,Scoring!$C$34)))))</f>
        <v>8</v>
      </c>
      <c r="AF164" s="22" t="n">
        <f aca="false">IF(T164="Y",0,IF(ISNUMBER(V164),IF(Scoring!$B$4-V164&gt;15,Scoring!$C$36,IF(Scoring!$B$4-V164&gt;=10,Scoring!$C$37,IF(Scoring!$B$4-V164&gt;=5,Scoring!$C$38,Scoring!$C$39))),IF(OR(N164="",D164="Out of program"),Scoring!$C$40,IF(O164&gt;15,Scoring!$C$36,IF(O164&gt;=10,Scoring!$C$37,IF(O164&gt;=5,Scoring!$C$38,Scoring!$C$39))))))</f>
        <v>15</v>
      </c>
      <c r="AG164" s="22" t="n">
        <f aca="false">IF(T164="Y",0,IF(Y164="Y",Scoring!$C$41,IF(ISNUMBER(O164),IF(O164&gt;=25,Scoring!$C$42,IF(O164&gt;=15,Scoring!$C$43,Scoring!$C$44)),Scoring!$C$44)))</f>
        <v>8</v>
      </c>
      <c r="AH164" s="22" t="n">
        <f aca="false">IF(T164="Y",0,IF(W164="",Scoring!$C$49,IFERROR(VLOOKUP(W164,Scoring!$B$45:$C$48,2,FALSE()),Scoring!$C$49)))</f>
        <v>5</v>
      </c>
      <c r="AI164" s="23" t="n">
        <f aca="false">C164+IF(ISNUMBER(J164),J164,0)/100000+(10000-ROW())/1000000000</f>
        <v>64.000289836</v>
      </c>
      <c r="AJ164" s="18"/>
      <c r="AK164" s="18"/>
      <c r="AL164" s="18"/>
      <c r="AM164" s="18"/>
    </row>
    <row r="165" customFormat="false" ht="15" hidden="false" customHeight="false" outlineLevel="0" collapsed="false">
      <c r="A165" s="15" t="n">
        <f aca="false">RANK(AI165,$AI$2:$AI$755)</f>
        <v>164</v>
      </c>
      <c r="B165" s="16" t="str">
        <f aca="false">IF(T165="Y","Superseded",IF(C165&gt;=Scoring!$B$16,"Immediate",IF(C165&gt;=Scoring!$B$17,"This week",IF(C165&gt;=Scoring!$B$18,"Nurture","Low"))))</f>
        <v>This week</v>
      </c>
      <c r="C165" s="3" t="n">
        <f aca="false">SUM(AC165:AH165)</f>
        <v>64</v>
      </c>
      <c r="D165" s="15" t="str">
        <f aca="false">IF(T165="Y","Superseded record",IF(AND(U165&lt;&gt;"",AA165&lt;0),"Expired (verified)",IF(AND(U165&lt;&gt;"",AA165&lt;=Scoring!$B$5),"Expiring: notice window (verified)",IF(AND(U165&lt;&gt;"",AA165&lt;=Scoring!$B$6),"Expiring: 10-yr horizon (verified)",IF(M165="No Longer Monitored","Out of program",IF(N165="","Unknown vintage",IF(N165&lt;Scoring!$B$12,"Pre-1990, still listed",IF(AND(U165="",AA165&lt;0),"Past 30-yr mark (verify)",IF(AND(U165="",AA165&lt;=Scoring!$B$5),"30-yr mark: notice window (est.)",IF(AND(O165&gt;=Scoring!$B$7,O165&lt;=Scoring!$B$8),"Year-15 window",IF(O165&gt;=Scoring!$B$9,"Recap window",IF(O165&gt;=11,"Late compliance","Credit period"))))))))))))</f>
        <v>Past 30-yr mark (verify)</v>
      </c>
      <c r="E165" s="15" t="s">
        <v>726</v>
      </c>
      <c r="F165" s="15" t="s">
        <v>727</v>
      </c>
      <c r="G165" s="15" t="s">
        <v>728</v>
      </c>
      <c r="H165" s="15" t="s">
        <v>97</v>
      </c>
      <c r="I165" s="15" t="s">
        <v>729</v>
      </c>
      <c r="J165" s="15" t="n">
        <v>26</v>
      </c>
      <c r="K165" s="15" t="n">
        <v>26</v>
      </c>
      <c r="L165" s="15" t="n">
        <f aca="false">IF(OR(J165="",K165=""),"",MAX(J165-K165,0))</f>
        <v>0</v>
      </c>
      <c r="M165" s="15" t="s">
        <v>99</v>
      </c>
      <c r="N165" s="17" t="n">
        <v>1990</v>
      </c>
      <c r="O165" s="15" t="n">
        <f aca="false">IF(N165="","",Scoring!$B$4-N165)</f>
        <v>36</v>
      </c>
      <c r="P165" s="15" t="n">
        <f aca="false">IF(N165="","",N165+14)</f>
        <v>2004</v>
      </c>
      <c r="Q165" s="15" t="n">
        <f aca="false">IF(N165="","",IF(N165&lt;Scoring!$B$12,"n/a (pre-1990)",N165+Scoring!$B$13))</f>
        <v>2019</v>
      </c>
      <c r="R165" s="15" t="str">
        <f aca="false">IF(J165="","Unknown",IF(J165&gt;=5,"Yes","No (under 5 units)"))</f>
        <v>Yes</v>
      </c>
      <c r="S165" s="15"/>
      <c r="T165" s="18"/>
      <c r="U165" s="19"/>
      <c r="V165" s="18"/>
      <c r="W165" s="18"/>
      <c r="X165" s="20"/>
      <c r="Y165" s="18"/>
      <c r="Z165" s="18"/>
      <c r="AA165" s="21" t="n">
        <f aca="false">IF(U165&lt;&gt;"",(U165-Scoring!$B$3)/365.25,IF(N165="","",IF(N165&lt;Scoring!$B$12,"",(DATE(N165+Scoring!$B$13,12,31)-Scoring!$B$3)/365.25)))</f>
        <v>-6.75427789185489</v>
      </c>
      <c r="AB165" s="22" t="n">
        <f aca="false">IF(T165="Y",0,IF(OR(D165="Expired (verified)",D165="Expiring: notice window (verified)",D165="Expiring: 10-yr horizon (verified)",D165="Past 30-yr mark (verify)",D165="30-yr mark: notice window (est.)",D165="Year-15 window"),1,0)+IF(ISNUMBER(O165),IF(O165&gt;=Scoring!$B$10,1,0),0)+IF(AND(ISNUMBER(L165),ISNUMBER(J165)),IF(J165&gt;0,IF(L165/J165&gt;=Scoring!$B$11,1,0),0),0)+IF(ISNUMBER(Z165),MIN(Z165,3),0))</f>
        <v>2</v>
      </c>
      <c r="AC165" s="22" t="n">
        <f aca="false">IF(AB165&gt;=3,Scoring!$C$24,IF(AB165=2,Scoring!$C$23,IF(AB165=1,Scoring!$C$22,0)))</f>
        <v>18</v>
      </c>
      <c r="AD165" s="22" t="n">
        <f aca="false">IF(T165="Y",0,IF(ISNUMBER(X165),IF(X165&gt;0.7,Scoring!$C$25,IF(X165&gt;=0.5,Scoring!$C$26,IF(X165&gt;=0.3,Scoring!$C$27,Scoring!$C$28))),Scoring!$C$29))</f>
        <v>10</v>
      </c>
      <c r="AE165" s="22" t="n">
        <f aca="false">IF(D165="Expiring: notice window (verified)",Scoring!$C$30,IF(OR(D165="Expired (verified)",D165="30-yr mark: notice window (est.)",D165="Year-15 window"),Scoring!$C$31,IF(D165="Expiring: 10-yr horizon (verified)",Scoring!$C$32,IF(D165="Past 30-yr mark (verify)",Scoring!$C$33,IF(OR(D165="Credit period",D165="Superseded record"),Scoring!$C$35,Scoring!$C$34)))))</f>
        <v>8</v>
      </c>
      <c r="AF165" s="22" t="n">
        <f aca="false">IF(T165="Y",0,IF(ISNUMBER(V165),IF(Scoring!$B$4-V165&gt;15,Scoring!$C$36,IF(Scoring!$B$4-V165&gt;=10,Scoring!$C$37,IF(Scoring!$B$4-V165&gt;=5,Scoring!$C$38,Scoring!$C$39))),IF(OR(N165="",D165="Out of program"),Scoring!$C$40,IF(O165&gt;15,Scoring!$C$36,IF(O165&gt;=10,Scoring!$C$37,IF(O165&gt;=5,Scoring!$C$38,Scoring!$C$39))))))</f>
        <v>15</v>
      </c>
      <c r="AG165" s="22" t="n">
        <f aca="false">IF(T165="Y",0,IF(Y165="Y",Scoring!$C$41,IF(ISNUMBER(O165),IF(O165&gt;=25,Scoring!$C$42,IF(O165&gt;=15,Scoring!$C$43,Scoring!$C$44)),Scoring!$C$44)))</f>
        <v>8</v>
      </c>
      <c r="AH165" s="22" t="n">
        <f aca="false">IF(T165="Y",0,IF(W165="",Scoring!$C$49,IFERROR(VLOOKUP(W165,Scoring!$B$45:$C$48,2,FALSE()),Scoring!$C$49)))</f>
        <v>5</v>
      </c>
      <c r="AI165" s="23" t="n">
        <f aca="false">C165+IF(ISNUMBER(J165),J165,0)/100000+(10000-ROW())/1000000000</f>
        <v>64.000269835</v>
      </c>
      <c r="AJ165" s="18"/>
      <c r="AK165" s="18"/>
      <c r="AL165" s="18"/>
      <c r="AM165" s="18"/>
    </row>
    <row r="166" customFormat="false" ht="15" hidden="false" customHeight="false" outlineLevel="0" collapsed="false">
      <c r="A166" s="15" t="n">
        <f aca="false">RANK(AI166,$AI$2:$AI$755)</f>
        <v>165</v>
      </c>
      <c r="B166" s="16" t="str">
        <f aca="false">IF(T166="Y","Superseded",IF(C166&gt;=Scoring!$B$16,"Immediate",IF(C166&gt;=Scoring!$B$17,"This week",IF(C166&gt;=Scoring!$B$18,"Nurture","Low"))))</f>
        <v>This week</v>
      </c>
      <c r="C166" s="3" t="n">
        <f aca="false">SUM(AC166:AH166)</f>
        <v>64</v>
      </c>
      <c r="D166" s="15" t="str">
        <f aca="false">IF(T166="Y","Superseded record",IF(AND(U166&lt;&gt;"",AA166&lt;0),"Expired (verified)",IF(AND(U166&lt;&gt;"",AA166&lt;=Scoring!$B$5),"Expiring: notice window (verified)",IF(AND(U166&lt;&gt;"",AA166&lt;=Scoring!$B$6),"Expiring: 10-yr horizon (verified)",IF(M166="No Longer Monitored","Out of program",IF(N166="","Unknown vintage",IF(N166&lt;Scoring!$B$12,"Pre-1990, still listed",IF(AND(U166="",AA166&lt;0),"Past 30-yr mark (verify)",IF(AND(U166="",AA166&lt;=Scoring!$B$5),"30-yr mark: notice window (est.)",IF(AND(O166&gt;=Scoring!$B$7,O166&lt;=Scoring!$B$8),"Year-15 window",IF(O166&gt;=Scoring!$B$9,"Recap window",IF(O166&gt;=11,"Late compliance","Credit period"))))))))))))</f>
        <v>Past 30-yr mark (verify)</v>
      </c>
      <c r="E166" s="15" t="s">
        <v>730</v>
      </c>
      <c r="F166" s="15" t="s">
        <v>731</v>
      </c>
      <c r="G166" s="15" t="s">
        <v>732</v>
      </c>
      <c r="H166" s="15" t="s">
        <v>240</v>
      </c>
      <c r="I166" s="15" t="s">
        <v>733</v>
      </c>
      <c r="J166" s="15" t="n">
        <v>26</v>
      </c>
      <c r="K166" s="15" t="n">
        <v>26</v>
      </c>
      <c r="L166" s="15" t="n">
        <f aca="false">IF(OR(J166="",K166=""),"",MAX(J166-K166,0))</f>
        <v>0</v>
      </c>
      <c r="M166" s="15" t="s">
        <v>99</v>
      </c>
      <c r="N166" s="17" t="n">
        <v>1994</v>
      </c>
      <c r="O166" s="15" t="n">
        <f aca="false">IF(N166="","",Scoring!$B$4-N166)</f>
        <v>32</v>
      </c>
      <c r="P166" s="15" t="n">
        <f aca="false">IF(N166="","",N166+14)</f>
        <v>2008</v>
      </c>
      <c r="Q166" s="15" t="n">
        <f aca="false">IF(N166="","",IF(N166&lt;Scoring!$B$12,"n/a (pre-1990)",N166+Scoring!$B$13))</f>
        <v>2023</v>
      </c>
      <c r="R166" s="15" t="str">
        <f aca="false">IF(J166="","Unknown",IF(J166&gt;=5,"Yes","No (under 5 units)"))</f>
        <v>Yes</v>
      </c>
      <c r="S166" s="15"/>
      <c r="T166" s="18"/>
      <c r="U166" s="19"/>
      <c r="V166" s="18"/>
      <c r="W166" s="18"/>
      <c r="X166" s="20"/>
      <c r="Y166" s="18"/>
      <c r="Z166" s="18"/>
      <c r="AA166" s="21" t="n">
        <f aca="false">IF(U166&lt;&gt;"",(U166-Scoring!$B$3)/365.25,IF(N166="","",IF(N166&lt;Scoring!$B$12,"",(DATE(N166+Scoring!$B$13,12,31)-Scoring!$B$3)/365.25)))</f>
        <v>-2.75427789185489</v>
      </c>
      <c r="AB166" s="22" t="n">
        <f aca="false">IF(T166="Y",0,IF(OR(D166="Expired (verified)",D166="Expiring: notice window (verified)",D166="Expiring: 10-yr horizon (verified)",D166="Past 30-yr mark (verify)",D166="30-yr mark: notice window (est.)",D166="Year-15 window"),1,0)+IF(ISNUMBER(O166),IF(O166&gt;=Scoring!$B$10,1,0),0)+IF(AND(ISNUMBER(L166),ISNUMBER(J166)),IF(J166&gt;0,IF(L166/J166&gt;=Scoring!$B$11,1,0),0),0)+IF(ISNUMBER(Z166),MIN(Z166,3),0))</f>
        <v>2</v>
      </c>
      <c r="AC166" s="22" t="n">
        <f aca="false">IF(AB166&gt;=3,Scoring!$C$24,IF(AB166=2,Scoring!$C$23,IF(AB166=1,Scoring!$C$22,0)))</f>
        <v>18</v>
      </c>
      <c r="AD166" s="22" t="n">
        <f aca="false">IF(T166="Y",0,IF(ISNUMBER(X166),IF(X166&gt;0.7,Scoring!$C$25,IF(X166&gt;=0.5,Scoring!$C$26,IF(X166&gt;=0.3,Scoring!$C$27,Scoring!$C$28))),Scoring!$C$29))</f>
        <v>10</v>
      </c>
      <c r="AE166" s="22" t="n">
        <f aca="false">IF(D166="Expiring: notice window (verified)",Scoring!$C$30,IF(OR(D166="Expired (verified)",D166="30-yr mark: notice window (est.)",D166="Year-15 window"),Scoring!$C$31,IF(D166="Expiring: 10-yr horizon (verified)",Scoring!$C$32,IF(D166="Past 30-yr mark (verify)",Scoring!$C$33,IF(OR(D166="Credit period",D166="Superseded record"),Scoring!$C$35,Scoring!$C$34)))))</f>
        <v>8</v>
      </c>
      <c r="AF166" s="22" t="n">
        <f aca="false">IF(T166="Y",0,IF(ISNUMBER(V166),IF(Scoring!$B$4-V166&gt;15,Scoring!$C$36,IF(Scoring!$B$4-V166&gt;=10,Scoring!$C$37,IF(Scoring!$B$4-V166&gt;=5,Scoring!$C$38,Scoring!$C$39))),IF(OR(N166="",D166="Out of program"),Scoring!$C$40,IF(O166&gt;15,Scoring!$C$36,IF(O166&gt;=10,Scoring!$C$37,IF(O166&gt;=5,Scoring!$C$38,Scoring!$C$39))))))</f>
        <v>15</v>
      </c>
      <c r="AG166" s="22" t="n">
        <f aca="false">IF(T166="Y",0,IF(Y166="Y",Scoring!$C$41,IF(ISNUMBER(O166),IF(O166&gt;=25,Scoring!$C$42,IF(O166&gt;=15,Scoring!$C$43,Scoring!$C$44)),Scoring!$C$44)))</f>
        <v>8</v>
      </c>
      <c r="AH166" s="22" t="n">
        <f aca="false">IF(T166="Y",0,IF(W166="",Scoring!$C$49,IFERROR(VLOOKUP(W166,Scoring!$B$45:$C$48,2,FALSE()),Scoring!$C$49)))</f>
        <v>5</v>
      </c>
      <c r="AI166" s="23" t="n">
        <f aca="false">C166+IF(ISNUMBER(J166),J166,0)/100000+(10000-ROW())/1000000000</f>
        <v>64.000269834</v>
      </c>
      <c r="AJ166" s="18"/>
      <c r="AK166" s="18"/>
      <c r="AL166" s="18"/>
      <c r="AM166" s="18"/>
    </row>
    <row r="167" customFormat="false" ht="15" hidden="false" customHeight="false" outlineLevel="0" collapsed="false">
      <c r="A167" s="15" t="n">
        <f aca="false">RANK(AI167,$AI$2:$AI$755)</f>
        <v>166</v>
      </c>
      <c r="B167" s="16" t="str">
        <f aca="false">IF(T167="Y","Superseded",IF(C167&gt;=Scoring!$B$16,"Immediate",IF(C167&gt;=Scoring!$B$17,"This week",IF(C167&gt;=Scoring!$B$18,"Nurture","Low"))))</f>
        <v>This week</v>
      </c>
      <c r="C167" s="3" t="n">
        <f aca="false">SUM(AC167:AH167)</f>
        <v>64</v>
      </c>
      <c r="D167" s="15" t="str">
        <f aca="false">IF(T167="Y","Superseded record",IF(AND(U167&lt;&gt;"",AA167&lt;0),"Expired (verified)",IF(AND(U167&lt;&gt;"",AA167&lt;=Scoring!$B$5),"Expiring: notice window (verified)",IF(AND(U167&lt;&gt;"",AA167&lt;=Scoring!$B$6),"Expiring: 10-yr horizon (verified)",IF(M167="No Longer Monitored","Out of program",IF(N167="","Unknown vintage",IF(N167&lt;Scoring!$B$12,"Pre-1990, still listed",IF(AND(U167="",AA167&lt;0),"Past 30-yr mark (verify)",IF(AND(U167="",AA167&lt;=Scoring!$B$5),"30-yr mark: notice window (est.)",IF(AND(O167&gt;=Scoring!$B$7,O167&lt;=Scoring!$B$8),"Year-15 window",IF(O167&gt;=Scoring!$B$9,"Recap window",IF(O167&gt;=11,"Late compliance","Credit period"))))))))))))</f>
        <v>Past 30-yr mark (verify)</v>
      </c>
      <c r="E167" s="15" t="s">
        <v>734</v>
      </c>
      <c r="F167" s="15" t="s">
        <v>735</v>
      </c>
      <c r="G167" s="15" t="s">
        <v>736</v>
      </c>
      <c r="H167" s="15" t="s">
        <v>141</v>
      </c>
      <c r="I167" s="15" t="s">
        <v>142</v>
      </c>
      <c r="J167" s="15" t="n">
        <v>25</v>
      </c>
      <c r="K167" s="15" t="n">
        <v>25</v>
      </c>
      <c r="L167" s="15" t="n">
        <f aca="false">IF(OR(J167="",K167=""),"",MAX(J167-K167,0))</f>
        <v>0</v>
      </c>
      <c r="M167" s="15" t="s">
        <v>99</v>
      </c>
      <c r="N167" s="17" t="n">
        <v>1994</v>
      </c>
      <c r="O167" s="15" t="n">
        <f aca="false">IF(N167="","",Scoring!$B$4-N167)</f>
        <v>32</v>
      </c>
      <c r="P167" s="15" t="n">
        <f aca="false">IF(N167="","",N167+14)</f>
        <v>2008</v>
      </c>
      <c r="Q167" s="15" t="n">
        <f aca="false">IF(N167="","",IF(N167&lt;Scoring!$B$12,"n/a (pre-1990)",N167+Scoring!$B$13))</f>
        <v>2023</v>
      </c>
      <c r="R167" s="15" t="str">
        <f aca="false">IF(J167="","Unknown",IF(J167&gt;=5,"Yes","No (under 5 units)"))</f>
        <v>Yes</v>
      </c>
      <c r="S167" s="15"/>
      <c r="T167" s="18"/>
      <c r="U167" s="19"/>
      <c r="V167" s="18"/>
      <c r="W167" s="18"/>
      <c r="X167" s="20"/>
      <c r="Y167" s="18"/>
      <c r="Z167" s="18"/>
      <c r="AA167" s="21" t="n">
        <f aca="false">IF(U167&lt;&gt;"",(U167-Scoring!$B$3)/365.25,IF(N167="","",IF(N167&lt;Scoring!$B$12,"",(DATE(N167+Scoring!$B$13,12,31)-Scoring!$B$3)/365.25)))</f>
        <v>-2.75427789185489</v>
      </c>
      <c r="AB167" s="22" t="n">
        <f aca="false">IF(T167="Y",0,IF(OR(D167="Expired (verified)",D167="Expiring: notice window (verified)",D167="Expiring: 10-yr horizon (verified)",D167="Past 30-yr mark (verify)",D167="30-yr mark: notice window (est.)",D167="Year-15 window"),1,0)+IF(ISNUMBER(O167),IF(O167&gt;=Scoring!$B$10,1,0),0)+IF(AND(ISNUMBER(L167),ISNUMBER(J167)),IF(J167&gt;0,IF(L167/J167&gt;=Scoring!$B$11,1,0),0),0)+IF(ISNUMBER(Z167),MIN(Z167,3),0))</f>
        <v>2</v>
      </c>
      <c r="AC167" s="22" t="n">
        <f aca="false">IF(AB167&gt;=3,Scoring!$C$24,IF(AB167=2,Scoring!$C$23,IF(AB167=1,Scoring!$C$22,0)))</f>
        <v>18</v>
      </c>
      <c r="AD167" s="22" t="n">
        <f aca="false">IF(T167="Y",0,IF(ISNUMBER(X167),IF(X167&gt;0.7,Scoring!$C$25,IF(X167&gt;=0.5,Scoring!$C$26,IF(X167&gt;=0.3,Scoring!$C$27,Scoring!$C$28))),Scoring!$C$29))</f>
        <v>10</v>
      </c>
      <c r="AE167" s="22" t="n">
        <f aca="false">IF(D167="Expiring: notice window (verified)",Scoring!$C$30,IF(OR(D167="Expired (verified)",D167="30-yr mark: notice window (est.)",D167="Year-15 window"),Scoring!$C$31,IF(D167="Expiring: 10-yr horizon (verified)",Scoring!$C$32,IF(D167="Past 30-yr mark (verify)",Scoring!$C$33,IF(OR(D167="Credit period",D167="Superseded record"),Scoring!$C$35,Scoring!$C$34)))))</f>
        <v>8</v>
      </c>
      <c r="AF167" s="22" t="n">
        <f aca="false">IF(T167="Y",0,IF(ISNUMBER(V167),IF(Scoring!$B$4-V167&gt;15,Scoring!$C$36,IF(Scoring!$B$4-V167&gt;=10,Scoring!$C$37,IF(Scoring!$B$4-V167&gt;=5,Scoring!$C$38,Scoring!$C$39))),IF(OR(N167="",D167="Out of program"),Scoring!$C$40,IF(O167&gt;15,Scoring!$C$36,IF(O167&gt;=10,Scoring!$C$37,IF(O167&gt;=5,Scoring!$C$38,Scoring!$C$39))))))</f>
        <v>15</v>
      </c>
      <c r="AG167" s="22" t="n">
        <f aca="false">IF(T167="Y",0,IF(Y167="Y",Scoring!$C$41,IF(ISNUMBER(O167),IF(O167&gt;=25,Scoring!$C$42,IF(O167&gt;=15,Scoring!$C$43,Scoring!$C$44)),Scoring!$C$44)))</f>
        <v>8</v>
      </c>
      <c r="AH167" s="22" t="n">
        <f aca="false">IF(T167="Y",0,IF(W167="",Scoring!$C$49,IFERROR(VLOOKUP(W167,Scoring!$B$45:$C$48,2,FALSE()),Scoring!$C$49)))</f>
        <v>5</v>
      </c>
      <c r="AI167" s="23" t="n">
        <f aca="false">C167+IF(ISNUMBER(J167),J167,0)/100000+(10000-ROW())/1000000000</f>
        <v>64.000259833</v>
      </c>
      <c r="AJ167" s="18"/>
      <c r="AK167" s="18"/>
      <c r="AL167" s="18"/>
      <c r="AM167" s="18"/>
    </row>
    <row r="168" customFormat="false" ht="15" hidden="false" customHeight="false" outlineLevel="0" collapsed="false">
      <c r="A168" s="15" t="n">
        <f aca="false">RANK(AI168,$AI$2:$AI$755)</f>
        <v>167</v>
      </c>
      <c r="B168" s="16" t="str">
        <f aca="false">IF(T168="Y","Superseded",IF(C168&gt;=Scoring!$B$16,"Immediate",IF(C168&gt;=Scoring!$B$17,"This week",IF(C168&gt;=Scoring!$B$18,"Nurture","Low"))))</f>
        <v>This week</v>
      </c>
      <c r="C168" s="3" t="n">
        <f aca="false">SUM(AC168:AH168)</f>
        <v>64</v>
      </c>
      <c r="D168" s="15" t="str">
        <f aca="false">IF(T168="Y","Superseded record",IF(AND(U168&lt;&gt;"",AA168&lt;0),"Expired (verified)",IF(AND(U168&lt;&gt;"",AA168&lt;=Scoring!$B$5),"Expiring: notice window (verified)",IF(AND(U168&lt;&gt;"",AA168&lt;=Scoring!$B$6),"Expiring: 10-yr horizon (verified)",IF(M168="No Longer Monitored","Out of program",IF(N168="","Unknown vintage",IF(N168&lt;Scoring!$B$12,"Pre-1990, still listed",IF(AND(U168="",AA168&lt;0),"Past 30-yr mark (verify)",IF(AND(U168="",AA168&lt;=Scoring!$B$5),"30-yr mark: notice window (est.)",IF(AND(O168&gt;=Scoring!$B$7,O168&lt;=Scoring!$B$8),"Year-15 window",IF(O168&gt;=Scoring!$B$9,"Recap window",IF(O168&gt;=11,"Late compliance","Credit period"))))))))))))</f>
        <v>Past 30-yr mark (verify)</v>
      </c>
      <c r="E168" s="15" t="s">
        <v>737</v>
      </c>
      <c r="F168" s="15" t="s">
        <v>738</v>
      </c>
      <c r="G168" s="15" t="s">
        <v>739</v>
      </c>
      <c r="H168" s="15" t="s">
        <v>232</v>
      </c>
      <c r="I168" s="15" t="s">
        <v>640</v>
      </c>
      <c r="J168" s="15" t="n">
        <v>25</v>
      </c>
      <c r="K168" s="15" t="n">
        <v>25</v>
      </c>
      <c r="L168" s="15" t="n">
        <f aca="false">IF(OR(J168="",K168=""),"",MAX(J168-K168,0))</f>
        <v>0</v>
      </c>
      <c r="M168" s="15" t="s">
        <v>99</v>
      </c>
      <c r="N168" s="17" t="n">
        <v>1996</v>
      </c>
      <c r="O168" s="15" t="n">
        <f aca="false">IF(N168="","",Scoring!$B$4-N168)</f>
        <v>30</v>
      </c>
      <c r="P168" s="15" t="n">
        <f aca="false">IF(N168="","",N168+14)</f>
        <v>2010</v>
      </c>
      <c r="Q168" s="15" t="n">
        <f aca="false">IF(N168="","",IF(N168&lt;Scoring!$B$12,"n/a (pre-1990)",N168+Scoring!$B$13))</f>
        <v>2025</v>
      </c>
      <c r="R168" s="15" t="str">
        <f aca="false">IF(J168="","Unknown",IF(J168&gt;=5,"Yes","No (under 5 units)"))</f>
        <v>Yes</v>
      </c>
      <c r="S168" s="15"/>
      <c r="T168" s="18"/>
      <c r="U168" s="19"/>
      <c r="V168" s="18"/>
      <c r="W168" s="18"/>
      <c r="X168" s="20"/>
      <c r="Y168" s="18"/>
      <c r="Z168" s="18"/>
      <c r="AA168" s="21" t="n">
        <f aca="false">IF(U168&lt;&gt;"",(U168-Scoring!$B$3)/365.25,IF(N168="","",IF(N168&lt;Scoring!$B$12,"",(DATE(N168+Scoring!$B$13,12,31)-Scoring!$B$3)/365.25)))</f>
        <v>-0.752908966461328</v>
      </c>
      <c r="AB168" s="22" t="n">
        <f aca="false">IF(T168="Y",0,IF(OR(D168="Expired (verified)",D168="Expiring: notice window (verified)",D168="Expiring: 10-yr horizon (verified)",D168="Past 30-yr mark (verify)",D168="30-yr mark: notice window (est.)",D168="Year-15 window"),1,0)+IF(ISNUMBER(O168),IF(O168&gt;=Scoring!$B$10,1,0),0)+IF(AND(ISNUMBER(L168),ISNUMBER(J168)),IF(J168&gt;0,IF(L168/J168&gt;=Scoring!$B$11,1,0),0),0)+IF(ISNUMBER(Z168),MIN(Z168,3),0))</f>
        <v>2</v>
      </c>
      <c r="AC168" s="22" t="n">
        <f aca="false">IF(AB168&gt;=3,Scoring!$C$24,IF(AB168=2,Scoring!$C$23,IF(AB168=1,Scoring!$C$22,0)))</f>
        <v>18</v>
      </c>
      <c r="AD168" s="22" t="n">
        <f aca="false">IF(T168="Y",0,IF(ISNUMBER(X168),IF(X168&gt;0.7,Scoring!$C$25,IF(X168&gt;=0.5,Scoring!$C$26,IF(X168&gt;=0.3,Scoring!$C$27,Scoring!$C$28))),Scoring!$C$29))</f>
        <v>10</v>
      </c>
      <c r="AE168" s="22" t="n">
        <f aca="false">IF(D168="Expiring: notice window (verified)",Scoring!$C$30,IF(OR(D168="Expired (verified)",D168="30-yr mark: notice window (est.)",D168="Year-15 window"),Scoring!$C$31,IF(D168="Expiring: 10-yr horizon (verified)",Scoring!$C$32,IF(D168="Past 30-yr mark (verify)",Scoring!$C$33,IF(OR(D168="Credit period",D168="Superseded record"),Scoring!$C$35,Scoring!$C$34)))))</f>
        <v>8</v>
      </c>
      <c r="AF168" s="22" t="n">
        <f aca="false">IF(T168="Y",0,IF(ISNUMBER(V168),IF(Scoring!$B$4-V168&gt;15,Scoring!$C$36,IF(Scoring!$B$4-V168&gt;=10,Scoring!$C$37,IF(Scoring!$B$4-V168&gt;=5,Scoring!$C$38,Scoring!$C$39))),IF(OR(N168="",D168="Out of program"),Scoring!$C$40,IF(O168&gt;15,Scoring!$C$36,IF(O168&gt;=10,Scoring!$C$37,IF(O168&gt;=5,Scoring!$C$38,Scoring!$C$39))))))</f>
        <v>15</v>
      </c>
      <c r="AG168" s="22" t="n">
        <f aca="false">IF(T168="Y",0,IF(Y168="Y",Scoring!$C$41,IF(ISNUMBER(O168),IF(O168&gt;=25,Scoring!$C$42,IF(O168&gt;=15,Scoring!$C$43,Scoring!$C$44)),Scoring!$C$44)))</f>
        <v>8</v>
      </c>
      <c r="AH168" s="22" t="n">
        <f aca="false">IF(T168="Y",0,IF(W168="",Scoring!$C$49,IFERROR(VLOOKUP(W168,Scoring!$B$45:$C$48,2,FALSE()),Scoring!$C$49)))</f>
        <v>5</v>
      </c>
      <c r="AI168" s="23" t="n">
        <f aca="false">C168+IF(ISNUMBER(J168),J168,0)/100000+(10000-ROW())/1000000000</f>
        <v>64.000259832</v>
      </c>
      <c r="AJ168" s="18"/>
      <c r="AK168" s="18"/>
      <c r="AL168" s="18"/>
      <c r="AM168" s="18"/>
    </row>
    <row r="169" customFormat="false" ht="15" hidden="false" customHeight="false" outlineLevel="0" collapsed="false">
      <c r="A169" s="15" t="n">
        <f aca="false">RANK(AI169,$AI$2:$AI$755)</f>
        <v>168</v>
      </c>
      <c r="B169" s="16" t="str">
        <f aca="false">IF(T169="Y","Superseded",IF(C169&gt;=Scoring!$B$16,"Immediate",IF(C169&gt;=Scoring!$B$17,"This week",IF(C169&gt;=Scoring!$B$18,"Nurture","Low"))))</f>
        <v>This week</v>
      </c>
      <c r="C169" s="3" t="n">
        <f aca="false">SUM(AC169:AH169)</f>
        <v>64</v>
      </c>
      <c r="D169" s="15" t="str">
        <f aca="false">IF(T169="Y","Superseded record",IF(AND(U169&lt;&gt;"",AA169&lt;0),"Expired (verified)",IF(AND(U169&lt;&gt;"",AA169&lt;=Scoring!$B$5),"Expiring: notice window (verified)",IF(AND(U169&lt;&gt;"",AA169&lt;=Scoring!$B$6),"Expiring: 10-yr horizon (verified)",IF(M169="No Longer Monitored","Out of program",IF(N169="","Unknown vintage",IF(N169&lt;Scoring!$B$12,"Pre-1990, still listed",IF(AND(U169="",AA169&lt;0),"Past 30-yr mark (verify)",IF(AND(U169="",AA169&lt;=Scoring!$B$5),"30-yr mark: notice window (est.)",IF(AND(O169&gt;=Scoring!$B$7,O169&lt;=Scoring!$B$8),"Year-15 window",IF(O169&gt;=Scoring!$B$9,"Recap window",IF(O169&gt;=11,"Late compliance","Credit period"))))))))))))</f>
        <v>Past 30-yr mark (verify)</v>
      </c>
      <c r="E169" s="15" t="s">
        <v>740</v>
      </c>
      <c r="F169" s="15" t="s">
        <v>741</v>
      </c>
      <c r="G169" s="15" t="s">
        <v>742</v>
      </c>
      <c r="H169" s="15" t="s">
        <v>743</v>
      </c>
      <c r="I169" s="15" t="s">
        <v>744</v>
      </c>
      <c r="J169" s="15" t="n">
        <v>24</v>
      </c>
      <c r="K169" s="15" t="n">
        <v>24</v>
      </c>
      <c r="L169" s="15" t="n">
        <f aca="false">IF(OR(J169="",K169=""),"",MAX(J169-K169,0))</f>
        <v>0</v>
      </c>
      <c r="M169" s="15" t="s">
        <v>99</v>
      </c>
      <c r="N169" s="17" t="n">
        <v>1991</v>
      </c>
      <c r="O169" s="15" t="n">
        <f aca="false">IF(N169="","",Scoring!$B$4-N169)</f>
        <v>35</v>
      </c>
      <c r="P169" s="15" t="n">
        <f aca="false">IF(N169="","",N169+14)</f>
        <v>2005</v>
      </c>
      <c r="Q169" s="15" t="n">
        <f aca="false">IF(N169="","",IF(N169&lt;Scoring!$B$12,"n/a (pre-1990)",N169+Scoring!$B$13))</f>
        <v>2020</v>
      </c>
      <c r="R169" s="15" t="str">
        <f aca="false">IF(J169="","Unknown",IF(J169&gt;=5,"Yes","No (under 5 units)"))</f>
        <v>Yes</v>
      </c>
      <c r="S169" s="15"/>
      <c r="T169" s="18"/>
      <c r="U169" s="19"/>
      <c r="V169" s="18"/>
      <c r="W169" s="18"/>
      <c r="X169" s="20"/>
      <c r="Y169" s="18"/>
      <c r="Z169" s="18"/>
      <c r="AA169" s="21" t="n">
        <f aca="false">IF(U169&lt;&gt;"",(U169-Scoring!$B$3)/365.25,IF(N169="","",IF(N169&lt;Scoring!$B$12,"",(DATE(N169+Scoring!$B$13,12,31)-Scoring!$B$3)/365.25)))</f>
        <v>-5.75222450376455</v>
      </c>
      <c r="AB169" s="22" t="n">
        <f aca="false">IF(T169="Y",0,IF(OR(D169="Expired (verified)",D169="Expiring: notice window (verified)",D169="Expiring: 10-yr horizon (verified)",D169="Past 30-yr mark (verify)",D169="30-yr mark: notice window (est.)",D169="Year-15 window"),1,0)+IF(ISNUMBER(O169),IF(O169&gt;=Scoring!$B$10,1,0),0)+IF(AND(ISNUMBER(L169),ISNUMBER(J169)),IF(J169&gt;0,IF(L169/J169&gt;=Scoring!$B$11,1,0),0),0)+IF(ISNUMBER(Z169),MIN(Z169,3),0))</f>
        <v>2</v>
      </c>
      <c r="AC169" s="22" t="n">
        <f aca="false">IF(AB169&gt;=3,Scoring!$C$24,IF(AB169=2,Scoring!$C$23,IF(AB169=1,Scoring!$C$22,0)))</f>
        <v>18</v>
      </c>
      <c r="AD169" s="22" t="n">
        <f aca="false">IF(T169="Y",0,IF(ISNUMBER(X169),IF(X169&gt;0.7,Scoring!$C$25,IF(X169&gt;=0.5,Scoring!$C$26,IF(X169&gt;=0.3,Scoring!$C$27,Scoring!$C$28))),Scoring!$C$29))</f>
        <v>10</v>
      </c>
      <c r="AE169" s="22" t="n">
        <f aca="false">IF(D169="Expiring: notice window (verified)",Scoring!$C$30,IF(OR(D169="Expired (verified)",D169="30-yr mark: notice window (est.)",D169="Year-15 window"),Scoring!$C$31,IF(D169="Expiring: 10-yr horizon (verified)",Scoring!$C$32,IF(D169="Past 30-yr mark (verify)",Scoring!$C$33,IF(OR(D169="Credit period",D169="Superseded record"),Scoring!$C$35,Scoring!$C$34)))))</f>
        <v>8</v>
      </c>
      <c r="AF169" s="22" t="n">
        <f aca="false">IF(T169="Y",0,IF(ISNUMBER(V169),IF(Scoring!$B$4-V169&gt;15,Scoring!$C$36,IF(Scoring!$B$4-V169&gt;=10,Scoring!$C$37,IF(Scoring!$B$4-V169&gt;=5,Scoring!$C$38,Scoring!$C$39))),IF(OR(N169="",D169="Out of program"),Scoring!$C$40,IF(O169&gt;15,Scoring!$C$36,IF(O169&gt;=10,Scoring!$C$37,IF(O169&gt;=5,Scoring!$C$38,Scoring!$C$39))))))</f>
        <v>15</v>
      </c>
      <c r="AG169" s="22" t="n">
        <f aca="false">IF(T169="Y",0,IF(Y169="Y",Scoring!$C$41,IF(ISNUMBER(O169),IF(O169&gt;=25,Scoring!$C$42,IF(O169&gt;=15,Scoring!$C$43,Scoring!$C$44)),Scoring!$C$44)))</f>
        <v>8</v>
      </c>
      <c r="AH169" s="22" t="n">
        <f aca="false">IF(T169="Y",0,IF(W169="",Scoring!$C$49,IFERROR(VLOOKUP(W169,Scoring!$B$45:$C$48,2,FALSE()),Scoring!$C$49)))</f>
        <v>5</v>
      </c>
      <c r="AI169" s="23" t="n">
        <f aca="false">C169+IF(ISNUMBER(J169),J169,0)/100000+(10000-ROW())/1000000000</f>
        <v>64.000249831</v>
      </c>
      <c r="AJ169" s="18"/>
      <c r="AK169" s="18"/>
      <c r="AL169" s="18"/>
      <c r="AM169" s="18"/>
    </row>
    <row r="170" customFormat="false" ht="15" hidden="false" customHeight="false" outlineLevel="0" collapsed="false">
      <c r="A170" s="15" t="n">
        <f aca="false">RANK(AI170,$AI$2:$AI$755)</f>
        <v>169</v>
      </c>
      <c r="B170" s="16" t="str">
        <f aca="false">IF(T170="Y","Superseded",IF(C170&gt;=Scoring!$B$16,"Immediate",IF(C170&gt;=Scoring!$B$17,"This week",IF(C170&gt;=Scoring!$B$18,"Nurture","Low"))))</f>
        <v>This week</v>
      </c>
      <c r="C170" s="3" t="n">
        <f aca="false">SUM(AC170:AH170)</f>
        <v>64</v>
      </c>
      <c r="D170" s="15" t="str">
        <f aca="false">IF(T170="Y","Superseded record",IF(AND(U170&lt;&gt;"",AA170&lt;0),"Expired (verified)",IF(AND(U170&lt;&gt;"",AA170&lt;=Scoring!$B$5),"Expiring: notice window (verified)",IF(AND(U170&lt;&gt;"",AA170&lt;=Scoring!$B$6),"Expiring: 10-yr horizon (verified)",IF(M170="No Longer Monitored","Out of program",IF(N170="","Unknown vintage",IF(N170&lt;Scoring!$B$12,"Pre-1990, still listed",IF(AND(U170="",AA170&lt;0),"Past 30-yr mark (verify)",IF(AND(U170="",AA170&lt;=Scoring!$B$5),"30-yr mark: notice window (est.)",IF(AND(O170&gt;=Scoring!$B$7,O170&lt;=Scoring!$B$8),"Year-15 window",IF(O170&gt;=Scoring!$B$9,"Recap window",IF(O170&gt;=11,"Late compliance","Credit period"))))))))))))</f>
        <v>Past 30-yr mark (verify)</v>
      </c>
      <c r="E170" s="15" t="s">
        <v>745</v>
      </c>
      <c r="F170" s="15" t="s">
        <v>746</v>
      </c>
      <c r="G170" s="15" t="s">
        <v>747</v>
      </c>
      <c r="H170" s="15" t="s">
        <v>141</v>
      </c>
      <c r="I170" s="15" t="s">
        <v>142</v>
      </c>
      <c r="J170" s="15" t="n">
        <v>24</v>
      </c>
      <c r="K170" s="15" t="n">
        <v>24</v>
      </c>
      <c r="L170" s="15" t="n">
        <f aca="false">IF(OR(J170="",K170=""),"",MAX(J170-K170,0))</f>
        <v>0</v>
      </c>
      <c r="M170" s="15" t="s">
        <v>99</v>
      </c>
      <c r="N170" s="17" t="n">
        <v>1991</v>
      </c>
      <c r="O170" s="15" t="n">
        <f aca="false">IF(N170="","",Scoring!$B$4-N170)</f>
        <v>35</v>
      </c>
      <c r="P170" s="15" t="n">
        <f aca="false">IF(N170="","",N170+14)</f>
        <v>2005</v>
      </c>
      <c r="Q170" s="15" t="n">
        <f aca="false">IF(N170="","",IF(N170&lt;Scoring!$B$12,"n/a (pre-1990)",N170+Scoring!$B$13))</f>
        <v>2020</v>
      </c>
      <c r="R170" s="15" t="str">
        <f aca="false">IF(J170="","Unknown",IF(J170&gt;=5,"Yes","No (under 5 units)"))</f>
        <v>Yes</v>
      </c>
      <c r="S170" s="15"/>
      <c r="T170" s="18"/>
      <c r="U170" s="19"/>
      <c r="V170" s="18"/>
      <c r="W170" s="18"/>
      <c r="X170" s="20"/>
      <c r="Y170" s="18"/>
      <c r="Z170" s="18"/>
      <c r="AA170" s="21" t="n">
        <f aca="false">IF(U170&lt;&gt;"",(U170-Scoring!$B$3)/365.25,IF(N170="","",IF(N170&lt;Scoring!$B$12,"",(DATE(N170+Scoring!$B$13,12,31)-Scoring!$B$3)/365.25)))</f>
        <v>-5.75222450376455</v>
      </c>
      <c r="AB170" s="22" t="n">
        <f aca="false">IF(T170="Y",0,IF(OR(D170="Expired (verified)",D170="Expiring: notice window (verified)",D170="Expiring: 10-yr horizon (verified)",D170="Past 30-yr mark (verify)",D170="30-yr mark: notice window (est.)",D170="Year-15 window"),1,0)+IF(ISNUMBER(O170),IF(O170&gt;=Scoring!$B$10,1,0),0)+IF(AND(ISNUMBER(L170),ISNUMBER(J170)),IF(J170&gt;0,IF(L170/J170&gt;=Scoring!$B$11,1,0),0),0)+IF(ISNUMBER(Z170),MIN(Z170,3),0))</f>
        <v>2</v>
      </c>
      <c r="AC170" s="22" t="n">
        <f aca="false">IF(AB170&gt;=3,Scoring!$C$24,IF(AB170=2,Scoring!$C$23,IF(AB170=1,Scoring!$C$22,0)))</f>
        <v>18</v>
      </c>
      <c r="AD170" s="22" t="n">
        <f aca="false">IF(T170="Y",0,IF(ISNUMBER(X170),IF(X170&gt;0.7,Scoring!$C$25,IF(X170&gt;=0.5,Scoring!$C$26,IF(X170&gt;=0.3,Scoring!$C$27,Scoring!$C$28))),Scoring!$C$29))</f>
        <v>10</v>
      </c>
      <c r="AE170" s="22" t="n">
        <f aca="false">IF(D170="Expiring: notice window (verified)",Scoring!$C$30,IF(OR(D170="Expired (verified)",D170="30-yr mark: notice window (est.)",D170="Year-15 window"),Scoring!$C$31,IF(D170="Expiring: 10-yr horizon (verified)",Scoring!$C$32,IF(D170="Past 30-yr mark (verify)",Scoring!$C$33,IF(OR(D170="Credit period",D170="Superseded record"),Scoring!$C$35,Scoring!$C$34)))))</f>
        <v>8</v>
      </c>
      <c r="AF170" s="22" t="n">
        <f aca="false">IF(T170="Y",0,IF(ISNUMBER(V170),IF(Scoring!$B$4-V170&gt;15,Scoring!$C$36,IF(Scoring!$B$4-V170&gt;=10,Scoring!$C$37,IF(Scoring!$B$4-V170&gt;=5,Scoring!$C$38,Scoring!$C$39))),IF(OR(N170="",D170="Out of program"),Scoring!$C$40,IF(O170&gt;15,Scoring!$C$36,IF(O170&gt;=10,Scoring!$C$37,IF(O170&gt;=5,Scoring!$C$38,Scoring!$C$39))))))</f>
        <v>15</v>
      </c>
      <c r="AG170" s="22" t="n">
        <f aca="false">IF(T170="Y",0,IF(Y170="Y",Scoring!$C$41,IF(ISNUMBER(O170),IF(O170&gt;=25,Scoring!$C$42,IF(O170&gt;=15,Scoring!$C$43,Scoring!$C$44)),Scoring!$C$44)))</f>
        <v>8</v>
      </c>
      <c r="AH170" s="22" t="n">
        <f aca="false">IF(T170="Y",0,IF(W170="",Scoring!$C$49,IFERROR(VLOOKUP(W170,Scoring!$B$45:$C$48,2,FALSE()),Scoring!$C$49)))</f>
        <v>5</v>
      </c>
      <c r="AI170" s="23" t="n">
        <f aca="false">C170+IF(ISNUMBER(J170),J170,0)/100000+(10000-ROW())/1000000000</f>
        <v>64.00024983</v>
      </c>
      <c r="AJ170" s="18"/>
      <c r="AK170" s="18"/>
      <c r="AL170" s="18"/>
      <c r="AM170" s="18"/>
    </row>
    <row r="171" customFormat="false" ht="15" hidden="false" customHeight="false" outlineLevel="0" collapsed="false">
      <c r="A171" s="15" t="n">
        <f aca="false">RANK(AI171,$AI$2:$AI$755)</f>
        <v>170</v>
      </c>
      <c r="B171" s="16" t="str">
        <f aca="false">IF(T171="Y","Superseded",IF(C171&gt;=Scoring!$B$16,"Immediate",IF(C171&gt;=Scoring!$B$17,"This week",IF(C171&gt;=Scoring!$B$18,"Nurture","Low"))))</f>
        <v>This week</v>
      </c>
      <c r="C171" s="3" t="n">
        <f aca="false">SUM(AC171:AH171)</f>
        <v>64</v>
      </c>
      <c r="D171" s="15" t="str">
        <f aca="false">IF(T171="Y","Superseded record",IF(AND(U171&lt;&gt;"",AA171&lt;0),"Expired (verified)",IF(AND(U171&lt;&gt;"",AA171&lt;=Scoring!$B$5),"Expiring: notice window (verified)",IF(AND(U171&lt;&gt;"",AA171&lt;=Scoring!$B$6),"Expiring: 10-yr horizon (verified)",IF(M171="No Longer Monitored","Out of program",IF(N171="","Unknown vintage",IF(N171&lt;Scoring!$B$12,"Pre-1990, still listed",IF(AND(U171="",AA171&lt;0),"Past 30-yr mark (verify)",IF(AND(U171="",AA171&lt;=Scoring!$B$5),"30-yr mark: notice window (est.)",IF(AND(O171&gt;=Scoring!$B$7,O171&lt;=Scoring!$B$8),"Year-15 window",IF(O171&gt;=Scoring!$B$9,"Recap window",IF(O171&gt;=11,"Late compliance","Credit period"))))))))))))</f>
        <v>Past 30-yr mark (verify)</v>
      </c>
      <c r="E171" s="15" t="s">
        <v>748</v>
      </c>
      <c r="F171" s="15" t="s">
        <v>749</v>
      </c>
      <c r="G171" s="15" t="s">
        <v>750</v>
      </c>
      <c r="H171" s="15" t="s">
        <v>751</v>
      </c>
      <c r="I171" s="15"/>
      <c r="J171" s="15" t="n">
        <v>24</v>
      </c>
      <c r="K171" s="15" t="n">
        <v>24</v>
      </c>
      <c r="L171" s="15" t="n">
        <f aca="false">IF(OR(J171="",K171=""),"",MAX(J171-K171,0))</f>
        <v>0</v>
      </c>
      <c r="M171" s="15" t="s">
        <v>99</v>
      </c>
      <c r="N171" s="17" t="n">
        <v>1993</v>
      </c>
      <c r="O171" s="15" t="n">
        <f aca="false">IF(N171="","",Scoring!$B$4-N171)</f>
        <v>33</v>
      </c>
      <c r="P171" s="15" t="n">
        <f aca="false">IF(N171="","",N171+14)</f>
        <v>2007</v>
      </c>
      <c r="Q171" s="15" t="n">
        <f aca="false">IF(N171="","",IF(N171&lt;Scoring!$B$12,"n/a (pre-1990)",N171+Scoring!$B$13))</f>
        <v>2022</v>
      </c>
      <c r="R171" s="15" t="str">
        <f aca="false">IF(J171="","Unknown",IF(J171&gt;=5,"Yes","No (under 5 units)"))</f>
        <v>Yes</v>
      </c>
      <c r="S171" s="15"/>
      <c r="T171" s="18"/>
      <c r="U171" s="19"/>
      <c r="V171" s="18"/>
      <c r="W171" s="18"/>
      <c r="X171" s="20"/>
      <c r="Y171" s="18"/>
      <c r="Z171" s="18"/>
      <c r="AA171" s="21" t="n">
        <f aca="false">IF(U171&lt;&gt;"",(U171-Scoring!$B$3)/365.25,IF(N171="","",IF(N171&lt;Scoring!$B$12,"",(DATE(N171+Scoring!$B$13,12,31)-Scoring!$B$3)/365.25)))</f>
        <v>-3.75359342915811</v>
      </c>
      <c r="AB171" s="22" t="n">
        <f aca="false">IF(T171="Y",0,IF(OR(D171="Expired (verified)",D171="Expiring: notice window (verified)",D171="Expiring: 10-yr horizon (verified)",D171="Past 30-yr mark (verify)",D171="30-yr mark: notice window (est.)",D171="Year-15 window"),1,0)+IF(ISNUMBER(O171),IF(O171&gt;=Scoring!$B$10,1,0),0)+IF(AND(ISNUMBER(L171),ISNUMBER(J171)),IF(J171&gt;0,IF(L171/J171&gt;=Scoring!$B$11,1,0),0),0)+IF(ISNUMBER(Z171),MIN(Z171,3),0))</f>
        <v>2</v>
      </c>
      <c r="AC171" s="22" t="n">
        <f aca="false">IF(AB171&gt;=3,Scoring!$C$24,IF(AB171=2,Scoring!$C$23,IF(AB171=1,Scoring!$C$22,0)))</f>
        <v>18</v>
      </c>
      <c r="AD171" s="22" t="n">
        <f aca="false">IF(T171="Y",0,IF(ISNUMBER(X171),IF(X171&gt;0.7,Scoring!$C$25,IF(X171&gt;=0.5,Scoring!$C$26,IF(X171&gt;=0.3,Scoring!$C$27,Scoring!$C$28))),Scoring!$C$29))</f>
        <v>10</v>
      </c>
      <c r="AE171" s="22" t="n">
        <f aca="false">IF(D171="Expiring: notice window (verified)",Scoring!$C$30,IF(OR(D171="Expired (verified)",D171="30-yr mark: notice window (est.)",D171="Year-15 window"),Scoring!$C$31,IF(D171="Expiring: 10-yr horizon (verified)",Scoring!$C$32,IF(D171="Past 30-yr mark (verify)",Scoring!$C$33,IF(OR(D171="Credit period",D171="Superseded record"),Scoring!$C$35,Scoring!$C$34)))))</f>
        <v>8</v>
      </c>
      <c r="AF171" s="22" t="n">
        <f aca="false">IF(T171="Y",0,IF(ISNUMBER(V171),IF(Scoring!$B$4-V171&gt;15,Scoring!$C$36,IF(Scoring!$B$4-V171&gt;=10,Scoring!$C$37,IF(Scoring!$B$4-V171&gt;=5,Scoring!$C$38,Scoring!$C$39))),IF(OR(N171="",D171="Out of program"),Scoring!$C$40,IF(O171&gt;15,Scoring!$C$36,IF(O171&gt;=10,Scoring!$C$37,IF(O171&gt;=5,Scoring!$C$38,Scoring!$C$39))))))</f>
        <v>15</v>
      </c>
      <c r="AG171" s="22" t="n">
        <f aca="false">IF(T171="Y",0,IF(Y171="Y",Scoring!$C$41,IF(ISNUMBER(O171),IF(O171&gt;=25,Scoring!$C$42,IF(O171&gt;=15,Scoring!$C$43,Scoring!$C$44)),Scoring!$C$44)))</f>
        <v>8</v>
      </c>
      <c r="AH171" s="22" t="n">
        <f aca="false">IF(T171="Y",0,IF(W171="",Scoring!$C$49,IFERROR(VLOOKUP(W171,Scoring!$B$45:$C$48,2,FALSE()),Scoring!$C$49)))</f>
        <v>5</v>
      </c>
      <c r="AI171" s="23" t="n">
        <f aca="false">C171+IF(ISNUMBER(J171),J171,0)/100000+(10000-ROW())/1000000000</f>
        <v>64.000249829</v>
      </c>
      <c r="AJ171" s="18"/>
      <c r="AK171" s="18"/>
      <c r="AL171" s="18"/>
      <c r="AM171" s="18"/>
    </row>
    <row r="172" customFormat="false" ht="15" hidden="false" customHeight="false" outlineLevel="0" collapsed="false">
      <c r="A172" s="15" t="n">
        <f aca="false">RANK(AI172,$AI$2:$AI$755)</f>
        <v>171</v>
      </c>
      <c r="B172" s="16" t="str">
        <f aca="false">IF(T172="Y","Superseded",IF(C172&gt;=Scoring!$B$16,"Immediate",IF(C172&gt;=Scoring!$B$17,"This week",IF(C172&gt;=Scoring!$B$18,"Nurture","Low"))))</f>
        <v>This week</v>
      </c>
      <c r="C172" s="3" t="n">
        <f aca="false">SUM(AC172:AH172)</f>
        <v>64</v>
      </c>
      <c r="D172" s="15" t="str">
        <f aca="false">IF(T172="Y","Superseded record",IF(AND(U172&lt;&gt;"",AA172&lt;0),"Expired (verified)",IF(AND(U172&lt;&gt;"",AA172&lt;=Scoring!$B$5),"Expiring: notice window (verified)",IF(AND(U172&lt;&gt;"",AA172&lt;=Scoring!$B$6),"Expiring: 10-yr horizon (verified)",IF(M172="No Longer Monitored","Out of program",IF(N172="","Unknown vintage",IF(N172&lt;Scoring!$B$12,"Pre-1990, still listed",IF(AND(U172="",AA172&lt;0),"Past 30-yr mark (verify)",IF(AND(U172="",AA172&lt;=Scoring!$B$5),"30-yr mark: notice window (est.)",IF(AND(O172&gt;=Scoring!$B$7,O172&lt;=Scoring!$B$8),"Year-15 window",IF(O172&gt;=Scoring!$B$9,"Recap window",IF(O172&gt;=11,"Late compliance","Credit period"))))))))))))</f>
        <v>Past 30-yr mark (verify)</v>
      </c>
      <c r="E172" s="15" t="s">
        <v>752</v>
      </c>
      <c r="F172" s="15" t="s">
        <v>753</v>
      </c>
      <c r="G172" s="15" t="s">
        <v>754</v>
      </c>
      <c r="H172" s="15" t="s">
        <v>755</v>
      </c>
      <c r="I172" s="15" t="s">
        <v>756</v>
      </c>
      <c r="J172" s="15" t="n">
        <v>24</v>
      </c>
      <c r="K172" s="15" t="n">
        <v>24</v>
      </c>
      <c r="L172" s="15" t="n">
        <f aca="false">IF(OR(J172="",K172=""),"",MAX(J172-K172,0))</f>
        <v>0</v>
      </c>
      <c r="M172" s="15" t="s">
        <v>99</v>
      </c>
      <c r="N172" s="17" t="n">
        <v>1994</v>
      </c>
      <c r="O172" s="15" t="n">
        <f aca="false">IF(N172="","",Scoring!$B$4-N172)</f>
        <v>32</v>
      </c>
      <c r="P172" s="15" t="n">
        <f aca="false">IF(N172="","",N172+14)</f>
        <v>2008</v>
      </c>
      <c r="Q172" s="15" t="n">
        <f aca="false">IF(N172="","",IF(N172&lt;Scoring!$B$12,"n/a (pre-1990)",N172+Scoring!$B$13))</f>
        <v>2023</v>
      </c>
      <c r="R172" s="15" t="str">
        <f aca="false">IF(J172="","Unknown",IF(J172&gt;=5,"Yes","No (under 5 units)"))</f>
        <v>Yes</v>
      </c>
      <c r="S172" s="15"/>
      <c r="T172" s="18"/>
      <c r="U172" s="19"/>
      <c r="V172" s="18"/>
      <c r="W172" s="18"/>
      <c r="X172" s="20"/>
      <c r="Y172" s="18"/>
      <c r="Z172" s="18"/>
      <c r="AA172" s="21" t="n">
        <f aca="false">IF(U172&lt;&gt;"",(U172-Scoring!$B$3)/365.25,IF(N172="","",IF(N172&lt;Scoring!$B$12,"",(DATE(N172+Scoring!$B$13,12,31)-Scoring!$B$3)/365.25)))</f>
        <v>-2.75427789185489</v>
      </c>
      <c r="AB172" s="22" t="n">
        <f aca="false">IF(T172="Y",0,IF(OR(D172="Expired (verified)",D172="Expiring: notice window (verified)",D172="Expiring: 10-yr horizon (verified)",D172="Past 30-yr mark (verify)",D172="30-yr mark: notice window (est.)",D172="Year-15 window"),1,0)+IF(ISNUMBER(O172),IF(O172&gt;=Scoring!$B$10,1,0),0)+IF(AND(ISNUMBER(L172),ISNUMBER(J172)),IF(J172&gt;0,IF(L172/J172&gt;=Scoring!$B$11,1,0),0),0)+IF(ISNUMBER(Z172),MIN(Z172,3),0))</f>
        <v>2</v>
      </c>
      <c r="AC172" s="22" t="n">
        <f aca="false">IF(AB172&gt;=3,Scoring!$C$24,IF(AB172=2,Scoring!$C$23,IF(AB172=1,Scoring!$C$22,0)))</f>
        <v>18</v>
      </c>
      <c r="AD172" s="22" t="n">
        <f aca="false">IF(T172="Y",0,IF(ISNUMBER(X172),IF(X172&gt;0.7,Scoring!$C$25,IF(X172&gt;=0.5,Scoring!$C$26,IF(X172&gt;=0.3,Scoring!$C$27,Scoring!$C$28))),Scoring!$C$29))</f>
        <v>10</v>
      </c>
      <c r="AE172" s="22" t="n">
        <f aca="false">IF(D172="Expiring: notice window (verified)",Scoring!$C$30,IF(OR(D172="Expired (verified)",D172="30-yr mark: notice window (est.)",D172="Year-15 window"),Scoring!$C$31,IF(D172="Expiring: 10-yr horizon (verified)",Scoring!$C$32,IF(D172="Past 30-yr mark (verify)",Scoring!$C$33,IF(OR(D172="Credit period",D172="Superseded record"),Scoring!$C$35,Scoring!$C$34)))))</f>
        <v>8</v>
      </c>
      <c r="AF172" s="22" t="n">
        <f aca="false">IF(T172="Y",0,IF(ISNUMBER(V172),IF(Scoring!$B$4-V172&gt;15,Scoring!$C$36,IF(Scoring!$B$4-V172&gt;=10,Scoring!$C$37,IF(Scoring!$B$4-V172&gt;=5,Scoring!$C$38,Scoring!$C$39))),IF(OR(N172="",D172="Out of program"),Scoring!$C$40,IF(O172&gt;15,Scoring!$C$36,IF(O172&gt;=10,Scoring!$C$37,IF(O172&gt;=5,Scoring!$C$38,Scoring!$C$39))))))</f>
        <v>15</v>
      </c>
      <c r="AG172" s="22" t="n">
        <f aca="false">IF(T172="Y",0,IF(Y172="Y",Scoring!$C$41,IF(ISNUMBER(O172),IF(O172&gt;=25,Scoring!$C$42,IF(O172&gt;=15,Scoring!$C$43,Scoring!$C$44)),Scoring!$C$44)))</f>
        <v>8</v>
      </c>
      <c r="AH172" s="22" t="n">
        <f aca="false">IF(T172="Y",0,IF(W172="",Scoring!$C$49,IFERROR(VLOOKUP(W172,Scoring!$B$45:$C$48,2,FALSE()),Scoring!$C$49)))</f>
        <v>5</v>
      </c>
      <c r="AI172" s="23" t="n">
        <f aca="false">C172+IF(ISNUMBER(J172),J172,0)/100000+(10000-ROW())/1000000000</f>
        <v>64.000249828</v>
      </c>
      <c r="AJ172" s="18"/>
      <c r="AK172" s="18"/>
      <c r="AL172" s="18"/>
      <c r="AM172" s="18"/>
    </row>
    <row r="173" customFormat="false" ht="15" hidden="false" customHeight="false" outlineLevel="0" collapsed="false">
      <c r="A173" s="15" t="n">
        <f aca="false">RANK(AI173,$AI$2:$AI$755)</f>
        <v>172</v>
      </c>
      <c r="B173" s="16" t="str">
        <f aca="false">IF(T173="Y","Superseded",IF(C173&gt;=Scoring!$B$16,"Immediate",IF(C173&gt;=Scoring!$B$17,"This week",IF(C173&gt;=Scoring!$B$18,"Nurture","Low"))))</f>
        <v>This week</v>
      </c>
      <c r="C173" s="3" t="n">
        <f aca="false">SUM(AC173:AH173)</f>
        <v>64</v>
      </c>
      <c r="D173" s="15" t="str">
        <f aca="false">IF(T173="Y","Superseded record",IF(AND(U173&lt;&gt;"",AA173&lt;0),"Expired (verified)",IF(AND(U173&lt;&gt;"",AA173&lt;=Scoring!$B$5),"Expiring: notice window (verified)",IF(AND(U173&lt;&gt;"",AA173&lt;=Scoring!$B$6),"Expiring: 10-yr horizon (verified)",IF(M173="No Longer Monitored","Out of program",IF(N173="","Unknown vintage",IF(N173&lt;Scoring!$B$12,"Pre-1990, still listed",IF(AND(U173="",AA173&lt;0),"Past 30-yr mark (verify)",IF(AND(U173="",AA173&lt;=Scoring!$B$5),"30-yr mark: notice window (est.)",IF(AND(O173&gt;=Scoring!$B$7,O173&lt;=Scoring!$B$8),"Year-15 window",IF(O173&gt;=Scoring!$B$9,"Recap window",IF(O173&gt;=11,"Late compliance","Credit period"))))))))))))</f>
        <v>Past 30-yr mark (verify)</v>
      </c>
      <c r="E173" s="15" t="s">
        <v>757</v>
      </c>
      <c r="F173" s="15" t="s">
        <v>758</v>
      </c>
      <c r="G173" s="15" t="s">
        <v>759</v>
      </c>
      <c r="H173" s="15" t="s">
        <v>760</v>
      </c>
      <c r="I173" s="15" t="s">
        <v>761</v>
      </c>
      <c r="J173" s="15" t="n">
        <v>24</v>
      </c>
      <c r="K173" s="15"/>
      <c r="L173" s="15" t="str">
        <f aca="false">IF(OR(J173="",K173=""),"",MAX(J173-K173,0))</f>
        <v/>
      </c>
      <c r="M173" s="15" t="s">
        <v>99</v>
      </c>
      <c r="N173" s="17" t="n">
        <v>1995</v>
      </c>
      <c r="O173" s="15" t="n">
        <f aca="false">IF(N173="","",Scoring!$B$4-N173)</f>
        <v>31</v>
      </c>
      <c r="P173" s="15" t="n">
        <f aca="false">IF(N173="","",N173+14)</f>
        <v>2009</v>
      </c>
      <c r="Q173" s="15" t="n">
        <f aca="false">IF(N173="","",IF(N173&lt;Scoring!$B$12,"n/a (pre-1990)",N173+Scoring!$B$13))</f>
        <v>2024</v>
      </c>
      <c r="R173" s="15" t="str">
        <f aca="false">IF(J173="","Unknown",IF(J173&gt;=5,"Yes","No (under 5 units)"))</f>
        <v>Yes</v>
      </c>
      <c r="S173" s="15"/>
      <c r="T173" s="18"/>
      <c r="U173" s="19"/>
      <c r="V173" s="18"/>
      <c r="W173" s="18"/>
      <c r="X173" s="20"/>
      <c r="Y173" s="18"/>
      <c r="Z173" s="18"/>
      <c r="AA173" s="21" t="n">
        <f aca="false">IF(U173&lt;&gt;"",(U173-Scoring!$B$3)/365.25,IF(N173="","",IF(N173&lt;Scoring!$B$12,"",(DATE(N173+Scoring!$B$13,12,31)-Scoring!$B$3)/365.25)))</f>
        <v>-1.75222450376454</v>
      </c>
      <c r="AB173" s="22" t="n">
        <f aca="false">IF(T173="Y",0,IF(OR(D173="Expired (verified)",D173="Expiring: notice window (verified)",D173="Expiring: 10-yr horizon (verified)",D173="Past 30-yr mark (verify)",D173="30-yr mark: notice window (est.)",D173="Year-15 window"),1,0)+IF(ISNUMBER(O173),IF(O173&gt;=Scoring!$B$10,1,0),0)+IF(AND(ISNUMBER(L173),ISNUMBER(J173)),IF(J173&gt;0,IF(L173/J173&gt;=Scoring!$B$11,1,0),0),0)+IF(ISNUMBER(Z173),MIN(Z173,3),0))</f>
        <v>2</v>
      </c>
      <c r="AC173" s="22" t="n">
        <f aca="false">IF(AB173&gt;=3,Scoring!$C$24,IF(AB173=2,Scoring!$C$23,IF(AB173=1,Scoring!$C$22,0)))</f>
        <v>18</v>
      </c>
      <c r="AD173" s="22" t="n">
        <f aca="false">IF(T173="Y",0,IF(ISNUMBER(X173),IF(X173&gt;0.7,Scoring!$C$25,IF(X173&gt;=0.5,Scoring!$C$26,IF(X173&gt;=0.3,Scoring!$C$27,Scoring!$C$28))),Scoring!$C$29))</f>
        <v>10</v>
      </c>
      <c r="AE173" s="22" t="n">
        <f aca="false">IF(D173="Expiring: notice window (verified)",Scoring!$C$30,IF(OR(D173="Expired (verified)",D173="30-yr mark: notice window (est.)",D173="Year-15 window"),Scoring!$C$31,IF(D173="Expiring: 10-yr horizon (verified)",Scoring!$C$32,IF(D173="Past 30-yr mark (verify)",Scoring!$C$33,IF(OR(D173="Credit period",D173="Superseded record"),Scoring!$C$35,Scoring!$C$34)))))</f>
        <v>8</v>
      </c>
      <c r="AF173" s="22" t="n">
        <f aca="false">IF(T173="Y",0,IF(ISNUMBER(V173),IF(Scoring!$B$4-V173&gt;15,Scoring!$C$36,IF(Scoring!$B$4-V173&gt;=10,Scoring!$C$37,IF(Scoring!$B$4-V173&gt;=5,Scoring!$C$38,Scoring!$C$39))),IF(OR(N173="",D173="Out of program"),Scoring!$C$40,IF(O173&gt;15,Scoring!$C$36,IF(O173&gt;=10,Scoring!$C$37,IF(O173&gt;=5,Scoring!$C$38,Scoring!$C$39))))))</f>
        <v>15</v>
      </c>
      <c r="AG173" s="22" t="n">
        <f aca="false">IF(T173="Y",0,IF(Y173="Y",Scoring!$C$41,IF(ISNUMBER(O173),IF(O173&gt;=25,Scoring!$C$42,IF(O173&gt;=15,Scoring!$C$43,Scoring!$C$44)),Scoring!$C$44)))</f>
        <v>8</v>
      </c>
      <c r="AH173" s="22" t="n">
        <f aca="false">IF(T173="Y",0,IF(W173="",Scoring!$C$49,IFERROR(VLOOKUP(W173,Scoring!$B$45:$C$48,2,FALSE()),Scoring!$C$49)))</f>
        <v>5</v>
      </c>
      <c r="AI173" s="23" t="n">
        <f aca="false">C173+IF(ISNUMBER(J173),J173,0)/100000+(10000-ROW())/1000000000</f>
        <v>64.000249827</v>
      </c>
      <c r="AJ173" s="18"/>
      <c r="AK173" s="18"/>
      <c r="AL173" s="18"/>
      <c r="AM173" s="18"/>
    </row>
    <row r="174" customFormat="false" ht="15" hidden="false" customHeight="false" outlineLevel="0" collapsed="false">
      <c r="A174" s="15" t="n">
        <f aca="false">RANK(AI174,$AI$2:$AI$755)</f>
        <v>173</v>
      </c>
      <c r="B174" s="16" t="str">
        <f aca="false">IF(T174="Y","Superseded",IF(C174&gt;=Scoring!$B$16,"Immediate",IF(C174&gt;=Scoring!$B$17,"This week",IF(C174&gt;=Scoring!$B$18,"Nurture","Low"))))</f>
        <v>This week</v>
      </c>
      <c r="C174" s="3" t="n">
        <f aca="false">SUM(AC174:AH174)</f>
        <v>64</v>
      </c>
      <c r="D174" s="15" t="str">
        <f aca="false">IF(T174="Y","Superseded record",IF(AND(U174&lt;&gt;"",AA174&lt;0),"Expired (verified)",IF(AND(U174&lt;&gt;"",AA174&lt;=Scoring!$B$5),"Expiring: notice window (verified)",IF(AND(U174&lt;&gt;"",AA174&lt;=Scoring!$B$6),"Expiring: 10-yr horizon (verified)",IF(M174="No Longer Monitored","Out of program",IF(N174="","Unknown vintage",IF(N174&lt;Scoring!$B$12,"Pre-1990, still listed",IF(AND(U174="",AA174&lt;0),"Past 30-yr mark (verify)",IF(AND(U174="",AA174&lt;=Scoring!$B$5),"30-yr mark: notice window (est.)",IF(AND(O174&gt;=Scoring!$B$7,O174&lt;=Scoring!$B$8),"Year-15 window",IF(O174&gt;=Scoring!$B$9,"Recap window",IF(O174&gt;=11,"Late compliance","Credit period"))))))))))))</f>
        <v>Past 30-yr mark (verify)</v>
      </c>
      <c r="E174" s="15" t="s">
        <v>762</v>
      </c>
      <c r="F174" s="15" t="s">
        <v>763</v>
      </c>
      <c r="G174" s="15" t="s">
        <v>764</v>
      </c>
      <c r="H174" s="15" t="s">
        <v>232</v>
      </c>
      <c r="I174" s="15" t="s">
        <v>358</v>
      </c>
      <c r="J174" s="15" t="n">
        <v>24</v>
      </c>
      <c r="K174" s="15" t="n">
        <v>24</v>
      </c>
      <c r="L174" s="15" t="n">
        <f aca="false">IF(OR(J174="",K174=""),"",MAX(J174-K174,0))</f>
        <v>0</v>
      </c>
      <c r="M174" s="15" t="s">
        <v>99</v>
      </c>
      <c r="N174" s="17" t="n">
        <v>1996</v>
      </c>
      <c r="O174" s="15" t="n">
        <f aca="false">IF(N174="","",Scoring!$B$4-N174)</f>
        <v>30</v>
      </c>
      <c r="P174" s="15" t="n">
        <f aca="false">IF(N174="","",N174+14)</f>
        <v>2010</v>
      </c>
      <c r="Q174" s="15" t="n">
        <f aca="false">IF(N174="","",IF(N174&lt;Scoring!$B$12,"n/a (pre-1990)",N174+Scoring!$B$13))</f>
        <v>2025</v>
      </c>
      <c r="R174" s="15" t="str">
        <f aca="false">IF(J174="","Unknown",IF(J174&gt;=5,"Yes","No (under 5 units)"))</f>
        <v>Yes</v>
      </c>
      <c r="S174" s="15"/>
      <c r="T174" s="18"/>
      <c r="U174" s="19"/>
      <c r="V174" s="18"/>
      <c r="W174" s="18"/>
      <c r="X174" s="20"/>
      <c r="Y174" s="18"/>
      <c r="Z174" s="18"/>
      <c r="AA174" s="21" t="n">
        <f aca="false">IF(U174&lt;&gt;"",(U174-Scoring!$B$3)/365.25,IF(N174="","",IF(N174&lt;Scoring!$B$12,"",(DATE(N174+Scoring!$B$13,12,31)-Scoring!$B$3)/365.25)))</f>
        <v>-0.752908966461328</v>
      </c>
      <c r="AB174" s="22" t="n">
        <f aca="false">IF(T174="Y",0,IF(OR(D174="Expired (verified)",D174="Expiring: notice window (verified)",D174="Expiring: 10-yr horizon (verified)",D174="Past 30-yr mark (verify)",D174="30-yr mark: notice window (est.)",D174="Year-15 window"),1,0)+IF(ISNUMBER(O174),IF(O174&gt;=Scoring!$B$10,1,0),0)+IF(AND(ISNUMBER(L174),ISNUMBER(J174)),IF(J174&gt;0,IF(L174/J174&gt;=Scoring!$B$11,1,0),0),0)+IF(ISNUMBER(Z174),MIN(Z174,3),0))</f>
        <v>2</v>
      </c>
      <c r="AC174" s="22" t="n">
        <f aca="false">IF(AB174&gt;=3,Scoring!$C$24,IF(AB174=2,Scoring!$C$23,IF(AB174=1,Scoring!$C$22,0)))</f>
        <v>18</v>
      </c>
      <c r="AD174" s="22" t="n">
        <f aca="false">IF(T174="Y",0,IF(ISNUMBER(X174),IF(X174&gt;0.7,Scoring!$C$25,IF(X174&gt;=0.5,Scoring!$C$26,IF(X174&gt;=0.3,Scoring!$C$27,Scoring!$C$28))),Scoring!$C$29))</f>
        <v>10</v>
      </c>
      <c r="AE174" s="22" t="n">
        <f aca="false">IF(D174="Expiring: notice window (verified)",Scoring!$C$30,IF(OR(D174="Expired (verified)",D174="30-yr mark: notice window (est.)",D174="Year-15 window"),Scoring!$C$31,IF(D174="Expiring: 10-yr horizon (verified)",Scoring!$C$32,IF(D174="Past 30-yr mark (verify)",Scoring!$C$33,IF(OR(D174="Credit period",D174="Superseded record"),Scoring!$C$35,Scoring!$C$34)))))</f>
        <v>8</v>
      </c>
      <c r="AF174" s="22" t="n">
        <f aca="false">IF(T174="Y",0,IF(ISNUMBER(V174),IF(Scoring!$B$4-V174&gt;15,Scoring!$C$36,IF(Scoring!$B$4-V174&gt;=10,Scoring!$C$37,IF(Scoring!$B$4-V174&gt;=5,Scoring!$C$38,Scoring!$C$39))),IF(OR(N174="",D174="Out of program"),Scoring!$C$40,IF(O174&gt;15,Scoring!$C$36,IF(O174&gt;=10,Scoring!$C$37,IF(O174&gt;=5,Scoring!$C$38,Scoring!$C$39))))))</f>
        <v>15</v>
      </c>
      <c r="AG174" s="22" t="n">
        <f aca="false">IF(T174="Y",0,IF(Y174="Y",Scoring!$C$41,IF(ISNUMBER(O174),IF(O174&gt;=25,Scoring!$C$42,IF(O174&gt;=15,Scoring!$C$43,Scoring!$C$44)),Scoring!$C$44)))</f>
        <v>8</v>
      </c>
      <c r="AH174" s="22" t="n">
        <f aca="false">IF(T174="Y",0,IF(W174="",Scoring!$C$49,IFERROR(VLOOKUP(W174,Scoring!$B$45:$C$48,2,FALSE()),Scoring!$C$49)))</f>
        <v>5</v>
      </c>
      <c r="AI174" s="23" t="n">
        <f aca="false">C174+IF(ISNUMBER(J174),J174,0)/100000+(10000-ROW())/1000000000</f>
        <v>64.000249826</v>
      </c>
      <c r="AJ174" s="18"/>
      <c r="AK174" s="18"/>
      <c r="AL174" s="18"/>
      <c r="AM174" s="18"/>
    </row>
    <row r="175" customFormat="false" ht="15" hidden="false" customHeight="false" outlineLevel="0" collapsed="false">
      <c r="A175" s="15" t="n">
        <f aca="false">RANK(AI175,$AI$2:$AI$755)</f>
        <v>174</v>
      </c>
      <c r="B175" s="16" t="str">
        <f aca="false">IF(T175="Y","Superseded",IF(C175&gt;=Scoring!$B$16,"Immediate",IF(C175&gt;=Scoring!$B$17,"This week",IF(C175&gt;=Scoring!$B$18,"Nurture","Low"))))</f>
        <v>This week</v>
      </c>
      <c r="C175" s="3" t="n">
        <f aca="false">SUM(AC175:AH175)</f>
        <v>64</v>
      </c>
      <c r="D175" s="15" t="str">
        <f aca="false">IF(T175="Y","Superseded record",IF(AND(U175&lt;&gt;"",AA175&lt;0),"Expired (verified)",IF(AND(U175&lt;&gt;"",AA175&lt;=Scoring!$B$5),"Expiring: notice window (verified)",IF(AND(U175&lt;&gt;"",AA175&lt;=Scoring!$B$6),"Expiring: 10-yr horizon (verified)",IF(M175="No Longer Monitored","Out of program",IF(N175="","Unknown vintage",IF(N175&lt;Scoring!$B$12,"Pre-1990, still listed",IF(AND(U175="",AA175&lt;0),"Past 30-yr mark (verify)",IF(AND(U175="",AA175&lt;=Scoring!$B$5),"30-yr mark: notice window (est.)",IF(AND(O175&gt;=Scoring!$B$7,O175&lt;=Scoring!$B$8),"Year-15 window",IF(O175&gt;=Scoring!$B$9,"Recap window",IF(O175&gt;=11,"Late compliance","Credit period"))))))))))))</f>
        <v>Past 30-yr mark (verify)</v>
      </c>
      <c r="E175" s="15" t="s">
        <v>765</v>
      </c>
      <c r="F175" s="15" t="s">
        <v>766</v>
      </c>
      <c r="G175" s="15" t="s">
        <v>767</v>
      </c>
      <c r="H175" s="15" t="s">
        <v>635</v>
      </c>
      <c r="I175" s="15" t="s">
        <v>636</v>
      </c>
      <c r="J175" s="15" t="n">
        <v>23</v>
      </c>
      <c r="K175" s="15" t="n">
        <v>23</v>
      </c>
      <c r="L175" s="15" t="n">
        <f aca="false">IF(OR(J175="",K175=""),"",MAX(J175-K175,0))</f>
        <v>0</v>
      </c>
      <c r="M175" s="15" t="s">
        <v>99</v>
      </c>
      <c r="N175" s="17" t="n">
        <v>1994</v>
      </c>
      <c r="O175" s="15" t="n">
        <f aca="false">IF(N175="","",Scoring!$B$4-N175)</f>
        <v>32</v>
      </c>
      <c r="P175" s="15" t="n">
        <f aca="false">IF(N175="","",N175+14)</f>
        <v>2008</v>
      </c>
      <c r="Q175" s="15" t="n">
        <f aca="false">IF(N175="","",IF(N175&lt;Scoring!$B$12,"n/a (pre-1990)",N175+Scoring!$B$13))</f>
        <v>2023</v>
      </c>
      <c r="R175" s="15" t="str">
        <f aca="false">IF(J175="","Unknown",IF(J175&gt;=5,"Yes","No (under 5 units)"))</f>
        <v>Yes</v>
      </c>
      <c r="S175" s="15"/>
      <c r="T175" s="18"/>
      <c r="U175" s="19"/>
      <c r="V175" s="18"/>
      <c r="W175" s="18"/>
      <c r="X175" s="20"/>
      <c r="Y175" s="18"/>
      <c r="Z175" s="18"/>
      <c r="AA175" s="21" t="n">
        <f aca="false">IF(U175&lt;&gt;"",(U175-Scoring!$B$3)/365.25,IF(N175="","",IF(N175&lt;Scoring!$B$12,"",(DATE(N175+Scoring!$B$13,12,31)-Scoring!$B$3)/365.25)))</f>
        <v>-2.75427789185489</v>
      </c>
      <c r="AB175" s="22" t="n">
        <f aca="false">IF(T175="Y",0,IF(OR(D175="Expired (verified)",D175="Expiring: notice window (verified)",D175="Expiring: 10-yr horizon (verified)",D175="Past 30-yr mark (verify)",D175="30-yr mark: notice window (est.)",D175="Year-15 window"),1,0)+IF(ISNUMBER(O175),IF(O175&gt;=Scoring!$B$10,1,0),0)+IF(AND(ISNUMBER(L175),ISNUMBER(J175)),IF(J175&gt;0,IF(L175/J175&gt;=Scoring!$B$11,1,0),0),0)+IF(ISNUMBER(Z175),MIN(Z175,3),0))</f>
        <v>2</v>
      </c>
      <c r="AC175" s="22" t="n">
        <f aca="false">IF(AB175&gt;=3,Scoring!$C$24,IF(AB175=2,Scoring!$C$23,IF(AB175=1,Scoring!$C$22,0)))</f>
        <v>18</v>
      </c>
      <c r="AD175" s="22" t="n">
        <f aca="false">IF(T175="Y",0,IF(ISNUMBER(X175),IF(X175&gt;0.7,Scoring!$C$25,IF(X175&gt;=0.5,Scoring!$C$26,IF(X175&gt;=0.3,Scoring!$C$27,Scoring!$C$28))),Scoring!$C$29))</f>
        <v>10</v>
      </c>
      <c r="AE175" s="22" t="n">
        <f aca="false">IF(D175="Expiring: notice window (verified)",Scoring!$C$30,IF(OR(D175="Expired (verified)",D175="30-yr mark: notice window (est.)",D175="Year-15 window"),Scoring!$C$31,IF(D175="Expiring: 10-yr horizon (verified)",Scoring!$C$32,IF(D175="Past 30-yr mark (verify)",Scoring!$C$33,IF(OR(D175="Credit period",D175="Superseded record"),Scoring!$C$35,Scoring!$C$34)))))</f>
        <v>8</v>
      </c>
      <c r="AF175" s="22" t="n">
        <f aca="false">IF(T175="Y",0,IF(ISNUMBER(V175),IF(Scoring!$B$4-V175&gt;15,Scoring!$C$36,IF(Scoring!$B$4-V175&gt;=10,Scoring!$C$37,IF(Scoring!$B$4-V175&gt;=5,Scoring!$C$38,Scoring!$C$39))),IF(OR(N175="",D175="Out of program"),Scoring!$C$40,IF(O175&gt;15,Scoring!$C$36,IF(O175&gt;=10,Scoring!$C$37,IF(O175&gt;=5,Scoring!$C$38,Scoring!$C$39))))))</f>
        <v>15</v>
      </c>
      <c r="AG175" s="22" t="n">
        <f aca="false">IF(T175="Y",0,IF(Y175="Y",Scoring!$C$41,IF(ISNUMBER(O175),IF(O175&gt;=25,Scoring!$C$42,IF(O175&gt;=15,Scoring!$C$43,Scoring!$C$44)),Scoring!$C$44)))</f>
        <v>8</v>
      </c>
      <c r="AH175" s="22" t="n">
        <f aca="false">IF(T175="Y",0,IF(W175="",Scoring!$C$49,IFERROR(VLOOKUP(W175,Scoring!$B$45:$C$48,2,FALSE()),Scoring!$C$49)))</f>
        <v>5</v>
      </c>
      <c r="AI175" s="23" t="n">
        <f aca="false">C175+IF(ISNUMBER(J175),J175,0)/100000+(10000-ROW())/1000000000</f>
        <v>64.000239825</v>
      </c>
      <c r="AJ175" s="18"/>
      <c r="AK175" s="18"/>
      <c r="AL175" s="18"/>
      <c r="AM175" s="18"/>
    </row>
    <row r="176" customFormat="false" ht="15" hidden="false" customHeight="false" outlineLevel="0" collapsed="false">
      <c r="A176" s="15" t="n">
        <f aca="false">RANK(AI176,$AI$2:$AI$755)</f>
        <v>175</v>
      </c>
      <c r="B176" s="16" t="str">
        <f aca="false">IF(T176="Y","Superseded",IF(C176&gt;=Scoring!$B$16,"Immediate",IF(C176&gt;=Scoring!$B$17,"This week",IF(C176&gt;=Scoring!$B$18,"Nurture","Low"))))</f>
        <v>This week</v>
      </c>
      <c r="C176" s="3" t="n">
        <f aca="false">SUM(AC176:AH176)</f>
        <v>64</v>
      </c>
      <c r="D176" s="15" t="str">
        <f aca="false">IF(T176="Y","Superseded record",IF(AND(U176&lt;&gt;"",AA176&lt;0),"Expired (verified)",IF(AND(U176&lt;&gt;"",AA176&lt;=Scoring!$B$5),"Expiring: notice window (verified)",IF(AND(U176&lt;&gt;"",AA176&lt;=Scoring!$B$6),"Expiring: 10-yr horizon (verified)",IF(M176="No Longer Monitored","Out of program",IF(N176="","Unknown vintage",IF(N176&lt;Scoring!$B$12,"Pre-1990, still listed",IF(AND(U176="",AA176&lt;0),"Past 30-yr mark (verify)",IF(AND(U176="",AA176&lt;=Scoring!$B$5),"30-yr mark: notice window (est.)",IF(AND(O176&gt;=Scoring!$B$7,O176&lt;=Scoring!$B$8),"Year-15 window",IF(O176&gt;=Scoring!$B$9,"Recap window",IF(O176&gt;=11,"Late compliance","Credit period"))))))))))))</f>
        <v>Past 30-yr mark (verify)</v>
      </c>
      <c r="E176" s="15" t="s">
        <v>768</v>
      </c>
      <c r="F176" s="15" t="s">
        <v>769</v>
      </c>
      <c r="G176" s="15" t="s">
        <v>770</v>
      </c>
      <c r="H176" s="15" t="s">
        <v>146</v>
      </c>
      <c r="I176" s="15" t="s">
        <v>558</v>
      </c>
      <c r="J176" s="15" t="n">
        <v>22</v>
      </c>
      <c r="K176" s="15" t="n">
        <v>22</v>
      </c>
      <c r="L176" s="15" t="n">
        <f aca="false">IF(OR(J176="",K176=""),"",MAX(J176-K176,0))</f>
        <v>0</v>
      </c>
      <c r="M176" s="15" t="s">
        <v>99</v>
      </c>
      <c r="N176" s="17" t="n">
        <v>1994</v>
      </c>
      <c r="O176" s="15" t="n">
        <f aca="false">IF(N176="","",Scoring!$B$4-N176)</f>
        <v>32</v>
      </c>
      <c r="P176" s="15" t="n">
        <f aca="false">IF(N176="","",N176+14)</f>
        <v>2008</v>
      </c>
      <c r="Q176" s="15" t="n">
        <f aca="false">IF(N176="","",IF(N176&lt;Scoring!$B$12,"n/a (pre-1990)",N176+Scoring!$B$13))</f>
        <v>2023</v>
      </c>
      <c r="R176" s="15" t="str">
        <f aca="false">IF(J176="","Unknown",IF(J176&gt;=5,"Yes","No (under 5 units)"))</f>
        <v>Yes</v>
      </c>
      <c r="S176" s="15"/>
      <c r="T176" s="18"/>
      <c r="U176" s="19"/>
      <c r="V176" s="18"/>
      <c r="W176" s="18"/>
      <c r="X176" s="20"/>
      <c r="Y176" s="18"/>
      <c r="Z176" s="18"/>
      <c r="AA176" s="21" t="n">
        <f aca="false">IF(U176&lt;&gt;"",(U176-Scoring!$B$3)/365.25,IF(N176="","",IF(N176&lt;Scoring!$B$12,"",(DATE(N176+Scoring!$B$13,12,31)-Scoring!$B$3)/365.25)))</f>
        <v>-2.75427789185489</v>
      </c>
      <c r="AB176" s="22" t="n">
        <f aca="false">IF(T176="Y",0,IF(OR(D176="Expired (verified)",D176="Expiring: notice window (verified)",D176="Expiring: 10-yr horizon (verified)",D176="Past 30-yr mark (verify)",D176="30-yr mark: notice window (est.)",D176="Year-15 window"),1,0)+IF(ISNUMBER(O176),IF(O176&gt;=Scoring!$B$10,1,0),0)+IF(AND(ISNUMBER(L176),ISNUMBER(J176)),IF(J176&gt;0,IF(L176/J176&gt;=Scoring!$B$11,1,0),0),0)+IF(ISNUMBER(Z176),MIN(Z176,3),0))</f>
        <v>2</v>
      </c>
      <c r="AC176" s="22" t="n">
        <f aca="false">IF(AB176&gt;=3,Scoring!$C$24,IF(AB176=2,Scoring!$C$23,IF(AB176=1,Scoring!$C$22,0)))</f>
        <v>18</v>
      </c>
      <c r="AD176" s="22" t="n">
        <f aca="false">IF(T176="Y",0,IF(ISNUMBER(X176),IF(X176&gt;0.7,Scoring!$C$25,IF(X176&gt;=0.5,Scoring!$C$26,IF(X176&gt;=0.3,Scoring!$C$27,Scoring!$C$28))),Scoring!$C$29))</f>
        <v>10</v>
      </c>
      <c r="AE176" s="22" t="n">
        <f aca="false">IF(D176="Expiring: notice window (verified)",Scoring!$C$30,IF(OR(D176="Expired (verified)",D176="30-yr mark: notice window (est.)",D176="Year-15 window"),Scoring!$C$31,IF(D176="Expiring: 10-yr horizon (verified)",Scoring!$C$32,IF(D176="Past 30-yr mark (verify)",Scoring!$C$33,IF(OR(D176="Credit period",D176="Superseded record"),Scoring!$C$35,Scoring!$C$34)))))</f>
        <v>8</v>
      </c>
      <c r="AF176" s="22" t="n">
        <f aca="false">IF(T176="Y",0,IF(ISNUMBER(V176),IF(Scoring!$B$4-V176&gt;15,Scoring!$C$36,IF(Scoring!$B$4-V176&gt;=10,Scoring!$C$37,IF(Scoring!$B$4-V176&gt;=5,Scoring!$C$38,Scoring!$C$39))),IF(OR(N176="",D176="Out of program"),Scoring!$C$40,IF(O176&gt;15,Scoring!$C$36,IF(O176&gt;=10,Scoring!$C$37,IF(O176&gt;=5,Scoring!$C$38,Scoring!$C$39))))))</f>
        <v>15</v>
      </c>
      <c r="AG176" s="22" t="n">
        <f aca="false">IF(T176="Y",0,IF(Y176="Y",Scoring!$C$41,IF(ISNUMBER(O176),IF(O176&gt;=25,Scoring!$C$42,IF(O176&gt;=15,Scoring!$C$43,Scoring!$C$44)),Scoring!$C$44)))</f>
        <v>8</v>
      </c>
      <c r="AH176" s="22" t="n">
        <f aca="false">IF(T176="Y",0,IF(W176="",Scoring!$C$49,IFERROR(VLOOKUP(W176,Scoring!$B$45:$C$48,2,FALSE()),Scoring!$C$49)))</f>
        <v>5</v>
      </c>
      <c r="AI176" s="23" t="n">
        <f aca="false">C176+IF(ISNUMBER(J176),J176,0)/100000+(10000-ROW())/1000000000</f>
        <v>64.000229824</v>
      </c>
      <c r="AJ176" s="18"/>
      <c r="AK176" s="18"/>
      <c r="AL176" s="18"/>
      <c r="AM176" s="18"/>
    </row>
    <row r="177" customFormat="false" ht="15" hidden="false" customHeight="false" outlineLevel="0" collapsed="false">
      <c r="A177" s="15" t="n">
        <f aca="false">RANK(AI177,$AI$2:$AI$755)</f>
        <v>176</v>
      </c>
      <c r="B177" s="16" t="str">
        <f aca="false">IF(T177="Y","Superseded",IF(C177&gt;=Scoring!$B$16,"Immediate",IF(C177&gt;=Scoring!$B$17,"This week",IF(C177&gt;=Scoring!$B$18,"Nurture","Low"))))</f>
        <v>This week</v>
      </c>
      <c r="C177" s="3" t="n">
        <f aca="false">SUM(AC177:AH177)</f>
        <v>64</v>
      </c>
      <c r="D177" s="15" t="str">
        <f aca="false">IF(T177="Y","Superseded record",IF(AND(U177&lt;&gt;"",AA177&lt;0),"Expired (verified)",IF(AND(U177&lt;&gt;"",AA177&lt;=Scoring!$B$5),"Expiring: notice window (verified)",IF(AND(U177&lt;&gt;"",AA177&lt;=Scoring!$B$6),"Expiring: 10-yr horizon (verified)",IF(M177="No Longer Monitored","Out of program",IF(N177="","Unknown vintage",IF(N177&lt;Scoring!$B$12,"Pre-1990, still listed",IF(AND(U177="",AA177&lt;0),"Past 30-yr mark (verify)",IF(AND(U177="",AA177&lt;=Scoring!$B$5),"30-yr mark: notice window (est.)",IF(AND(O177&gt;=Scoring!$B$7,O177&lt;=Scoring!$B$8),"Year-15 window",IF(O177&gt;=Scoring!$B$9,"Recap window",IF(O177&gt;=11,"Late compliance","Credit period"))))))))))))</f>
        <v>Past 30-yr mark (verify)</v>
      </c>
      <c r="E177" s="15" t="s">
        <v>771</v>
      </c>
      <c r="F177" s="15" t="s">
        <v>772</v>
      </c>
      <c r="G177" s="15" t="s">
        <v>773</v>
      </c>
      <c r="H177" s="15" t="s">
        <v>146</v>
      </c>
      <c r="I177" s="15" t="s">
        <v>558</v>
      </c>
      <c r="J177" s="15" t="n">
        <v>21</v>
      </c>
      <c r="K177" s="15" t="n">
        <v>21</v>
      </c>
      <c r="L177" s="15" t="n">
        <f aca="false">IF(OR(J177="",K177=""),"",MAX(J177-K177,0))</f>
        <v>0</v>
      </c>
      <c r="M177" s="15" t="s">
        <v>99</v>
      </c>
      <c r="N177" s="17" t="n">
        <v>1994</v>
      </c>
      <c r="O177" s="15" t="n">
        <f aca="false">IF(N177="","",Scoring!$B$4-N177)</f>
        <v>32</v>
      </c>
      <c r="P177" s="15" t="n">
        <f aca="false">IF(N177="","",N177+14)</f>
        <v>2008</v>
      </c>
      <c r="Q177" s="15" t="n">
        <f aca="false">IF(N177="","",IF(N177&lt;Scoring!$B$12,"n/a (pre-1990)",N177+Scoring!$B$13))</f>
        <v>2023</v>
      </c>
      <c r="R177" s="15" t="str">
        <f aca="false">IF(J177="","Unknown",IF(J177&gt;=5,"Yes","No (under 5 units)"))</f>
        <v>Yes</v>
      </c>
      <c r="S177" s="15"/>
      <c r="T177" s="18"/>
      <c r="U177" s="19"/>
      <c r="V177" s="18"/>
      <c r="W177" s="18"/>
      <c r="X177" s="20"/>
      <c r="Y177" s="18"/>
      <c r="Z177" s="18"/>
      <c r="AA177" s="21" t="n">
        <f aca="false">IF(U177&lt;&gt;"",(U177-Scoring!$B$3)/365.25,IF(N177="","",IF(N177&lt;Scoring!$B$12,"",(DATE(N177+Scoring!$B$13,12,31)-Scoring!$B$3)/365.25)))</f>
        <v>-2.75427789185489</v>
      </c>
      <c r="AB177" s="22" t="n">
        <f aca="false">IF(T177="Y",0,IF(OR(D177="Expired (verified)",D177="Expiring: notice window (verified)",D177="Expiring: 10-yr horizon (verified)",D177="Past 30-yr mark (verify)",D177="30-yr mark: notice window (est.)",D177="Year-15 window"),1,0)+IF(ISNUMBER(O177),IF(O177&gt;=Scoring!$B$10,1,0),0)+IF(AND(ISNUMBER(L177),ISNUMBER(J177)),IF(J177&gt;0,IF(L177/J177&gt;=Scoring!$B$11,1,0),0),0)+IF(ISNUMBER(Z177),MIN(Z177,3),0))</f>
        <v>2</v>
      </c>
      <c r="AC177" s="22" t="n">
        <f aca="false">IF(AB177&gt;=3,Scoring!$C$24,IF(AB177=2,Scoring!$C$23,IF(AB177=1,Scoring!$C$22,0)))</f>
        <v>18</v>
      </c>
      <c r="AD177" s="22" t="n">
        <f aca="false">IF(T177="Y",0,IF(ISNUMBER(X177),IF(X177&gt;0.7,Scoring!$C$25,IF(X177&gt;=0.5,Scoring!$C$26,IF(X177&gt;=0.3,Scoring!$C$27,Scoring!$C$28))),Scoring!$C$29))</f>
        <v>10</v>
      </c>
      <c r="AE177" s="22" t="n">
        <f aca="false">IF(D177="Expiring: notice window (verified)",Scoring!$C$30,IF(OR(D177="Expired (verified)",D177="30-yr mark: notice window (est.)",D177="Year-15 window"),Scoring!$C$31,IF(D177="Expiring: 10-yr horizon (verified)",Scoring!$C$32,IF(D177="Past 30-yr mark (verify)",Scoring!$C$33,IF(OR(D177="Credit period",D177="Superseded record"),Scoring!$C$35,Scoring!$C$34)))))</f>
        <v>8</v>
      </c>
      <c r="AF177" s="22" t="n">
        <f aca="false">IF(T177="Y",0,IF(ISNUMBER(V177),IF(Scoring!$B$4-V177&gt;15,Scoring!$C$36,IF(Scoring!$B$4-V177&gt;=10,Scoring!$C$37,IF(Scoring!$B$4-V177&gt;=5,Scoring!$C$38,Scoring!$C$39))),IF(OR(N177="",D177="Out of program"),Scoring!$C$40,IF(O177&gt;15,Scoring!$C$36,IF(O177&gt;=10,Scoring!$C$37,IF(O177&gt;=5,Scoring!$C$38,Scoring!$C$39))))))</f>
        <v>15</v>
      </c>
      <c r="AG177" s="22" t="n">
        <f aca="false">IF(T177="Y",0,IF(Y177="Y",Scoring!$C$41,IF(ISNUMBER(O177),IF(O177&gt;=25,Scoring!$C$42,IF(O177&gt;=15,Scoring!$C$43,Scoring!$C$44)),Scoring!$C$44)))</f>
        <v>8</v>
      </c>
      <c r="AH177" s="22" t="n">
        <f aca="false">IF(T177="Y",0,IF(W177="",Scoring!$C$49,IFERROR(VLOOKUP(W177,Scoring!$B$45:$C$48,2,FALSE()),Scoring!$C$49)))</f>
        <v>5</v>
      </c>
      <c r="AI177" s="23" t="n">
        <f aca="false">C177+IF(ISNUMBER(J177),J177,0)/100000+(10000-ROW())/1000000000</f>
        <v>64.000219823</v>
      </c>
      <c r="AJ177" s="18"/>
      <c r="AK177" s="18"/>
      <c r="AL177" s="18"/>
      <c r="AM177" s="18"/>
    </row>
    <row r="178" customFormat="false" ht="15" hidden="false" customHeight="false" outlineLevel="0" collapsed="false">
      <c r="A178" s="15" t="n">
        <f aca="false">RANK(AI178,$AI$2:$AI$755)</f>
        <v>177</v>
      </c>
      <c r="B178" s="16" t="str">
        <f aca="false">IF(T178="Y","Superseded",IF(C178&gt;=Scoring!$B$16,"Immediate",IF(C178&gt;=Scoring!$B$17,"This week",IF(C178&gt;=Scoring!$B$18,"Nurture","Low"))))</f>
        <v>This week</v>
      </c>
      <c r="C178" s="3" t="n">
        <f aca="false">SUM(AC178:AH178)</f>
        <v>64</v>
      </c>
      <c r="D178" s="15" t="str">
        <f aca="false">IF(T178="Y","Superseded record",IF(AND(U178&lt;&gt;"",AA178&lt;0),"Expired (verified)",IF(AND(U178&lt;&gt;"",AA178&lt;=Scoring!$B$5),"Expiring: notice window (verified)",IF(AND(U178&lt;&gt;"",AA178&lt;=Scoring!$B$6),"Expiring: 10-yr horizon (verified)",IF(M178="No Longer Monitored","Out of program",IF(N178="","Unknown vintage",IF(N178&lt;Scoring!$B$12,"Pre-1990, still listed",IF(AND(U178="",AA178&lt;0),"Past 30-yr mark (verify)",IF(AND(U178="",AA178&lt;=Scoring!$B$5),"30-yr mark: notice window (est.)",IF(AND(O178&gt;=Scoring!$B$7,O178&lt;=Scoring!$B$8),"Year-15 window",IF(O178&gt;=Scoring!$B$9,"Recap window",IF(O178&gt;=11,"Late compliance","Credit period"))))))))))))</f>
        <v>Past 30-yr mark (verify)</v>
      </c>
      <c r="E178" s="15" t="s">
        <v>774</v>
      </c>
      <c r="F178" s="15" t="s">
        <v>775</v>
      </c>
      <c r="G178" s="15" t="s">
        <v>776</v>
      </c>
      <c r="H178" s="15" t="s">
        <v>777</v>
      </c>
      <c r="I178" s="15" t="s">
        <v>778</v>
      </c>
      <c r="J178" s="15" t="n">
        <v>20</v>
      </c>
      <c r="K178" s="15"/>
      <c r="L178" s="15" t="str">
        <f aca="false">IF(OR(J178="",K178=""),"",MAX(J178-K178,0))</f>
        <v/>
      </c>
      <c r="M178" s="15" t="s">
        <v>99</v>
      </c>
      <c r="N178" s="17" t="n">
        <v>1991</v>
      </c>
      <c r="O178" s="15" t="n">
        <f aca="false">IF(N178="","",Scoring!$B$4-N178)</f>
        <v>35</v>
      </c>
      <c r="P178" s="15" t="n">
        <f aca="false">IF(N178="","",N178+14)</f>
        <v>2005</v>
      </c>
      <c r="Q178" s="15" t="n">
        <f aca="false">IF(N178="","",IF(N178&lt;Scoring!$B$12,"n/a (pre-1990)",N178+Scoring!$B$13))</f>
        <v>2020</v>
      </c>
      <c r="R178" s="15" t="str">
        <f aca="false">IF(J178="","Unknown",IF(J178&gt;=5,"Yes","No (under 5 units)"))</f>
        <v>Yes</v>
      </c>
      <c r="S178" s="15" t="s">
        <v>779</v>
      </c>
      <c r="T178" s="18"/>
      <c r="U178" s="19"/>
      <c r="V178" s="18"/>
      <c r="W178" s="18"/>
      <c r="X178" s="20"/>
      <c r="Y178" s="18"/>
      <c r="Z178" s="18"/>
      <c r="AA178" s="21" t="n">
        <f aca="false">IF(U178&lt;&gt;"",(U178-Scoring!$B$3)/365.25,IF(N178="","",IF(N178&lt;Scoring!$B$12,"",(DATE(N178+Scoring!$B$13,12,31)-Scoring!$B$3)/365.25)))</f>
        <v>-5.75222450376455</v>
      </c>
      <c r="AB178" s="22" t="n">
        <f aca="false">IF(T178="Y",0,IF(OR(D178="Expired (verified)",D178="Expiring: notice window (verified)",D178="Expiring: 10-yr horizon (verified)",D178="Past 30-yr mark (verify)",D178="30-yr mark: notice window (est.)",D178="Year-15 window"),1,0)+IF(ISNUMBER(O178),IF(O178&gt;=Scoring!$B$10,1,0),0)+IF(AND(ISNUMBER(L178),ISNUMBER(J178)),IF(J178&gt;0,IF(L178/J178&gt;=Scoring!$B$11,1,0),0),0)+IF(ISNUMBER(Z178),MIN(Z178,3),0))</f>
        <v>2</v>
      </c>
      <c r="AC178" s="22" t="n">
        <f aca="false">IF(AB178&gt;=3,Scoring!$C$24,IF(AB178=2,Scoring!$C$23,IF(AB178=1,Scoring!$C$22,0)))</f>
        <v>18</v>
      </c>
      <c r="AD178" s="22" t="n">
        <f aca="false">IF(T178="Y",0,IF(ISNUMBER(X178),IF(X178&gt;0.7,Scoring!$C$25,IF(X178&gt;=0.5,Scoring!$C$26,IF(X178&gt;=0.3,Scoring!$C$27,Scoring!$C$28))),Scoring!$C$29))</f>
        <v>10</v>
      </c>
      <c r="AE178" s="22" t="n">
        <f aca="false">IF(D178="Expiring: notice window (verified)",Scoring!$C$30,IF(OR(D178="Expired (verified)",D178="30-yr mark: notice window (est.)",D178="Year-15 window"),Scoring!$C$31,IF(D178="Expiring: 10-yr horizon (verified)",Scoring!$C$32,IF(D178="Past 30-yr mark (verify)",Scoring!$C$33,IF(OR(D178="Credit period",D178="Superseded record"),Scoring!$C$35,Scoring!$C$34)))))</f>
        <v>8</v>
      </c>
      <c r="AF178" s="22" t="n">
        <f aca="false">IF(T178="Y",0,IF(ISNUMBER(V178),IF(Scoring!$B$4-V178&gt;15,Scoring!$C$36,IF(Scoring!$B$4-V178&gt;=10,Scoring!$C$37,IF(Scoring!$B$4-V178&gt;=5,Scoring!$C$38,Scoring!$C$39))),IF(OR(N178="",D178="Out of program"),Scoring!$C$40,IF(O178&gt;15,Scoring!$C$36,IF(O178&gt;=10,Scoring!$C$37,IF(O178&gt;=5,Scoring!$C$38,Scoring!$C$39))))))</f>
        <v>15</v>
      </c>
      <c r="AG178" s="22" t="n">
        <f aca="false">IF(T178="Y",0,IF(Y178="Y",Scoring!$C$41,IF(ISNUMBER(O178),IF(O178&gt;=25,Scoring!$C$42,IF(O178&gt;=15,Scoring!$C$43,Scoring!$C$44)),Scoring!$C$44)))</f>
        <v>8</v>
      </c>
      <c r="AH178" s="22" t="n">
        <f aca="false">IF(T178="Y",0,IF(W178="",Scoring!$C$49,IFERROR(VLOOKUP(W178,Scoring!$B$45:$C$48,2,FALSE()),Scoring!$C$49)))</f>
        <v>5</v>
      </c>
      <c r="AI178" s="23" t="n">
        <f aca="false">C178+IF(ISNUMBER(J178),J178,0)/100000+(10000-ROW())/1000000000</f>
        <v>64.000209822</v>
      </c>
      <c r="AJ178" s="18"/>
      <c r="AK178" s="18"/>
      <c r="AL178" s="18"/>
      <c r="AM178" s="18"/>
    </row>
    <row r="179" customFormat="false" ht="15" hidden="false" customHeight="false" outlineLevel="0" collapsed="false">
      <c r="A179" s="15" t="n">
        <f aca="false">RANK(AI179,$AI$2:$AI$755)</f>
        <v>178</v>
      </c>
      <c r="B179" s="16" t="str">
        <f aca="false">IF(T179="Y","Superseded",IF(C179&gt;=Scoring!$B$16,"Immediate",IF(C179&gt;=Scoring!$B$17,"This week",IF(C179&gt;=Scoring!$B$18,"Nurture","Low"))))</f>
        <v>This week</v>
      </c>
      <c r="C179" s="3" t="n">
        <f aca="false">SUM(AC179:AH179)</f>
        <v>64</v>
      </c>
      <c r="D179" s="15" t="str">
        <f aca="false">IF(T179="Y","Superseded record",IF(AND(U179&lt;&gt;"",AA179&lt;0),"Expired (verified)",IF(AND(U179&lt;&gt;"",AA179&lt;=Scoring!$B$5),"Expiring: notice window (verified)",IF(AND(U179&lt;&gt;"",AA179&lt;=Scoring!$B$6),"Expiring: 10-yr horizon (verified)",IF(M179="No Longer Monitored","Out of program",IF(N179="","Unknown vintage",IF(N179&lt;Scoring!$B$12,"Pre-1990, still listed",IF(AND(U179="",AA179&lt;0),"Past 30-yr mark (verify)",IF(AND(U179="",AA179&lt;=Scoring!$B$5),"30-yr mark: notice window (est.)",IF(AND(O179&gt;=Scoring!$B$7,O179&lt;=Scoring!$B$8),"Year-15 window",IF(O179&gt;=Scoring!$B$9,"Recap window",IF(O179&gt;=11,"Late compliance","Credit period"))))))))))))</f>
        <v>Past 30-yr mark (verify)</v>
      </c>
      <c r="E179" s="15" t="s">
        <v>780</v>
      </c>
      <c r="F179" s="15" t="s">
        <v>781</v>
      </c>
      <c r="G179" s="15" t="s">
        <v>782</v>
      </c>
      <c r="H179" s="15" t="s">
        <v>783</v>
      </c>
      <c r="I179" s="15" t="s">
        <v>784</v>
      </c>
      <c r="J179" s="15" t="n">
        <v>20</v>
      </c>
      <c r="K179" s="15" t="n">
        <v>20</v>
      </c>
      <c r="L179" s="15" t="n">
        <f aca="false">IF(OR(J179="",K179=""),"",MAX(J179-K179,0))</f>
        <v>0</v>
      </c>
      <c r="M179" s="15" t="s">
        <v>99</v>
      </c>
      <c r="N179" s="17" t="n">
        <v>1996</v>
      </c>
      <c r="O179" s="15" t="n">
        <f aca="false">IF(N179="","",Scoring!$B$4-N179)</f>
        <v>30</v>
      </c>
      <c r="P179" s="15" t="n">
        <f aca="false">IF(N179="","",N179+14)</f>
        <v>2010</v>
      </c>
      <c r="Q179" s="15" t="n">
        <f aca="false">IF(N179="","",IF(N179&lt;Scoring!$B$12,"n/a (pre-1990)",N179+Scoring!$B$13))</f>
        <v>2025</v>
      </c>
      <c r="R179" s="15" t="str">
        <f aca="false">IF(J179="","Unknown",IF(J179&gt;=5,"Yes","No (under 5 units)"))</f>
        <v>Yes</v>
      </c>
      <c r="S179" s="15"/>
      <c r="T179" s="18"/>
      <c r="U179" s="19"/>
      <c r="V179" s="18"/>
      <c r="W179" s="18"/>
      <c r="X179" s="20"/>
      <c r="Y179" s="18"/>
      <c r="Z179" s="18"/>
      <c r="AA179" s="21" t="n">
        <f aca="false">IF(U179&lt;&gt;"",(U179-Scoring!$B$3)/365.25,IF(N179="","",IF(N179&lt;Scoring!$B$12,"",(DATE(N179+Scoring!$B$13,12,31)-Scoring!$B$3)/365.25)))</f>
        <v>-0.752908966461328</v>
      </c>
      <c r="AB179" s="22" t="n">
        <f aca="false">IF(T179="Y",0,IF(OR(D179="Expired (verified)",D179="Expiring: notice window (verified)",D179="Expiring: 10-yr horizon (verified)",D179="Past 30-yr mark (verify)",D179="30-yr mark: notice window (est.)",D179="Year-15 window"),1,0)+IF(ISNUMBER(O179),IF(O179&gt;=Scoring!$B$10,1,0),0)+IF(AND(ISNUMBER(L179),ISNUMBER(J179)),IF(J179&gt;0,IF(L179/J179&gt;=Scoring!$B$11,1,0),0),0)+IF(ISNUMBER(Z179),MIN(Z179,3),0))</f>
        <v>2</v>
      </c>
      <c r="AC179" s="22" t="n">
        <f aca="false">IF(AB179&gt;=3,Scoring!$C$24,IF(AB179=2,Scoring!$C$23,IF(AB179=1,Scoring!$C$22,0)))</f>
        <v>18</v>
      </c>
      <c r="AD179" s="22" t="n">
        <f aca="false">IF(T179="Y",0,IF(ISNUMBER(X179),IF(X179&gt;0.7,Scoring!$C$25,IF(X179&gt;=0.5,Scoring!$C$26,IF(X179&gt;=0.3,Scoring!$C$27,Scoring!$C$28))),Scoring!$C$29))</f>
        <v>10</v>
      </c>
      <c r="AE179" s="22" t="n">
        <f aca="false">IF(D179="Expiring: notice window (verified)",Scoring!$C$30,IF(OR(D179="Expired (verified)",D179="30-yr mark: notice window (est.)",D179="Year-15 window"),Scoring!$C$31,IF(D179="Expiring: 10-yr horizon (verified)",Scoring!$C$32,IF(D179="Past 30-yr mark (verify)",Scoring!$C$33,IF(OR(D179="Credit period",D179="Superseded record"),Scoring!$C$35,Scoring!$C$34)))))</f>
        <v>8</v>
      </c>
      <c r="AF179" s="22" t="n">
        <f aca="false">IF(T179="Y",0,IF(ISNUMBER(V179),IF(Scoring!$B$4-V179&gt;15,Scoring!$C$36,IF(Scoring!$B$4-V179&gt;=10,Scoring!$C$37,IF(Scoring!$B$4-V179&gt;=5,Scoring!$C$38,Scoring!$C$39))),IF(OR(N179="",D179="Out of program"),Scoring!$C$40,IF(O179&gt;15,Scoring!$C$36,IF(O179&gt;=10,Scoring!$C$37,IF(O179&gt;=5,Scoring!$C$38,Scoring!$C$39))))))</f>
        <v>15</v>
      </c>
      <c r="AG179" s="22" t="n">
        <f aca="false">IF(T179="Y",0,IF(Y179="Y",Scoring!$C$41,IF(ISNUMBER(O179),IF(O179&gt;=25,Scoring!$C$42,IF(O179&gt;=15,Scoring!$C$43,Scoring!$C$44)),Scoring!$C$44)))</f>
        <v>8</v>
      </c>
      <c r="AH179" s="22" t="n">
        <f aca="false">IF(T179="Y",0,IF(W179="",Scoring!$C$49,IFERROR(VLOOKUP(W179,Scoring!$B$45:$C$48,2,FALSE()),Scoring!$C$49)))</f>
        <v>5</v>
      </c>
      <c r="AI179" s="23" t="n">
        <f aca="false">C179+IF(ISNUMBER(J179),J179,0)/100000+(10000-ROW())/1000000000</f>
        <v>64.000209821</v>
      </c>
      <c r="AJ179" s="18"/>
      <c r="AK179" s="18"/>
      <c r="AL179" s="18"/>
      <c r="AM179" s="18"/>
    </row>
    <row r="180" customFormat="false" ht="15" hidden="false" customHeight="false" outlineLevel="0" collapsed="false">
      <c r="A180" s="15" t="n">
        <f aca="false">RANK(AI180,$AI$2:$AI$755)</f>
        <v>179</v>
      </c>
      <c r="B180" s="16" t="str">
        <f aca="false">IF(T180="Y","Superseded",IF(C180&gt;=Scoring!$B$16,"Immediate",IF(C180&gt;=Scoring!$B$17,"This week",IF(C180&gt;=Scoring!$B$18,"Nurture","Low"))))</f>
        <v>This week</v>
      </c>
      <c r="C180" s="3" t="n">
        <f aca="false">SUM(AC180:AH180)</f>
        <v>64</v>
      </c>
      <c r="D180" s="15" t="str">
        <f aca="false">IF(T180="Y","Superseded record",IF(AND(U180&lt;&gt;"",AA180&lt;0),"Expired (verified)",IF(AND(U180&lt;&gt;"",AA180&lt;=Scoring!$B$5),"Expiring: notice window (verified)",IF(AND(U180&lt;&gt;"",AA180&lt;=Scoring!$B$6),"Expiring: 10-yr horizon (verified)",IF(M180="No Longer Monitored","Out of program",IF(N180="","Unknown vintage",IF(N180&lt;Scoring!$B$12,"Pre-1990, still listed",IF(AND(U180="",AA180&lt;0),"Past 30-yr mark (verify)",IF(AND(U180="",AA180&lt;=Scoring!$B$5),"30-yr mark: notice window (est.)",IF(AND(O180&gt;=Scoring!$B$7,O180&lt;=Scoring!$B$8),"Year-15 window",IF(O180&gt;=Scoring!$B$9,"Recap window",IF(O180&gt;=11,"Late compliance","Credit period"))))))))))))</f>
        <v>Past 30-yr mark (verify)</v>
      </c>
      <c r="E180" s="15" t="s">
        <v>785</v>
      </c>
      <c r="F180" s="15" t="s">
        <v>786</v>
      </c>
      <c r="G180" s="15" t="s">
        <v>787</v>
      </c>
      <c r="H180" s="15" t="s">
        <v>146</v>
      </c>
      <c r="I180" s="15" t="s">
        <v>558</v>
      </c>
      <c r="J180" s="15" t="n">
        <v>19</v>
      </c>
      <c r="K180" s="15" t="n">
        <v>19</v>
      </c>
      <c r="L180" s="15" t="n">
        <f aca="false">IF(OR(J180="",K180=""),"",MAX(J180-K180,0))</f>
        <v>0</v>
      </c>
      <c r="M180" s="15" t="s">
        <v>99</v>
      </c>
      <c r="N180" s="17" t="n">
        <v>1995</v>
      </c>
      <c r="O180" s="15" t="n">
        <f aca="false">IF(N180="","",Scoring!$B$4-N180)</f>
        <v>31</v>
      </c>
      <c r="P180" s="15" t="n">
        <f aca="false">IF(N180="","",N180+14)</f>
        <v>2009</v>
      </c>
      <c r="Q180" s="15" t="n">
        <f aca="false">IF(N180="","",IF(N180&lt;Scoring!$B$12,"n/a (pre-1990)",N180+Scoring!$B$13))</f>
        <v>2024</v>
      </c>
      <c r="R180" s="15" t="str">
        <f aca="false">IF(J180="","Unknown",IF(J180&gt;=5,"Yes","No (under 5 units)"))</f>
        <v>Yes</v>
      </c>
      <c r="S180" s="15"/>
      <c r="T180" s="18"/>
      <c r="U180" s="19"/>
      <c r="V180" s="18"/>
      <c r="W180" s="18"/>
      <c r="X180" s="20"/>
      <c r="Y180" s="18"/>
      <c r="Z180" s="18"/>
      <c r="AA180" s="21" t="n">
        <f aca="false">IF(U180&lt;&gt;"",(U180-Scoring!$B$3)/365.25,IF(N180="","",IF(N180&lt;Scoring!$B$12,"",(DATE(N180+Scoring!$B$13,12,31)-Scoring!$B$3)/365.25)))</f>
        <v>-1.75222450376454</v>
      </c>
      <c r="AB180" s="22" t="n">
        <f aca="false">IF(T180="Y",0,IF(OR(D180="Expired (verified)",D180="Expiring: notice window (verified)",D180="Expiring: 10-yr horizon (verified)",D180="Past 30-yr mark (verify)",D180="30-yr mark: notice window (est.)",D180="Year-15 window"),1,0)+IF(ISNUMBER(O180),IF(O180&gt;=Scoring!$B$10,1,0),0)+IF(AND(ISNUMBER(L180),ISNUMBER(J180)),IF(J180&gt;0,IF(L180/J180&gt;=Scoring!$B$11,1,0),0),0)+IF(ISNUMBER(Z180),MIN(Z180,3),0))</f>
        <v>2</v>
      </c>
      <c r="AC180" s="22" t="n">
        <f aca="false">IF(AB180&gt;=3,Scoring!$C$24,IF(AB180=2,Scoring!$C$23,IF(AB180=1,Scoring!$C$22,0)))</f>
        <v>18</v>
      </c>
      <c r="AD180" s="22" t="n">
        <f aca="false">IF(T180="Y",0,IF(ISNUMBER(X180),IF(X180&gt;0.7,Scoring!$C$25,IF(X180&gt;=0.5,Scoring!$C$26,IF(X180&gt;=0.3,Scoring!$C$27,Scoring!$C$28))),Scoring!$C$29))</f>
        <v>10</v>
      </c>
      <c r="AE180" s="22" t="n">
        <f aca="false">IF(D180="Expiring: notice window (verified)",Scoring!$C$30,IF(OR(D180="Expired (verified)",D180="30-yr mark: notice window (est.)",D180="Year-15 window"),Scoring!$C$31,IF(D180="Expiring: 10-yr horizon (verified)",Scoring!$C$32,IF(D180="Past 30-yr mark (verify)",Scoring!$C$33,IF(OR(D180="Credit period",D180="Superseded record"),Scoring!$C$35,Scoring!$C$34)))))</f>
        <v>8</v>
      </c>
      <c r="AF180" s="22" t="n">
        <f aca="false">IF(T180="Y",0,IF(ISNUMBER(V180),IF(Scoring!$B$4-V180&gt;15,Scoring!$C$36,IF(Scoring!$B$4-V180&gt;=10,Scoring!$C$37,IF(Scoring!$B$4-V180&gt;=5,Scoring!$C$38,Scoring!$C$39))),IF(OR(N180="",D180="Out of program"),Scoring!$C$40,IF(O180&gt;15,Scoring!$C$36,IF(O180&gt;=10,Scoring!$C$37,IF(O180&gt;=5,Scoring!$C$38,Scoring!$C$39))))))</f>
        <v>15</v>
      </c>
      <c r="AG180" s="22" t="n">
        <f aca="false">IF(T180="Y",0,IF(Y180="Y",Scoring!$C$41,IF(ISNUMBER(O180),IF(O180&gt;=25,Scoring!$C$42,IF(O180&gt;=15,Scoring!$C$43,Scoring!$C$44)),Scoring!$C$44)))</f>
        <v>8</v>
      </c>
      <c r="AH180" s="22" t="n">
        <f aca="false">IF(T180="Y",0,IF(W180="",Scoring!$C$49,IFERROR(VLOOKUP(W180,Scoring!$B$45:$C$48,2,FALSE()),Scoring!$C$49)))</f>
        <v>5</v>
      </c>
      <c r="AI180" s="23" t="n">
        <f aca="false">C180+IF(ISNUMBER(J180),J180,0)/100000+(10000-ROW())/1000000000</f>
        <v>64.00019982</v>
      </c>
      <c r="AJ180" s="18"/>
      <c r="AK180" s="18"/>
      <c r="AL180" s="18"/>
      <c r="AM180" s="18"/>
    </row>
    <row r="181" customFormat="false" ht="15" hidden="false" customHeight="false" outlineLevel="0" collapsed="false">
      <c r="A181" s="15" t="n">
        <f aca="false">RANK(AI181,$AI$2:$AI$755)</f>
        <v>180</v>
      </c>
      <c r="B181" s="16" t="str">
        <f aca="false">IF(T181="Y","Superseded",IF(C181&gt;=Scoring!$B$16,"Immediate",IF(C181&gt;=Scoring!$B$17,"This week",IF(C181&gt;=Scoring!$B$18,"Nurture","Low"))))</f>
        <v>This week</v>
      </c>
      <c r="C181" s="3" t="n">
        <f aca="false">SUM(AC181:AH181)</f>
        <v>64</v>
      </c>
      <c r="D181" s="15" t="str">
        <f aca="false">IF(T181="Y","Superseded record",IF(AND(U181&lt;&gt;"",AA181&lt;0),"Expired (verified)",IF(AND(U181&lt;&gt;"",AA181&lt;=Scoring!$B$5),"Expiring: notice window (verified)",IF(AND(U181&lt;&gt;"",AA181&lt;=Scoring!$B$6),"Expiring: 10-yr horizon (verified)",IF(M181="No Longer Monitored","Out of program",IF(N181="","Unknown vintage",IF(N181&lt;Scoring!$B$12,"Pre-1990, still listed",IF(AND(U181="",AA181&lt;0),"Past 30-yr mark (verify)",IF(AND(U181="",AA181&lt;=Scoring!$B$5),"30-yr mark: notice window (est.)",IF(AND(O181&gt;=Scoring!$B$7,O181&lt;=Scoring!$B$8),"Year-15 window",IF(O181&gt;=Scoring!$B$9,"Recap window",IF(O181&gt;=11,"Late compliance","Credit period"))))))))))))</f>
        <v>Past 30-yr mark (verify)</v>
      </c>
      <c r="E181" s="15" t="s">
        <v>788</v>
      </c>
      <c r="F181" s="15" t="s">
        <v>789</v>
      </c>
      <c r="G181" s="15" t="s">
        <v>790</v>
      </c>
      <c r="H181" s="15" t="s">
        <v>232</v>
      </c>
      <c r="I181" s="15" t="s">
        <v>233</v>
      </c>
      <c r="J181" s="15" t="n">
        <v>12</v>
      </c>
      <c r="K181" s="15" t="n">
        <v>12</v>
      </c>
      <c r="L181" s="15" t="n">
        <f aca="false">IF(OR(J181="",K181=""),"",MAX(J181-K181,0))</f>
        <v>0</v>
      </c>
      <c r="M181" s="15" t="s">
        <v>99</v>
      </c>
      <c r="N181" s="17" t="n">
        <v>1995</v>
      </c>
      <c r="O181" s="15" t="n">
        <f aca="false">IF(N181="","",Scoring!$B$4-N181)</f>
        <v>31</v>
      </c>
      <c r="P181" s="15" t="n">
        <f aca="false">IF(N181="","",N181+14)</f>
        <v>2009</v>
      </c>
      <c r="Q181" s="15" t="n">
        <f aca="false">IF(N181="","",IF(N181&lt;Scoring!$B$12,"n/a (pre-1990)",N181+Scoring!$B$13))</f>
        <v>2024</v>
      </c>
      <c r="R181" s="15" t="str">
        <f aca="false">IF(J181="","Unknown",IF(J181&gt;=5,"Yes","No (under 5 units)"))</f>
        <v>Yes</v>
      </c>
      <c r="S181" s="15"/>
      <c r="T181" s="18"/>
      <c r="U181" s="19"/>
      <c r="V181" s="18"/>
      <c r="W181" s="18"/>
      <c r="X181" s="20"/>
      <c r="Y181" s="18"/>
      <c r="Z181" s="18"/>
      <c r="AA181" s="21" t="n">
        <f aca="false">IF(U181&lt;&gt;"",(U181-Scoring!$B$3)/365.25,IF(N181="","",IF(N181&lt;Scoring!$B$12,"",(DATE(N181+Scoring!$B$13,12,31)-Scoring!$B$3)/365.25)))</f>
        <v>-1.75222450376454</v>
      </c>
      <c r="AB181" s="22" t="n">
        <f aca="false">IF(T181="Y",0,IF(OR(D181="Expired (verified)",D181="Expiring: notice window (verified)",D181="Expiring: 10-yr horizon (verified)",D181="Past 30-yr mark (verify)",D181="30-yr mark: notice window (est.)",D181="Year-15 window"),1,0)+IF(ISNUMBER(O181),IF(O181&gt;=Scoring!$B$10,1,0),0)+IF(AND(ISNUMBER(L181),ISNUMBER(J181)),IF(J181&gt;0,IF(L181/J181&gt;=Scoring!$B$11,1,0),0),0)+IF(ISNUMBER(Z181),MIN(Z181,3),0))</f>
        <v>2</v>
      </c>
      <c r="AC181" s="22" t="n">
        <f aca="false">IF(AB181&gt;=3,Scoring!$C$24,IF(AB181=2,Scoring!$C$23,IF(AB181=1,Scoring!$C$22,0)))</f>
        <v>18</v>
      </c>
      <c r="AD181" s="22" t="n">
        <f aca="false">IF(T181="Y",0,IF(ISNUMBER(X181),IF(X181&gt;0.7,Scoring!$C$25,IF(X181&gt;=0.5,Scoring!$C$26,IF(X181&gt;=0.3,Scoring!$C$27,Scoring!$C$28))),Scoring!$C$29))</f>
        <v>10</v>
      </c>
      <c r="AE181" s="22" t="n">
        <f aca="false">IF(D181="Expiring: notice window (verified)",Scoring!$C$30,IF(OR(D181="Expired (verified)",D181="30-yr mark: notice window (est.)",D181="Year-15 window"),Scoring!$C$31,IF(D181="Expiring: 10-yr horizon (verified)",Scoring!$C$32,IF(D181="Past 30-yr mark (verify)",Scoring!$C$33,IF(OR(D181="Credit period",D181="Superseded record"),Scoring!$C$35,Scoring!$C$34)))))</f>
        <v>8</v>
      </c>
      <c r="AF181" s="22" t="n">
        <f aca="false">IF(T181="Y",0,IF(ISNUMBER(V181),IF(Scoring!$B$4-V181&gt;15,Scoring!$C$36,IF(Scoring!$B$4-V181&gt;=10,Scoring!$C$37,IF(Scoring!$B$4-V181&gt;=5,Scoring!$C$38,Scoring!$C$39))),IF(OR(N181="",D181="Out of program"),Scoring!$C$40,IF(O181&gt;15,Scoring!$C$36,IF(O181&gt;=10,Scoring!$C$37,IF(O181&gt;=5,Scoring!$C$38,Scoring!$C$39))))))</f>
        <v>15</v>
      </c>
      <c r="AG181" s="22" t="n">
        <f aca="false">IF(T181="Y",0,IF(Y181="Y",Scoring!$C$41,IF(ISNUMBER(O181),IF(O181&gt;=25,Scoring!$C$42,IF(O181&gt;=15,Scoring!$C$43,Scoring!$C$44)),Scoring!$C$44)))</f>
        <v>8</v>
      </c>
      <c r="AH181" s="22" t="n">
        <f aca="false">IF(T181="Y",0,IF(W181="",Scoring!$C$49,IFERROR(VLOOKUP(W181,Scoring!$B$45:$C$48,2,FALSE()),Scoring!$C$49)))</f>
        <v>5</v>
      </c>
      <c r="AI181" s="23" t="n">
        <f aca="false">C181+IF(ISNUMBER(J181),J181,0)/100000+(10000-ROW())/1000000000</f>
        <v>64.000129819</v>
      </c>
      <c r="AJ181" s="18"/>
      <c r="AK181" s="18"/>
      <c r="AL181" s="18"/>
      <c r="AM181" s="18"/>
    </row>
    <row r="182" customFormat="false" ht="15" hidden="false" customHeight="false" outlineLevel="0" collapsed="false">
      <c r="A182" s="15" t="n">
        <f aca="false">RANK(AI182,$AI$2:$AI$755)</f>
        <v>181</v>
      </c>
      <c r="B182" s="16" t="str">
        <f aca="false">IF(T182="Y","Superseded",IF(C182&gt;=Scoring!$B$16,"Immediate",IF(C182&gt;=Scoring!$B$17,"This week",IF(C182&gt;=Scoring!$B$18,"Nurture","Low"))))</f>
        <v>This week</v>
      </c>
      <c r="C182" s="3" t="n">
        <f aca="false">SUM(AC182:AH182)</f>
        <v>64</v>
      </c>
      <c r="D182" s="15" t="str">
        <f aca="false">IF(T182="Y","Superseded record",IF(AND(U182&lt;&gt;"",AA182&lt;0),"Expired (verified)",IF(AND(U182&lt;&gt;"",AA182&lt;=Scoring!$B$5),"Expiring: notice window (verified)",IF(AND(U182&lt;&gt;"",AA182&lt;=Scoring!$B$6),"Expiring: 10-yr horizon (verified)",IF(M182="No Longer Monitored","Out of program",IF(N182="","Unknown vintage",IF(N182&lt;Scoring!$B$12,"Pre-1990, still listed",IF(AND(U182="",AA182&lt;0),"Past 30-yr mark (verify)",IF(AND(U182="",AA182&lt;=Scoring!$B$5),"30-yr mark: notice window (est.)",IF(AND(O182&gt;=Scoring!$B$7,O182&lt;=Scoring!$B$8),"Year-15 window",IF(O182&gt;=Scoring!$B$9,"Recap window",IF(O182&gt;=11,"Late compliance","Credit period"))))))))))))</f>
        <v>Past 30-yr mark (verify)</v>
      </c>
      <c r="E182" s="15" t="s">
        <v>791</v>
      </c>
      <c r="F182" s="15" t="s">
        <v>792</v>
      </c>
      <c r="G182" s="15" t="s">
        <v>793</v>
      </c>
      <c r="H182" s="15" t="s">
        <v>303</v>
      </c>
      <c r="I182" s="15" t="s">
        <v>304</v>
      </c>
      <c r="J182" s="15" t="n">
        <v>8</v>
      </c>
      <c r="K182" s="15" t="n">
        <v>8</v>
      </c>
      <c r="L182" s="15" t="n">
        <f aca="false">IF(OR(J182="",K182=""),"",MAX(J182-K182,0))</f>
        <v>0</v>
      </c>
      <c r="M182" s="15" t="s">
        <v>99</v>
      </c>
      <c r="N182" s="17" t="n">
        <v>1991</v>
      </c>
      <c r="O182" s="15" t="n">
        <f aca="false">IF(N182="","",Scoring!$B$4-N182)</f>
        <v>35</v>
      </c>
      <c r="P182" s="15" t="n">
        <f aca="false">IF(N182="","",N182+14)</f>
        <v>2005</v>
      </c>
      <c r="Q182" s="15" t="n">
        <f aca="false">IF(N182="","",IF(N182&lt;Scoring!$B$12,"n/a (pre-1990)",N182+Scoring!$B$13))</f>
        <v>2020</v>
      </c>
      <c r="R182" s="15" t="str">
        <f aca="false">IF(J182="","Unknown",IF(J182&gt;=5,"Yes","No (under 5 units)"))</f>
        <v>Yes</v>
      </c>
      <c r="S182" s="15"/>
      <c r="T182" s="18"/>
      <c r="U182" s="19"/>
      <c r="V182" s="18"/>
      <c r="W182" s="18"/>
      <c r="X182" s="20"/>
      <c r="Y182" s="18"/>
      <c r="Z182" s="18"/>
      <c r="AA182" s="21" t="n">
        <f aca="false">IF(U182&lt;&gt;"",(U182-Scoring!$B$3)/365.25,IF(N182="","",IF(N182&lt;Scoring!$B$12,"",(DATE(N182+Scoring!$B$13,12,31)-Scoring!$B$3)/365.25)))</f>
        <v>-5.75222450376455</v>
      </c>
      <c r="AB182" s="22" t="n">
        <f aca="false">IF(T182="Y",0,IF(OR(D182="Expired (verified)",D182="Expiring: notice window (verified)",D182="Expiring: 10-yr horizon (verified)",D182="Past 30-yr mark (verify)",D182="30-yr mark: notice window (est.)",D182="Year-15 window"),1,0)+IF(ISNUMBER(O182),IF(O182&gt;=Scoring!$B$10,1,0),0)+IF(AND(ISNUMBER(L182),ISNUMBER(J182)),IF(J182&gt;0,IF(L182/J182&gt;=Scoring!$B$11,1,0),0),0)+IF(ISNUMBER(Z182),MIN(Z182,3),0))</f>
        <v>2</v>
      </c>
      <c r="AC182" s="22" t="n">
        <f aca="false">IF(AB182&gt;=3,Scoring!$C$24,IF(AB182=2,Scoring!$C$23,IF(AB182=1,Scoring!$C$22,0)))</f>
        <v>18</v>
      </c>
      <c r="AD182" s="22" t="n">
        <f aca="false">IF(T182="Y",0,IF(ISNUMBER(X182),IF(X182&gt;0.7,Scoring!$C$25,IF(X182&gt;=0.5,Scoring!$C$26,IF(X182&gt;=0.3,Scoring!$C$27,Scoring!$C$28))),Scoring!$C$29))</f>
        <v>10</v>
      </c>
      <c r="AE182" s="22" t="n">
        <f aca="false">IF(D182="Expiring: notice window (verified)",Scoring!$C$30,IF(OR(D182="Expired (verified)",D182="30-yr mark: notice window (est.)",D182="Year-15 window"),Scoring!$C$31,IF(D182="Expiring: 10-yr horizon (verified)",Scoring!$C$32,IF(D182="Past 30-yr mark (verify)",Scoring!$C$33,IF(OR(D182="Credit period",D182="Superseded record"),Scoring!$C$35,Scoring!$C$34)))))</f>
        <v>8</v>
      </c>
      <c r="AF182" s="22" t="n">
        <f aca="false">IF(T182="Y",0,IF(ISNUMBER(V182),IF(Scoring!$B$4-V182&gt;15,Scoring!$C$36,IF(Scoring!$B$4-V182&gt;=10,Scoring!$C$37,IF(Scoring!$B$4-V182&gt;=5,Scoring!$C$38,Scoring!$C$39))),IF(OR(N182="",D182="Out of program"),Scoring!$C$40,IF(O182&gt;15,Scoring!$C$36,IF(O182&gt;=10,Scoring!$C$37,IF(O182&gt;=5,Scoring!$C$38,Scoring!$C$39))))))</f>
        <v>15</v>
      </c>
      <c r="AG182" s="22" t="n">
        <f aca="false">IF(T182="Y",0,IF(Y182="Y",Scoring!$C$41,IF(ISNUMBER(O182),IF(O182&gt;=25,Scoring!$C$42,IF(O182&gt;=15,Scoring!$C$43,Scoring!$C$44)),Scoring!$C$44)))</f>
        <v>8</v>
      </c>
      <c r="AH182" s="22" t="n">
        <f aca="false">IF(T182="Y",0,IF(W182="",Scoring!$C$49,IFERROR(VLOOKUP(W182,Scoring!$B$45:$C$48,2,FALSE()),Scoring!$C$49)))</f>
        <v>5</v>
      </c>
      <c r="AI182" s="23" t="n">
        <f aca="false">C182+IF(ISNUMBER(J182),J182,0)/100000+(10000-ROW())/1000000000</f>
        <v>64.000089818</v>
      </c>
      <c r="AJ182" s="18"/>
      <c r="AK182" s="18"/>
      <c r="AL182" s="18"/>
      <c r="AM182" s="18"/>
    </row>
    <row r="183" customFormat="false" ht="15" hidden="false" customHeight="false" outlineLevel="0" collapsed="false">
      <c r="A183" s="15" t="n">
        <f aca="false">RANK(AI183,$AI$2:$AI$755)</f>
        <v>182</v>
      </c>
      <c r="B183" s="16" t="str">
        <f aca="false">IF(T183="Y","Superseded",IF(C183&gt;=Scoring!$B$16,"Immediate",IF(C183&gt;=Scoring!$B$17,"This week",IF(C183&gt;=Scoring!$B$18,"Nurture","Low"))))</f>
        <v>This week</v>
      </c>
      <c r="C183" s="3" t="n">
        <f aca="false">SUM(AC183:AH183)</f>
        <v>64</v>
      </c>
      <c r="D183" s="15" t="str">
        <f aca="false">IF(T183="Y","Superseded record",IF(AND(U183&lt;&gt;"",AA183&lt;0),"Expired (verified)",IF(AND(U183&lt;&gt;"",AA183&lt;=Scoring!$B$5),"Expiring: notice window (verified)",IF(AND(U183&lt;&gt;"",AA183&lt;=Scoring!$B$6),"Expiring: 10-yr horizon (verified)",IF(M183="No Longer Monitored","Out of program",IF(N183="","Unknown vintage",IF(N183&lt;Scoring!$B$12,"Pre-1990, still listed",IF(AND(U183="",AA183&lt;0),"Past 30-yr mark (verify)",IF(AND(U183="",AA183&lt;=Scoring!$B$5),"30-yr mark: notice window (est.)",IF(AND(O183&gt;=Scoring!$B$7,O183&lt;=Scoring!$B$8),"Year-15 window",IF(O183&gt;=Scoring!$B$9,"Recap window",IF(O183&gt;=11,"Late compliance","Credit period"))))))))))))</f>
        <v>Past 30-yr mark (verify)</v>
      </c>
      <c r="E183" s="15" t="s">
        <v>794</v>
      </c>
      <c r="F183" s="15" t="s">
        <v>795</v>
      </c>
      <c r="G183" s="15" t="s">
        <v>796</v>
      </c>
      <c r="H183" s="15" t="s">
        <v>97</v>
      </c>
      <c r="I183" s="15" t="s">
        <v>245</v>
      </c>
      <c r="J183" s="15" t="n">
        <v>7</v>
      </c>
      <c r="K183" s="15" t="n">
        <v>7</v>
      </c>
      <c r="L183" s="15" t="n">
        <f aca="false">IF(OR(J183="",K183=""),"",MAX(J183-K183,0))</f>
        <v>0</v>
      </c>
      <c r="M183" s="15" t="s">
        <v>99</v>
      </c>
      <c r="N183" s="17" t="n">
        <v>1990</v>
      </c>
      <c r="O183" s="15" t="n">
        <f aca="false">IF(N183="","",Scoring!$B$4-N183)</f>
        <v>36</v>
      </c>
      <c r="P183" s="15" t="n">
        <f aca="false">IF(N183="","",N183+14)</f>
        <v>2004</v>
      </c>
      <c r="Q183" s="15" t="n">
        <f aca="false">IF(N183="","",IF(N183&lt;Scoring!$B$12,"n/a (pre-1990)",N183+Scoring!$B$13))</f>
        <v>2019</v>
      </c>
      <c r="R183" s="15" t="str">
        <f aca="false">IF(J183="","Unknown",IF(J183&gt;=5,"Yes","No (under 5 units)"))</f>
        <v>Yes</v>
      </c>
      <c r="S183" s="15"/>
      <c r="T183" s="18"/>
      <c r="U183" s="19"/>
      <c r="V183" s="18"/>
      <c r="W183" s="18"/>
      <c r="X183" s="20"/>
      <c r="Y183" s="18"/>
      <c r="Z183" s="18"/>
      <c r="AA183" s="21" t="n">
        <f aca="false">IF(U183&lt;&gt;"",(U183-Scoring!$B$3)/365.25,IF(N183="","",IF(N183&lt;Scoring!$B$12,"",(DATE(N183+Scoring!$B$13,12,31)-Scoring!$B$3)/365.25)))</f>
        <v>-6.75427789185489</v>
      </c>
      <c r="AB183" s="22" t="n">
        <f aca="false">IF(T183="Y",0,IF(OR(D183="Expired (verified)",D183="Expiring: notice window (verified)",D183="Expiring: 10-yr horizon (verified)",D183="Past 30-yr mark (verify)",D183="30-yr mark: notice window (est.)",D183="Year-15 window"),1,0)+IF(ISNUMBER(O183),IF(O183&gt;=Scoring!$B$10,1,0),0)+IF(AND(ISNUMBER(L183),ISNUMBER(J183)),IF(J183&gt;0,IF(L183/J183&gt;=Scoring!$B$11,1,0),0),0)+IF(ISNUMBER(Z183),MIN(Z183,3),0))</f>
        <v>2</v>
      </c>
      <c r="AC183" s="22" t="n">
        <f aca="false">IF(AB183&gt;=3,Scoring!$C$24,IF(AB183=2,Scoring!$C$23,IF(AB183=1,Scoring!$C$22,0)))</f>
        <v>18</v>
      </c>
      <c r="AD183" s="22" t="n">
        <f aca="false">IF(T183="Y",0,IF(ISNUMBER(X183),IF(X183&gt;0.7,Scoring!$C$25,IF(X183&gt;=0.5,Scoring!$C$26,IF(X183&gt;=0.3,Scoring!$C$27,Scoring!$C$28))),Scoring!$C$29))</f>
        <v>10</v>
      </c>
      <c r="AE183" s="22" t="n">
        <f aca="false">IF(D183="Expiring: notice window (verified)",Scoring!$C$30,IF(OR(D183="Expired (verified)",D183="30-yr mark: notice window (est.)",D183="Year-15 window"),Scoring!$C$31,IF(D183="Expiring: 10-yr horizon (verified)",Scoring!$C$32,IF(D183="Past 30-yr mark (verify)",Scoring!$C$33,IF(OR(D183="Credit period",D183="Superseded record"),Scoring!$C$35,Scoring!$C$34)))))</f>
        <v>8</v>
      </c>
      <c r="AF183" s="22" t="n">
        <f aca="false">IF(T183="Y",0,IF(ISNUMBER(V183),IF(Scoring!$B$4-V183&gt;15,Scoring!$C$36,IF(Scoring!$B$4-V183&gt;=10,Scoring!$C$37,IF(Scoring!$B$4-V183&gt;=5,Scoring!$C$38,Scoring!$C$39))),IF(OR(N183="",D183="Out of program"),Scoring!$C$40,IF(O183&gt;15,Scoring!$C$36,IF(O183&gt;=10,Scoring!$C$37,IF(O183&gt;=5,Scoring!$C$38,Scoring!$C$39))))))</f>
        <v>15</v>
      </c>
      <c r="AG183" s="22" t="n">
        <f aca="false">IF(T183="Y",0,IF(Y183="Y",Scoring!$C$41,IF(ISNUMBER(O183),IF(O183&gt;=25,Scoring!$C$42,IF(O183&gt;=15,Scoring!$C$43,Scoring!$C$44)),Scoring!$C$44)))</f>
        <v>8</v>
      </c>
      <c r="AH183" s="22" t="n">
        <f aca="false">IF(T183="Y",0,IF(W183="",Scoring!$C$49,IFERROR(VLOOKUP(W183,Scoring!$B$45:$C$48,2,FALSE()),Scoring!$C$49)))</f>
        <v>5</v>
      </c>
      <c r="AI183" s="23" t="n">
        <f aca="false">C183+IF(ISNUMBER(J183),J183,0)/100000+(10000-ROW())/1000000000</f>
        <v>64.000079817</v>
      </c>
      <c r="AJ183" s="18"/>
      <c r="AK183" s="18"/>
      <c r="AL183" s="18"/>
      <c r="AM183" s="18"/>
    </row>
    <row r="184" customFormat="false" ht="15" hidden="false" customHeight="false" outlineLevel="0" collapsed="false">
      <c r="A184" s="15" t="n">
        <f aca="false">RANK(AI184,$AI$2:$AI$755)</f>
        <v>183</v>
      </c>
      <c r="B184" s="16" t="str">
        <f aca="false">IF(T184="Y","Superseded",IF(C184&gt;=Scoring!$B$16,"Immediate",IF(C184&gt;=Scoring!$B$17,"This week",IF(C184&gt;=Scoring!$B$18,"Nurture","Low"))))</f>
        <v>This week</v>
      </c>
      <c r="C184" s="3" t="n">
        <f aca="false">SUM(AC184:AH184)</f>
        <v>64</v>
      </c>
      <c r="D184" s="15" t="str">
        <f aca="false">IF(T184="Y","Superseded record",IF(AND(U184&lt;&gt;"",AA184&lt;0),"Expired (verified)",IF(AND(U184&lt;&gt;"",AA184&lt;=Scoring!$B$5),"Expiring: notice window (verified)",IF(AND(U184&lt;&gt;"",AA184&lt;=Scoring!$B$6),"Expiring: 10-yr horizon (verified)",IF(M184="No Longer Monitored","Out of program",IF(N184="","Unknown vintage",IF(N184&lt;Scoring!$B$12,"Pre-1990, still listed",IF(AND(U184="",AA184&lt;0),"Past 30-yr mark (verify)",IF(AND(U184="",AA184&lt;=Scoring!$B$5),"30-yr mark: notice window (est.)",IF(AND(O184&gt;=Scoring!$B$7,O184&lt;=Scoring!$B$8),"Year-15 window",IF(O184&gt;=Scoring!$B$9,"Recap window",IF(O184&gt;=11,"Late compliance","Credit period"))))))))))))</f>
        <v>Past 30-yr mark (verify)</v>
      </c>
      <c r="E184" s="15" t="s">
        <v>797</v>
      </c>
      <c r="F184" s="15" t="s">
        <v>798</v>
      </c>
      <c r="G184" s="15" t="s">
        <v>799</v>
      </c>
      <c r="H184" s="15" t="s">
        <v>617</v>
      </c>
      <c r="I184" s="15" t="s">
        <v>618</v>
      </c>
      <c r="J184" s="15" t="n">
        <v>6</v>
      </c>
      <c r="K184" s="15" t="n">
        <v>6</v>
      </c>
      <c r="L184" s="15" t="n">
        <f aca="false">IF(OR(J184="",K184=""),"",MAX(J184-K184,0))</f>
        <v>0</v>
      </c>
      <c r="M184" s="15" t="s">
        <v>99</v>
      </c>
      <c r="N184" s="17" t="n">
        <v>1994</v>
      </c>
      <c r="O184" s="15" t="n">
        <f aca="false">IF(N184="","",Scoring!$B$4-N184)</f>
        <v>32</v>
      </c>
      <c r="P184" s="15" t="n">
        <f aca="false">IF(N184="","",N184+14)</f>
        <v>2008</v>
      </c>
      <c r="Q184" s="15" t="n">
        <f aca="false">IF(N184="","",IF(N184&lt;Scoring!$B$12,"n/a (pre-1990)",N184+Scoring!$B$13))</f>
        <v>2023</v>
      </c>
      <c r="R184" s="15" t="str">
        <f aca="false">IF(J184="","Unknown",IF(J184&gt;=5,"Yes","No (under 5 units)"))</f>
        <v>Yes</v>
      </c>
      <c r="S184" s="15"/>
      <c r="T184" s="18"/>
      <c r="U184" s="19"/>
      <c r="V184" s="18"/>
      <c r="W184" s="18"/>
      <c r="X184" s="20"/>
      <c r="Y184" s="18"/>
      <c r="Z184" s="18"/>
      <c r="AA184" s="21" t="n">
        <f aca="false">IF(U184&lt;&gt;"",(U184-Scoring!$B$3)/365.25,IF(N184="","",IF(N184&lt;Scoring!$B$12,"",(DATE(N184+Scoring!$B$13,12,31)-Scoring!$B$3)/365.25)))</f>
        <v>-2.75427789185489</v>
      </c>
      <c r="AB184" s="22" t="n">
        <f aca="false">IF(T184="Y",0,IF(OR(D184="Expired (verified)",D184="Expiring: notice window (verified)",D184="Expiring: 10-yr horizon (verified)",D184="Past 30-yr mark (verify)",D184="30-yr mark: notice window (est.)",D184="Year-15 window"),1,0)+IF(ISNUMBER(O184),IF(O184&gt;=Scoring!$B$10,1,0),0)+IF(AND(ISNUMBER(L184),ISNUMBER(J184)),IF(J184&gt;0,IF(L184/J184&gt;=Scoring!$B$11,1,0),0),0)+IF(ISNUMBER(Z184),MIN(Z184,3),0))</f>
        <v>2</v>
      </c>
      <c r="AC184" s="22" t="n">
        <f aca="false">IF(AB184&gt;=3,Scoring!$C$24,IF(AB184=2,Scoring!$C$23,IF(AB184=1,Scoring!$C$22,0)))</f>
        <v>18</v>
      </c>
      <c r="AD184" s="22" t="n">
        <f aca="false">IF(T184="Y",0,IF(ISNUMBER(X184),IF(X184&gt;0.7,Scoring!$C$25,IF(X184&gt;=0.5,Scoring!$C$26,IF(X184&gt;=0.3,Scoring!$C$27,Scoring!$C$28))),Scoring!$C$29))</f>
        <v>10</v>
      </c>
      <c r="AE184" s="22" t="n">
        <f aca="false">IF(D184="Expiring: notice window (verified)",Scoring!$C$30,IF(OR(D184="Expired (verified)",D184="30-yr mark: notice window (est.)",D184="Year-15 window"),Scoring!$C$31,IF(D184="Expiring: 10-yr horizon (verified)",Scoring!$C$32,IF(D184="Past 30-yr mark (verify)",Scoring!$C$33,IF(OR(D184="Credit period",D184="Superseded record"),Scoring!$C$35,Scoring!$C$34)))))</f>
        <v>8</v>
      </c>
      <c r="AF184" s="22" t="n">
        <f aca="false">IF(T184="Y",0,IF(ISNUMBER(V184),IF(Scoring!$B$4-V184&gt;15,Scoring!$C$36,IF(Scoring!$B$4-V184&gt;=10,Scoring!$C$37,IF(Scoring!$B$4-V184&gt;=5,Scoring!$C$38,Scoring!$C$39))),IF(OR(N184="",D184="Out of program"),Scoring!$C$40,IF(O184&gt;15,Scoring!$C$36,IF(O184&gt;=10,Scoring!$C$37,IF(O184&gt;=5,Scoring!$C$38,Scoring!$C$39))))))</f>
        <v>15</v>
      </c>
      <c r="AG184" s="22" t="n">
        <f aca="false">IF(T184="Y",0,IF(Y184="Y",Scoring!$C$41,IF(ISNUMBER(O184),IF(O184&gt;=25,Scoring!$C$42,IF(O184&gt;=15,Scoring!$C$43,Scoring!$C$44)),Scoring!$C$44)))</f>
        <v>8</v>
      </c>
      <c r="AH184" s="22" t="n">
        <f aca="false">IF(T184="Y",0,IF(W184="",Scoring!$C$49,IFERROR(VLOOKUP(W184,Scoring!$B$45:$C$48,2,FALSE()),Scoring!$C$49)))</f>
        <v>5</v>
      </c>
      <c r="AI184" s="23" t="n">
        <f aca="false">C184+IF(ISNUMBER(J184),J184,0)/100000+(10000-ROW())/1000000000</f>
        <v>64.000069816</v>
      </c>
      <c r="AJ184" s="18"/>
      <c r="AK184" s="18"/>
      <c r="AL184" s="18"/>
      <c r="AM184" s="18"/>
    </row>
    <row r="185" customFormat="false" ht="15" hidden="false" customHeight="false" outlineLevel="0" collapsed="false">
      <c r="A185" s="15" t="n">
        <f aca="false">RANK(AI185,$AI$2:$AI$755)</f>
        <v>184</v>
      </c>
      <c r="B185" s="16" t="str">
        <f aca="false">IF(T185="Y","Superseded",IF(C185&gt;=Scoring!$B$16,"Immediate",IF(C185&gt;=Scoring!$B$17,"This week",IF(C185&gt;=Scoring!$B$18,"Nurture","Low"))))</f>
        <v>This week</v>
      </c>
      <c r="C185" s="3" t="n">
        <f aca="false">SUM(AC185:AH185)</f>
        <v>64</v>
      </c>
      <c r="D185" s="15" t="str">
        <f aca="false">IF(T185="Y","Superseded record",IF(AND(U185&lt;&gt;"",AA185&lt;0),"Expired (verified)",IF(AND(U185&lt;&gt;"",AA185&lt;=Scoring!$B$5),"Expiring: notice window (verified)",IF(AND(U185&lt;&gt;"",AA185&lt;=Scoring!$B$6),"Expiring: 10-yr horizon (verified)",IF(M185="No Longer Monitored","Out of program",IF(N185="","Unknown vintage",IF(N185&lt;Scoring!$B$12,"Pre-1990, still listed",IF(AND(U185="",AA185&lt;0),"Past 30-yr mark (verify)",IF(AND(U185="",AA185&lt;=Scoring!$B$5),"30-yr mark: notice window (est.)",IF(AND(O185&gt;=Scoring!$B$7,O185&lt;=Scoring!$B$8),"Year-15 window",IF(O185&gt;=Scoring!$B$9,"Recap window",IF(O185&gt;=11,"Late compliance","Credit period"))))))))))))</f>
        <v>Past 30-yr mark (verify)</v>
      </c>
      <c r="E185" s="15" t="s">
        <v>800</v>
      </c>
      <c r="F185" s="15" t="s">
        <v>801</v>
      </c>
      <c r="G185" s="15" t="s">
        <v>802</v>
      </c>
      <c r="H185" s="15" t="s">
        <v>473</v>
      </c>
      <c r="I185" s="15" t="s">
        <v>510</v>
      </c>
      <c r="J185" s="15" t="n">
        <v>4</v>
      </c>
      <c r="K185" s="15" t="n">
        <v>4</v>
      </c>
      <c r="L185" s="15" t="n">
        <f aca="false">IF(OR(J185="",K185=""),"",MAX(J185-K185,0))</f>
        <v>0</v>
      </c>
      <c r="M185" s="15" t="s">
        <v>99</v>
      </c>
      <c r="N185" s="17" t="n">
        <v>1991</v>
      </c>
      <c r="O185" s="15" t="n">
        <f aca="false">IF(N185="","",Scoring!$B$4-N185)</f>
        <v>35</v>
      </c>
      <c r="P185" s="15" t="n">
        <f aca="false">IF(N185="","",N185+14)</f>
        <v>2005</v>
      </c>
      <c r="Q185" s="15" t="n">
        <f aca="false">IF(N185="","",IF(N185&lt;Scoring!$B$12,"n/a (pre-1990)",N185+Scoring!$B$13))</f>
        <v>2020</v>
      </c>
      <c r="R185" s="15" t="str">
        <f aca="false">IF(J185="","Unknown",IF(J185&gt;=5,"Yes","No (under 5 units)"))</f>
        <v>No (under 5 units)</v>
      </c>
      <c r="S185" s="15"/>
      <c r="T185" s="18"/>
      <c r="U185" s="19"/>
      <c r="V185" s="18"/>
      <c r="W185" s="18"/>
      <c r="X185" s="20"/>
      <c r="Y185" s="18"/>
      <c r="Z185" s="18"/>
      <c r="AA185" s="21" t="n">
        <f aca="false">IF(U185&lt;&gt;"",(U185-Scoring!$B$3)/365.25,IF(N185="","",IF(N185&lt;Scoring!$B$12,"",(DATE(N185+Scoring!$B$13,12,31)-Scoring!$B$3)/365.25)))</f>
        <v>-5.75222450376455</v>
      </c>
      <c r="AB185" s="22" t="n">
        <f aca="false">IF(T185="Y",0,IF(OR(D185="Expired (verified)",D185="Expiring: notice window (verified)",D185="Expiring: 10-yr horizon (verified)",D185="Past 30-yr mark (verify)",D185="30-yr mark: notice window (est.)",D185="Year-15 window"),1,0)+IF(ISNUMBER(O185),IF(O185&gt;=Scoring!$B$10,1,0),0)+IF(AND(ISNUMBER(L185),ISNUMBER(J185)),IF(J185&gt;0,IF(L185/J185&gt;=Scoring!$B$11,1,0),0),0)+IF(ISNUMBER(Z185),MIN(Z185,3),0))</f>
        <v>2</v>
      </c>
      <c r="AC185" s="22" t="n">
        <f aca="false">IF(AB185&gt;=3,Scoring!$C$24,IF(AB185=2,Scoring!$C$23,IF(AB185=1,Scoring!$C$22,0)))</f>
        <v>18</v>
      </c>
      <c r="AD185" s="22" t="n">
        <f aca="false">IF(T185="Y",0,IF(ISNUMBER(X185),IF(X185&gt;0.7,Scoring!$C$25,IF(X185&gt;=0.5,Scoring!$C$26,IF(X185&gt;=0.3,Scoring!$C$27,Scoring!$C$28))),Scoring!$C$29))</f>
        <v>10</v>
      </c>
      <c r="AE185" s="22" t="n">
        <f aca="false">IF(D185="Expiring: notice window (verified)",Scoring!$C$30,IF(OR(D185="Expired (verified)",D185="30-yr mark: notice window (est.)",D185="Year-15 window"),Scoring!$C$31,IF(D185="Expiring: 10-yr horizon (verified)",Scoring!$C$32,IF(D185="Past 30-yr mark (verify)",Scoring!$C$33,IF(OR(D185="Credit period",D185="Superseded record"),Scoring!$C$35,Scoring!$C$34)))))</f>
        <v>8</v>
      </c>
      <c r="AF185" s="22" t="n">
        <f aca="false">IF(T185="Y",0,IF(ISNUMBER(V185),IF(Scoring!$B$4-V185&gt;15,Scoring!$C$36,IF(Scoring!$B$4-V185&gt;=10,Scoring!$C$37,IF(Scoring!$B$4-V185&gt;=5,Scoring!$C$38,Scoring!$C$39))),IF(OR(N185="",D185="Out of program"),Scoring!$C$40,IF(O185&gt;15,Scoring!$C$36,IF(O185&gt;=10,Scoring!$C$37,IF(O185&gt;=5,Scoring!$C$38,Scoring!$C$39))))))</f>
        <v>15</v>
      </c>
      <c r="AG185" s="22" t="n">
        <f aca="false">IF(T185="Y",0,IF(Y185="Y",Scoring!$C$41,IF(ISNUMBER(O185),IF(O185&gt;=25,Scoring!$C$42,IF(O185&gt;=15,Scoring!$C$43,Scoring!$C$44)),Scoring!$C$44)))</f>
        <v>8</v>
      </c>
      <c r="AH185" s="22" t="n">
        <f aca="false">IF(T185="Y",0,IF(W185="",Scoring!$C$49,IFERROR(VLOOKUP(W185,Scoring!$B$45:$C$48,2,FALSE()),Scoring!$C$49)))</f>
        <v>5</v>
      </c>
      <c r="AI185" s="23" t="n">
        <f aca="false">C185+IF(ISNUMBER(J185),J185,0)/100000+(10000-ROW())/1000000000</f>
        <v>64.000049815</v>
      </c>
      <c r="AJ185" s="18"/>
      <c r="AK185" s="18"/>
      <c r="AL185" s="18"/>
      <c r="AM185" s="18"/>
    </row>
    <row r="186" customFormat="false" ht="15" hidden="false" customHeight="false" outlineLevel="0" collapsed="false">
      <c r="A186" s="15" t="n">
        <f aca="false">RANK(AI186,$AI$2:$AI$755)</f>
        <v>185</v>
      </c>
      <c r="B186" s="16" t="str">
        <f aca="false">IF(T186="Y","Superseded",IF(C186&gt;=Scoring!$B$16,"Immediate",IF(C186&gt;=Scoring!$B$17,"This week",IF(C186&gt;=Scoring!$B$18,"Nurture","Low"))))</f>
        <v>This week</v>
      </c>
      <c r="C186" s="3" t="n">
        <f aca="false">SUM(AC186:AH186)</f>
        <v>64</v>
      </c>
      <c r="D186" s="15" t="str">
        <f aca="false">IF(T186="Y","Superseded record",IF(AND(U186&lt;&gt;"",AA186&lt;0),"Expired (verified)",IF(AND(U186&lt;&gt;"",AA186&lt;=Scoring!$B$5),"Expiring: notice window (verified)",IF(AND(U186&lt;&gt;"",AA186&lt;=Scoring!$B$6),"Expiring: 10-yr horizon (verified)",IF(M186="No Longer Monitored","Out of program",IF(N186="","Unknown vintage",IF(N186&lt;Scoring!$B$12,"Pre-1990, still listed",IF(AND(U186="",AA186&lt;0),"Past 30-yr mark (verify)",IF(AND(U186="",AA186&lt;=Scoring!$B$5),"30-yr mark: notice window (est.)",IF(AND(O186&gt;=Scoring!$B$7,O186&lt;=Scoring!$B$8),"Year-15 window",IF(O186&gt;=Scoring!$B$9,"Recap window",IF(O186&gt;=11,"Late compliance","Credit period"))))))))))))</f>
        <v>Past 30-yr mark (verify)</v>
      </c>
      <c r="E186" s="15" t="s">
        <v>803</v>
      </c>
      <c r="F186" s="15" t="s">
        <v>804</v>
      </c>
      <c r="G186" s="15" t="s">
        <v>805</v>
      </c>
      <c r="H186" s="15" t="s">
        <v>107</v>
      </c>
      <c r="I186" s="15" t="s">
        <v>594</v>
      </c>
      <c r="J186" s="15" t="n">
        <v>4</v>
      </c>
      <c r="K186" s="15" t="n">
        <v>4</v>
      </c>
      <c r="L186" s="15" t="n">
        <f aca="false">IF(OR(J186="",K186=""),"",MAX(J186-K186,0))</f>
        <v>0</v>
      </c>
      <c r="M186" s="15" t="s">
        <v>99</v>
      </c>
      <c r="N186" s="17" t="n">
        <v>1993</v>
      </c>
      <c r="O186" s="15" t="n">
        <f aca="false">IF(N186="","",Scoring!$B$4-N186)</f>
        <v>33</v>
      </c>
      <c r="P186" s="15" t="n">
        <f aca="false">IF(N186="","",N186+14)</f>
        <v>2007</v>
      </c>
      <c r="Q186" s="15" t="n">
        <f aca="false">IF(N186="","",IF(N186&lt;Scoring!$B$12,"n/a (pre-1990)",N186+Scoring!$B$13))</f>
        <v>2022</v>
      </c>
      <c r="R186" s="15" t="str">
        <f aca="false">IF(J186="","Unknown",IF(J186&gt;=5,"Yes","No (under 5 units)"))</f>
        <v>No (under 5 units)</v>
      </c>
      <c r="S186" s="15"/>
      <c r="T186" s="18"/>
      <c r="U186" s="19"/>
      <c r="V186" s="18"/>
      <c r="W186" s="18"/>
      <c r="X186" s="20"/>
      <c r="Y186" s="18"/>
      <c r="Z186" s="18"/>
      <c r="AA186" s="21" t="n">
        <f aca="false">IF(U186&lt;&gt;"",(U186-Scoring!$B$3)/365.25,IF(N186="","",IF(N186&lt;Scoring!$B$12,"",(DATE(N186+Scoring!$B$13,12,31)-Scoring!$B$3)/365.25)))</f>
        <v>-3.75359342915811</v>
      </c>
      <c r="AB186" s="22" t="n">
        <f aca="false">IF(T186="Y",0,IF(OR(D186="Expired (verified)",D186="Expiring: notice window (verified)",D186="Expiring: 10-yr horizon (verified)",D186="Past 30-yr mark (verify)",D186="30-yr mark: notice window (est.)",D186="Year-15 window"),1,0)+IF(ISNUMBER(O186),IF(O186&gt;=Scoring!$B$10,1,0),0)+IF(AND(ISNUMBER(L186),ISNUMBER(J186)),IF(J186&gt;0,IF(L186/J186&gt;=Scoring!$B$11,1,0),0),0)+IF(ISNUMBER(Z186),MIN(Z186,3),0))</f>
        <v>2</v>
      </c>
      <c r="AC186" s="22" t="n">
        <f aca="false">IF(AB186&gt;=3,Scoring!$C$24,IF(AB186=2,Scoring!$C$23,IF(AB186=1,Scoring!$C$22,0)))</f>
        <v>18</v>
      </c>
      <c r="AD186" s="22" t="n">
        <f aca="false">IF(T186="Y",0,IF(ISNUMBER(X186),IF(X186&gt;0.7,Scoring!$C$25,IF(X186&gt;=0.5,Scoring!$C$26,IF(X186&gt;=0.3,Scoring!$C$27,Scoring!$C$28))),Scoring!$C$29))</f>
        <v>10</v>
      </c>
      <c r="AE186" s="22" t="n">
        <f aca="false">IF(D186="Expiring: notice window (verified)",Scoring!$C$30,IF(OR(D186="Expired (verified)",D186="30-yr mark: notice window (est.)",D186="Year-15 window"),Scoring!$C$31,IF(D186="Expiring: 10-yr horizon (verified)",Scoring!$C$32,IF(D186="Past 30-yr mark (verify)",Scoring!$C$33,IF(OR(D186="Credit period",D186="Superseded record"),Scoring!$C$35,Scoring!$C$34)))))</f>
        <v>8</v>
      </c>
      <c r="AF186" s="22" t="n">
        <f aca="false">IF(T186="Y",0,IF(ISNUMBER(V186),IF(Scoring!$B$4-V186&gt;15,Scoring!$C$36,IF(Scoring!$B$4-V186&gt;=10,Scoring!$C$37,IF(Scoring!$B$4-V186&gt;=5,Scoring!$C$38,Scoring!$C$39))),IF(OR(N186="",D186="Out of program"),Scoring!$C$40,IF(O186&gt;15,Scoring!$C$36,IF(O186&gt;=10,Scoring!$C$37,IF(O186&gt;=5,Scoring!$C$38,Scoring!$C$39))))))</f>
        <v>15</v>
      </c>
      <c r="AG186" s="22" t="n">
        <f aca="false">IF(T186="Y",0,IF(Y186="Y",Scoring!$C$41,IF(ISNUMBER(O186),IF(O186&gt;=25,Scoring!$C$42,IF(O186&gt;=15,Scoring!$C$43,Scoring!$C$44)),Scoring!$C$44)))</f>
        <v>8</v>
      </c>
      <c r="AH186" s="22" t="n">
        <f aca="false">IF(T186="Y",0,IF(W186="",Scoring!$C$49,IFERROR(VLOOKUP(W186,Scoring!$B$45:$C$48,2,FALSE()),Scoring!$C$49)))</f>
        <v>5</v>
      </c>
      <c r="AI186" s="23" t="n">
        <f aca="false">C186+IF(ISNUMBER(J186),J186,0)/100000+(10000-ROW())/1000000000</f>
        <v>64.000049814</v>
      </c>
      <c r="AJ186" s="18"/>
      <c r="AK186" s="18"/>
      <c r="AL186" s="18"/>
      <c r="AM186" s="18"/>
    </row>
    <row r="187" customFormat="false" ht="15" hidden="false" customHeight="false" outlineLevel="0" collapsed="false">
      <c r="A187" s="15" t="n">
        <f aca="false">RANK(AI187,$AI$2:$AI$755)</f>
        <v>186</v>
      </c>
      <c r="B187" s="16" t="str">
        <f aca="false">IF(T187="Y","Superseded",IF(C187&gt;=Scoring!$B$16,"Immediate",IF(C187&gt;=Scoring!$B$17,"This week",IF(C187&gt;=Scoring!$B$18,"Nurture","Low"))))</f>
        <v>This week</v>
      </c>
      <c r="C187" s="3" t="n">
        <f aca="false">SUM(AC187:AH187)</f>
        <v>64</v>
      </c>
      <c r="D187" s="15" t="str">
        <f aca="false">IF(T187="Y","Superseded record",IF(AND(U187&lt;&gt;"",AA187&lt;0),"Expired (verified)",IF(AND(U187&lt;&gt;"",AA187&lt;=Scoring!$B$5),"Expiring: notice window (verified)",IF(AND(U187&lt;&gt;"",AA187&lt;=Scoring!$B$6),"Expiring: 10-yr horizon (verified)",IF(M187="No Longer Monitored","Out of program",IF(N187="","Unknown vintage",IF(N187&lt;Scoring!$B$12,"Pre-1990, still listed",IF(AND(U187="",AA187&lt;0),"Past 30-yr mark (verify)",IF(AND(U187="",AA187&lt;=Scoring!$B$5),"30-yr mark: notice window (est.)",IF(AND(O187&gt;=Scoring!$B$7,O187&lt;=Scoring!$B$8),"Year-15 window",IF(O187&gt;=Scoring!$B$9,"Recap window",IF(O187&gt;=11,"Late compliance","Credit period"))))))))))))</f>
        <v>Past 30-yr mark (verify)</v>
      </c>
      <c r="E187" s="15" t="s">
        <v>806</v>
      </c>
      <c r="F187" s="15" t="s">
        <v>807</v>
      </c>
      <c r="G187" s="15" t="s">
        <v>808</v>
      </c>
      <c r="H187" s="15" t="s">
        <v>97</v>
      </c>
      <c r="I187" s="15" t="s">
        <v>587</v>
      </c>
      <c r="J187" s="15" t="n">
        <v>1</v>
      </c>
      <c r="K187" s="15" t="n">
        <v>1</v>
      </c>
      <c r="L187" s="15" t="n">
        <f aca="false">IF(OR(J187="",K187=""),"",MAX(J187-K187,0))</f>
        <v>0</v>
      </c>
      <c r="M187" s="15" t="s">
        <v>99</v>
      </c>
      <c r="N187" s="17" t="n">
        <v>1990</v>
      </c>
      <c r="O187" s="15" t="n">
        <f aca="false">IF(N187="","",Scoring!$B$4-N187)</f>
        <v>36</v>
      </c>
      <c r="P187" s="15" t="n">
        <f aca="false">IF(N187="","",N187+14)</f>
        <v>2004</v>
      </c>
      <c r="Q187" s="15" t="n">
        <f aca="false">IF(N187="","",IF(N187&lt;Scoring!$B$12,"n/a (pre-1990)",N187+Scoring!$B$13))</f>
        <v>2019</v>
      </c>
      <c r="R187" s="15" t="str">
        <f aca="false">IF(J187="","Unknown",IF(J187&gt;=5,"Yes","No (under 5 units)"))</f>
        <v>No (under 5 units)</v>
      </c>
      <c r="S187" s="15"/>
      <c r="T187" s="18"/>
      <c r="U187" s="19"/>
      <c r="V187" s="18"/>
      <c r="W187" s="18"/>
      <c r="X187" s="20"/>
      <c r="Y187" s="18"/>
      <c r="Z187" s="18"/>
      <c r="AA187" s="21" t="n">
        <f aca="false">IF(U187&lt;&gt;"",(U187-Scoring!$B$3)/365.25,IF(N187="","",IF(N187&lt;Scoring!$B$12,"",(DATE(N187+Scoring!$B$13,12,31)-Scoring!$B$3)/365.25)))</f>
        <v>-6.75427789185489</v>
      </c>
      <c r="AB187" s="22" t="n">
        <f aca="false">IF(T187="Y",0,IF(OR(D187="Expired (verified)",D187="Expiring: notice window (verified)",D187="Expiring: 10-yr horizon (verified)",D187="Past 30-yr mark (verify)",D187="30-yr mark: notice window (est.)",D187="Year-15 window"),1,0)+IF(ISNUMBER(O187),IF(O187&gt;=Scoring!$B$10,1,0),0)+IF(AND(ISNUMBER(L187),ISNUMBER(J187)),IF(J187&gt;0,IF(L187/J187&gt;=Scoring!$B$11,1,0),0),0)+IF(ISNUMBER(Z187),MIN(Z187,3),0))</f>
        <v>2</v>
      </c>
      <c r="AC187" s="22" t="n">
        <f aca="false">IF(AB187&gt;=3,Scoring!$C$24,IF(AB187=2,Scoring!$C$23,IF(AB187=1,Scoring!$C$22,0)))</f>
        <v>18</v>
      </c>
      <c r="AD187" s="22" t="n">
        <f aca="false">IF(T187="Y",0,IF(ISNUMBER(X187),IF(X187&gt;0.7,Scoring!$C$25,IF(X187&gt;=0.5,Scoring!$C$26,IF(X187&gt;=0.3,Scoring!$C$27,Scoring!$C$28))),Scoring!$C$29))</f>
        <v>10</v>
      </c>
      <c r="AE187" s="22" t="n">
        <f aca="false">IF(D187="Expiring: notice window (verified)",Scoring!$C$30,IF(OR(D187="Expired (verified)",D187="30-yr mark: notice window (est.)",D187="Year-15 window"),Scoring!$C$31,IF(D187="Expiring: 10-yr horizon (verified)",Scoring!$C$32,IF(D187="Past 30-yr mark (verify)",Scoring!$C$33,IF(OR(D187="Credit period",D187="Superseded record"),Scoring!$C$35,Scoring!$C$34)))))</f>
        <v>8</v>
      </c>
      <c r="AF187" s="22" t="n">
        <f aca="false">IF(T187="Y",0,IF(ISNUMBER(V187),IF(Scoring!$B$4-V187&gt;15,Scoring!$C$36,IF(Scoring!$B$4-V187&gt;=10,Scoring!$C$37,IF(Scoring!$B$4-V187&gt;=5,Scoring!$C$38,Scoring!$C$39))),IF(OR(N187="",D187="Out of program"),Scoring!$C$40,IF(O187&gt;15,Scoring!$C$36,IF(O187&gt;=10,Scoring!$C$37,IF(O187&gt;=5,Scoring!$C$38,Scoring!$C$39))))))</f>
        <v>15</v>
      </c>
      <c r="AG187" s="22" t="n">
        <f aca="false">IF(T187="Y",0,IF(Y187="Y",Scoring!$C$41,IF(ISNUMBER(O187),IF(O187&gt;=25,Scoring!$C$42,IF(O187&gt;=15,Scoring!$C$43,Scoring!$C$44)),Scoring!$C$44)))</f>
        <v>8</v>
      </c>
      <c r="AH187" s="22" t="n">
        <f aca="false">IF(T187="Y",0,IF(W187="",Scoring!$C$49,IFERROR(VLOOKUP(W187,Scoring!$B$45:$C$48,2,FALSE()),Scoring!$C$49)))</f>
        <v>5</v>
      </c>
      <c r="AI187" s="23" t="n">
        <f aca="false">C187+IF(ISNUMBER(J187),J187,0)/100000+(10000-ROW())/1000000000</f>
        <v>64.000019813</v>
      </c>
      <c r="AJ187" s="18"/>
      <c r="AK187" s="18"/>
      <c r="AL187" s="18"/>
      <c r="AM187" s="18"/>
    </row>
    <row r="188" customFormat="false" ht="15" hidden="false" customHeight="false" outlineLevel="0" collapsed="false">
      <c r="A188" s="15" t="n">
        <f aca="false">RANK(AI188,$AI$2:$AI$755)</f>
        <v>187</v>
      </c>
      <c r="B188" s="16" t="str">
        <f aca="false">IF(T188="Y","Superseded",IF(C188&gt;=Scoring!$B$16,"Immediate",IF(C188&gt;=Scoring!$B$17,"This week",IF(C188&gt;=Scoring!$B$18,"Nurture","Low"))))</f>
        <v>This week</v>
      </c>
      <c r="C188" s="3" t="n">
        <f aca="false">SUM(AC188:AH188)</f>
        <v>64</v>
      </c>
      <c r="D188" s="15" t="str">
        <f aca="false">IF(T188="Y","Superseded record",IF(AND(U188&lt;&gt;"",AA188&lt;0),"Expired (verified)",IF(AND(U188&lt;&gt;"",AA188&lt;=Scoring!$B$5),"Expiring: notice window (verified)",IF(AND(U188&lt;&gt;"",AA188&lt;=Scoring!$B$6),"Expiring: 10-yr horizon (verified)",IF(M188="No Longer Monitored","Out of program",IF(N188="","Unknown vintage",IF(N188&lt;Scoring!$B$12,"Pre-1990, still listed",IF(AND(U188="",AA188&lt;0),"Past 30-yr mark (verify)",IF(AND(U188="",AA188&lt;=Scoring!$B$5),"30-yr mark: notice window (est.)",IF(AND(O188&gt;=Scoring!$B$7,O188&lt;=Scoring!$B$8),"Year-15 window",IF(O188&gt;=Scoring!$B$9,"Recap window",IF(O188&gt;=11,"Late compliance","Credit period"))))))))))))</f>
        <v>Past 30-yr mark (verify)</v>
      </c>
      <c r="E188" s="15" t="s">
        <v>809</v>
      </c>
      <c r="F188" s="15" t="s">
        <v>810</v>
      </c>
      <c r="G188" s="15" t="s">
        <v>811</v>
      </c>
      <c r="H188" s="15" t="s">
        <v>536</v>
      </c>
      <c r="I188" s="15" t="s">
        <v>537</v>
      </c>
      <c r="J188" s="15" t="n">
        <v>1</v>
      </c>
      <c r="K188" s="15" t="n">
        <v>1</v>
      </c>
      <c r="L188" s="15" t="n">
        <f aca="false">IF(OR(J188="",K188=""),"",MAX(J188-K188,0))</f>
        <v>0</v>
      </c>
      <c r="M188" s="15" t="s">
        <v>99</v>
      </c>
      <c r="N188" s="17" t="n">
        <v>1991</v>
      </c>
      <c r="O188" s="15" t="n">
        <f aca="false">IF(N188="","",Scoring!$B$4-N188)</f>
        <v>35</v>
      </c>
      <c r="P188" s="15" t="n">
        <f aca="false">IF(N188="","",N188+14)</f>
        <v>2005</v>
      </c>
      <c r="Q188" s="15" t="n">
        <f aca="false">IF(N188="","",IF(N188&lt;Scoring!$B$12,"n/a (pre-1990)",N188+Scoring!$B$13))</f>
        <v>2020</v>
      </c>
      <c r="R188" s="15" t="str">
        <f aca="false">IF(J188="","Unknown",IF(J188&gt;=5,"Yes","No (under 5 units)"))</f>
        <v>No (under 5 units)</v>
      </c>
      <c r="S188" s="15"/>
      <c r="T188" s="18"/>
      <c r="U188" s="19"/>
      <c r="V188" s="18"/>
      <c r="W188" s="18"/>
      <c r="X188" s="20"/>
      <c r="Y188" s="18"/>
      <c r="Z188" s="18"/>
      <c r="AA188" s="21" t="n">
        <f aca="false">IF(U188&lt;&gt;"",(U188-Scoring!$B$3)/365.25,IF(N188="","",IF(N188&lt;Scoring!$B$12,"",(DATE(N188+Scoring!$B$13,12,31)-Scoring!$B$3)/365.25)))</f>
        <v>-5.75222450376455</v>
      </c>
      <c r="AB188" s="22" t="n">
        <f aca="false">IF(T188="Y",0,IF(OR(D188="Expired (verified)",D188="Expiring: notice window (verified)",D188="Expiring: 10-yr horizon (verified)",D188="Past 30-yr mark (verify)",D188="30-yr mark: notice window (est.)",D188="Year-15 window"),1,0)+IF(ISNUMBER(O188),IF(O188&gt;=Scoring!$B$10,1,0),0)+IF(AND(ISNUMBER(L188),ISNUMBER(J188)),IF(J188&gt;0,IF(L188/J188&gt;=Scoring!$B$11,1,0),0),0)+IF(ISNUMBER(Z188),MIN(Z188,3),0))</f>
        <v>2</v>
      </c>
      <c r="AC188" s="22" t="n">
        <f aca="false">IF(AB188&gt;=3,Scoring!$C$24,IF(AB188=2,Scoring!$C$23,IF(AB188=1,Scoring!$C$22,0)))</f>
        <v>18</v>
      </c>
      <c r="AD188" s="22" t="n">
        <f aca="false">IF(T188="Y",0,IF(ISNUMBER(X188),IF(X188&gt;0.7,Scoring!$C$25,IF(X188&gt;=0.5,Scoring!$C$26,IF(X188&gt;=0.3,Scoring!$C$27,Scoring!$C$28))),Scoring!$C$29))</f>
        <v>10</v>
      </c>
      <c r="AE188" s="22" t="n">
        <f aca="false">IF(D188="Expiring: notice window (verified)",Scoring!$C$30,IF(OR(D188="Expired (verified)",D188="30-yr mark: notice window (est.)",D188="Year-15 window"),Scoring!$C$31,IF(D188="Expiring: 10-yr horizon (verified)",Scoring!$C$32,IF(D188="Past 30-yr mark (verify)",Scoring!$C$33,IF(OR(D188="Credit period",D188="Superseded record"),Scoring!$C$35,Scoring!$C$34)))))</f>
        <v>8</v>
      </c>
      <c r="AF188" s="22" t="n">
        <f aca="false">IF(T188="Y",0,IF(ISNUMBER(V188),IF(Scoring!$B$4-V188&gt;15,Scoring!$C$36,IF(Scoring!$B$4-V188&gt;=10,Scoring!$C$37,IF(Scoring!$B$4-V188&gt;=5,Scoring!$C$38,Scoring!$C$39))),IF(OR(N188="",D188="Out of program"),Scoring!$C$40,IF(O188&gt;15,Scoring!$C$36,IF(O188&gt;=10,Scoring!$C$37,IF(O188&gt;=5,Scoring!$C$38,Scoring!$C$39))))))</f>
        <v>15</v>
      </c>
      <c r="AG188" s="22" t="n">
        <f aca="false">IF(T188="Y",0,IF(Y188="Y",Scoring!$C$41,IF(ISNUMBER(O188),IF(O188&gt;=25,Scoring!$C$42,IF(O188&gt;=15,Scoring!$C$43,Scoring!$C$44)),Scoring!$C$44)))</f>
        <v>8</v>
      </c>
      <c r="AH188" s="22" t="n">
        <f aca="false">IF(T188="Y",0,IF(W188="",Scoring!$C$49,IFERROR(VLOOKUP(W188,Scoring!$B$45:$C$48,2,FALSE()),Scoring!$C$49)))</f>
        <v>5</v>
      </c>
      <c r="AI188" s="23" t="n">
        <f aca="false">C188+IF(ISNUMBER(J188),J188,0)/100000+(10000-ROW())/1000000000</f>
        <v>64.000019812</v>
      </c>
      <c r="AJ188" s="18"/>
      <c r="AK188" s="18"/>
      <c r="AL188" s="18"/>
      <c r="AM188" s="18"/>
    </row>
    <row r="189" customFormat="false" ht="15" hidden="false" customHeight="false" outlineLevel="0" collapsed="false">
      <c r="A189" s="15" t="n">
        <f aca="false">RANK(AI189,$AI$2:$AI$755)</f>
        <v>188</v>
      </c>
      <c r="B189" s="16" t="str">
        <f aca="false">IF(T189="Y","Superseded",IF(C189&gt;=Scoring!$B$16,"Immediate",IF(C189&gt;=Scoring!$B$17,"This week",IF(C189&gt;=Scoring!$B$18,"Nurture","Low"))))</f>
        <v>This week</v>
      </c>
      <c r="C189" s="3" t="n">
        <f aca="false">SUM(AC189:AH189)</f>
        <v>64</v>
      </c>
      <c r="D189" s="15" t="str">
        <f aca="false">IF(T189="Y","Superseded record",IF(AND(U189&lt;&gt;"",AA189&lt;0),"Expired (verified)",IF(AND(U189&lt;&gt;"",AA189&lt;=Scoring!$B$5),"Expiring: notice window (verified)",IF(AND(U189&lt;&gt;"",AA189&lt;=Scoring!$B$6),"Expiring: 10-yr horizon (verified)",IF(M189="No Longer Monitored","Out of program",IF(N189="","Unknown vintage",IF(N189&lt;Scoring!$B$12,"Pre-1990, still listed",IF(AND(U189="",AA189&lt;0),"Past 30-yr mark (verify)",IF(AND(U189="",AA189&lt;=Scoring!$B$5),"30-yr mark: notice window (est.)",IF(AND(O189&gt;=Scoring!$B$7,O189&lt;=Scoring!$B$8),"Year-15 window",IF(O189&gt;=Scoring!$B$9,"Recap window",IF(O189&gt;=11,"Late compliance","Credit period"))))))))))))</f>
        <v>Past 30-yr mark (verify)</v>
      </c>
      <c r="E189" s="15" t="s">
        <v>812</v>
      </c>
      <c r="F189" s="15" t="s">
        <v>813</v>
      </c>
      <c r="G189" s="15" t="s">
        <v>814</v>
      </c>
      <c r="H189" s="15" t="s">
        <v>536</v>
      </c>
      <c r="I189" s="15" t="s">
        <v>537</v>
      </c>
      <c r="J189" s="15" t="n">
        <v>1</v>
      </c>
      <c r="K189" s="15" t="n">
        <v>1</v>
      </c>
      <c r="L189" s="15" t="n">
        <f aca="false">IF(OR(J189="",K189=""),"",MAX(J189-K189,0))</f>
        <v>0</v>
      </c>
      <c r="M189" s="15" t="s">
        <v>99</v>
      </c>
      <c r="N189" s="17" t="n">
        <v>1991</v>
      </c>
      <c r="O189" s="15" t="n">
        <f aca="false">IF(N189="","",Scoring!$B$4-N189)</f>
        <v>35</v>
      </c>
      <c r="P189" s="15" t="n">
        <f aca="false">IF(N189="","",N189+14)</f>
        <v>2005</v>
      </c>
      <c r="Q189" s="15" t="n">
        <f aca="false">IF(N189="","",IF(N189&lt;Scoring!$B$12,"n/a (pre-1990)",N189+Scoring!$B$13))</f>
        <v>2020</v>
      </c>
      <c r="R189" s="15" t="str">
        <f aca="false">IF(J189="","Unknown",IF(J189&gt;=5,"Yes","No (under 5 units)"))</f>
        <v>No (under 5 units)</v>
      </c>
      <c r="S189" s="15"/>
      <c r="T189" s="18"/>
      <c r="U189" s="19"/>
      <c r="V189" s="18"/>
      <c r="W189" s="18"/>
      <c r="X189" s="20"/>
      <c r="Y189" s="18"/>
      <c r="Z189" s="18"/>
      <c r="AA189" s="21" t="n">
        <f aca="false">IF(U189&lt;&gt;"",(U189-Scoring!$B$3)/365.25,IF(N189="","",IF(N189&lt;Scoring!$B$12,"",(DATE(N189+Scoring!$B$13,12,31)-Scoring!$B$3)/365.25)))</f>
        <v>-5.75222450376455</v>
      </c>
      <c r="AB189" s="22" t="n">
        <f aca="false">IF(T189="Y",0,IF(OR(D189="Expired (verified)",D189="Expiring: notice window (verified)",D189="Expiring: 10-yr horizon (verified)",D189="Past 30-yr mark (verify)",D189="30-yr mark: notice window (est.)",D189="Year-15 window"),1,0)+IF(ISNUMBER(O189),IF(O189&gt;=Scoring!$B$10,1,0),0)+IF(AND(ISNUMBER(L189),ISNUMBER(J189)),IF(J189&gt;0,IF(L189/J189&gt;=Scoring!$B$11,1,0),0),0)+IF(ISNUMBER(Z189),MIN(Z189,3),0))</f>
        <v>2</v>
      </c>
      <c r="AC189" s="22" t="n">
        <f aca="false">IF(AB189&gt;=3,Scoring!$C$24,IF(AB189=2,Scoring!$C$23,IF(AB189=1,Scoring!$C$22,0)))</f>
        <v>18</v>
      </c>
      <c r="AD189" s="22" t="n">
        <f aca="false">IF(T189="Y",0,IF(ISNUMBER(X189),IF(X189&gt;0.7,Scoring!$C$25,IF(X189&gt;=0.5,Scoring!$C$26,IF(X189&gt;=0.3,Scoring!$C$27,Scoring!$C$28))),Scoring!$C$29))</f>
        <v>10</v>
      </c>
      <c r="AE189" s="22" t="n">
        <f aca="false">IF(D189="Expiring: notice window (verified)",Scoring!$C$30,IF(OR(D189="Expired (verified)",D189="30-yr mark: notice window (est.)",D189="Year-15 window"),Scoring!$C$31,IF(D189="Expiring: 10-yr horizon (verified)",Scoring!$C$32,IF(D189="Past 30-yr mark (verify)",Scoring!$C$33,IF(OR(D189="Credit period",D189="Superseded record"),Scoring!$C$35,Scoring!$C$34)))))</f>
        <v>8</v>
      </c>
      <c r="AF189" s="22" t="n">
        <f aca="false">IF(T189="Y",0,IF(ISNUMBER(V189),IF(Scoring!$B$4-V189&gt;15,Scoring!$C$36,IF(Scoring!$B$4-V189&gt;=10,Scoring!$C$37,IF(Scoring!$B$4-V189&gt;=5,Scoring!$C$38,Scoring!$C$39))),IF(OR(N189="",D189="Out of program"),Scoring!$C$40,IF(O189&gt;15,Scoring!$C$36,IF(O189&gt;=10,Scoring!$C$37,IF(O189&gt;=5,Scoring!$C$38,Scoring!$C$39))))))</f>
        <v>15</v>
      </c>
      <c r="AG189" s="22" t="n">
        <f aca="false">IF(T189="Y",0,IF(Y189="Y",Scoring!$C$41,IF(ISNUMBER(O189),IF(O189&gt;=25,Scoring!$C$42,IF(O189&gt;=15,Scoring!$C$43,Scoring!$C$44)),Scoring!$C$44)))</f>
        <v>8</v>
      </c>
      <c r="AH189" s="22" t="n">
        <f aca="false">IF(T189="Y",0,IF(W189="",Scoring!$C$49,IFERROR(VLOOKUP(W189,Scoring!$B$45:$C$48,2,FALSE()),Scoring!$C$49)))</f>
        <v>5</v>
      </c>
      <c r="AI189" s="23" t="n">
        <f aca="false">C189+IF(ISNUMBER(J189),J189,0)/100000+(10000-ROW())/1000000000</f>
        <v>64.000019811</v>
      </c>
      <c r="AJ189" s="18"/>
      <c r="AK189" s="18"/>
      <c r="AL189" s="18"/>
      <c r="AM189" s="18"/>
    </row>
    <row r="190" customFormat="false" ht="15" hidden="false" customHeight="false" outlineLevel="0" collapsed="false">
      <c r="A190" s="15" t="n">
        <f aca="false">RANK(AI190,$AI$2:$AI$755)</f>
        <v>189</v>
      </c>
      <c r="B190" s="16" t="str">
        <f aca="false">IF(T190="Y","Superseded",IF(C190&gt;=Scoring!$B$16,"Immediate",IF(C190&gt;=Scoring!$B$17,"This week",IF(C190&gt;=Scoring!$B$18,"Nurture","Low"))))</f>
        <v>This week</v>
      </c>
      <c r="C190" s="3" t="n">
        <f aca="false">SUM(AC190:AH190)</f>
        <v>64</v>
      </c>
      <c r="D190" s="15" t="str">
        <f aca="false">IF(T190="Y","Superseded record",IF(AND(U190&lt;&gt;"",AA190&lt;0),"Expired (verified)",IF(AND(U190&lt;&gt;"",AA190&lt;=Scoring!$B$5),"Expiring: notice window (verified)",IF(AND(U190&lt;&gt;"",AA190&lt;=Scoring!$B$6),"Expiring: 10-yr horizon (verified)",IF(M190="No Longer Monitored","Out of program",IF(N190="","Unknown vintage",IF(N190&lt;Scoring!$B$12,"Pre-1990, still listed",IF(AND(U190="",AA190&lt;0),"Past 30-yr mark (verify)",IF(AND(U190="",AA190&lt;=Scoring!$B$5),"30-yr mark: notice window (est.)",IF(AND(O190&gt;=Scoring!$B$7,O190&lt;=Scoring!$B$8),"Year-15 window",IF(O190&gt;=Scoring!$B$9,"Recap window",IF(O190&gt;=11,"Late compliance","Credit period"))))))))))))</f>
        <v>Past 30-yr mark (verify)</v>
      </c>
      <c r="E190" s="15" t="s">
        <v>815</v>
      </c>
      <c r="F190" s="15" t="s">
        <v>816</v>
      </c>
      <c r="G190" s="15" t="s">
        <v>817</v>
      </c>
      <c r="H190" s="15" t="s">
        <v>536</v>
      </c>
      <c r="I190" s="15" t="s">
        <v>537</v>
      </c>
      <c r="J190" s="15" t="n">
        <v>1</v>
      </c>
      <c r="K190" s="15" t="n">
        <v>1</v>
      </c>
      <c r="L190" s="15" t="n">
        <f aca="false">IF(OR(J190="",K190=""),"",MAX(J190-K190,0))</f>
        <v>0</v>
      </c>
      <c r="M190" s="15" t="s">
        <v>99</v>
      </c>
      <c r="N190" s="17" t="n">
        <v>1991</v>
      </c>
      <c r="O190" s="15" t="n">
        <f aca="false">IF(N190="","",Scoring!$B$4-N190)</f>
        <v>35</v>
      </c>
      <c r="P190" s="15" t="n">
        <f aca="false">IF(N190="","",N190+14)</f>
        <v>2005</v>
      </c>
      <c r="Q190" s="15" t="n">
        <f aca="false">IF(N190="","",IF(N190&lt;Scoring!$B$12,"n/a (pre-1990)",N190+Scoring!$B$13))</f>
        <v>2020</v>
      </c>
      <c r="R190" s="15" t="str">
        <f aca="false">IF(J190="","Unknown",IF(J190&gt;=5,"Yes","No (under 5 units)"))</f>
        <v>No (under 5 units)</v>
      </c>
      <c r="S190" s="15"/>
      <c r="T190" s="18"/>
      <c r="U190" s="19"/>
      <c r="V190" s="18"/>
      <c r="W190" s="18"/>
      <c r="X190" s="20"/>
      <c r="Y190" s="18"/>
      <c r="Z190" s="18"/>
      <c r="AA190" s="21" t="n">
        <f aca="false">IF(U190&lt;&gt;"",(U190-Scoring!$B$3)/365.25,IF(N190="","",IF(N190&lt;Scoring!$B$12,"",(DATE(N190+Scoring!$B$13,12,31)-Scoring!$B$3)/365.25)))</f>
        <v>-5.75222450376455</v>
      </c>
      <c r="AB190" s="22" t="n">
        <f aca="false">IF(T190="Y",0,IF(OR(D190="Expired (verified)",D190="Expiring: notice window (verified)",D190="Expiring: 10-yr horizon (verified)",D190="Past 30-yr mark (verify)",D190="30-yr mark: notice window (est.)",D190="Year-15 window"),1,0)+IF(ISNUMBER(O190),IF(O190&gt;=Scoring!$B$10,1,0),0)+IF(AND(ISNUMBER(L190),ISNUMBER(J190)),IF(J190&gt;0,IF(L190/J190&gt;=Scoring!$B$11,1,0),0),0)+IF(ISNUMBER(Z190),MIN(Z190,3),0))</f>
        <v>2</v>
      </c>
      <c r="AC190" s="22" t="n">
        <f aca="false">IF(AB190&gt;=3,Scoring!$C$24,IF(AB190=2,Scoring!$C$23,IF(AB190=1,Scoring!$C$22,0)))</f>
        <v>18</v>
      </c>
      <c r="AD190" s="22" t="n">
        <f aca="false">IF(T190="Y",0,IF(ISNUMBER(X190),IF(X190&gt;0.7,Scoring!$C$25,IF(X190&gt;=0.5,Scoring!$C$26,IF(X190&gt;=0.3,Scoring!$C$27,Scoring!$C$28))),Scoring!$C$29))</f>
        <v>10</v>
      </c>
      <c r="AE190" s="22" t="n">
        <f aca="false">IF(D190="Expiring: notice window (verified)",Scoring!$C$30,IF(OR(D190="Expired (verified)",D190="30-yr mark: notice window (est.)",D190="Year-15 window"),Scoring!$C$31,IF(D190="Expiring: 10-yr horizon (verified)",Scoring!$C$32,IF(D190="Past 30-yr mark (verify)",Scoring!$C$33,IF(OR(D190="Credit period",D190="Superseded record"),Scoring!$C$35,Scoring!$C$34)))))</f>
        <v>8</v>
      </c>
      <c r="AF190" s="22" t="n">
        <f aca="false">IF(T190="Y",0,IF(ISNUMBER(V190),IF(Scoring!$B$4-V190&gt;15,Scoring!$C$36,IF(Scoring!$B$4-V190&gt;=10,Scoring!$C$37,IF(Scoring!$B$4-V190&gt;=5,Scoring!$C$38,Scoring!$C$39))),IF(OR(N190="",D190="Out of program"),Scoring!$C$40,IF(O190&gt;15,Scoring!$C$36,IF(O190&gt;=10,Scoring!$C$37,IF(O190&gt;=5,Scoring!$C$38,Scoring!$C$39))))))</f>
        <v>15</v>
      </c>
      <c r="AG190" s="22" t="n">
        <f aca="false">IF(T190="Y",0,IF(Y190="Y",Scoring!$C$41,IF(ISNUMBER(O190),IF(O190&gt;=25,Scoring!$C$42,IF(O190&gt;=15,Scoring!$C$43,Scoring!$C$44)),Scoring!$C$44)))</f>
        <v>8</v>
      </c>
      <c r="AH190" s="22" t="n">
        <f aca="false">IF(T190="Y",0,IF(W190="",Scoring!$C$49,IFERROR(VLOOKUP(W190,Scoring!$B$45:$C$48,2,FALSE()),Scoring!$C$49)))</f>
        <v>5</v>
      </c>
      <c r="AI190" s="23" t="n">
        <f aca="false">C190+IF(ISNUMBER(J190),J190,0)/100000+(10000-ROW())/1000000000</f>
        <v>64.00001981</v>
      </c>
      <c r="AJ190" s="18"/>
      <c r="AK190" s="18"/>
      <c r="AL190" s="18"/>
      <c r="AM190" s="18"/>
    </row>
    <row r="191" customFormat="false" ht="15" hidden="false" customHeight="false" outlineLevel="0" collapsed="false">
      <c r="A191" s="15" t="n">
        <f aca="false">RANK(AI191,$AI$2:$AI$755)</f>
        <v>190</v>
      </c>
      <c r="B191" s="16" t="str">
        <f aca="false">IF(T191="Y","Superseded",IF(C191&gt;=Scoring!$B$16,"Immediate",IF(C191&gt;=Scoring!$B$17,"This week",IF(C191&gt;=Scoring!$B$18,"Nurture","Low"))))</f>
        <v>This week</v>
      </c>
      <c r="C191" s="3" t="n">
        <f aca="false">SUM(AC191:AH191)</f>
        <v>60</v>
      </c>
      <c r="D191" s="15" t="str">
        <f aca="false">IF(T191="Y","Superseded record",IF(AND(U191&lt;&gt;"",AA191&lt;0),"Expired (verified)",IF(AND(U191&lt;&gt;"",AA191&lt;=Scoring!$B$5),"Expiring: notice window (verified)",IF(AND(U191&lt;&gt;"",AA191&lt;=Scoring!$B$6),"Expiring: 10-yr horizon (verified)",IF(M191="No Longer Monitored","Out of program",IF(N191="","Unknown vintage",IF(N191&lt;Scoring!$B$12,"Pre-1990, still listed",IF(AND(U191="",AA191&lt;0),"Past 30-yr mark (verify)",IF(AND(U191="",AA191&lt;=Scoring!$B$5),"30-yr mark: notice window (est.)",IF(AND(O191&gt;=Scoring!$B$7,O191&lt;=Scoring!$B$8),"Year-15 window",IF(O191&gt;=Scoring!$B$9,"Recap window",IF(O191&gt;=11,"Late compliance","Credit period"))))))))))))</f>
        <v>Recap window</v>
      </c>
      <c r="E191" s="15" t="s">
        <v>818</v>
      </c>
      <c r="F191" s="15" t="s">
        <v>819</v>
      </c>
      <c r="G191" s="15" t="s">
        <v>820</v>
      </c>
      <c r="H191" s="15" t="s">
        <v>97</v>
      </c>
      <c r="I191" s="15" t="s">
        <v>98</v>
      </c>
      <c r="J191" s="15" t="n">
        <v>129</v>
      </c>
      <c r="K191" s="15" t="n">
        <v>92</v>
      </c>
      <c r="L191" s="15" t="n">
        <f aca="false">IF(OR(J191="",K191=""),"",MAX(J191-K191,0))</f>
        <v>37</v>
      </c>
      <c r="M191" s="15" t="s">
        <v>99</v>
      </c>
      <c r="N191" s="17" t="n">
        <v>2000</v>
      </c>
      <c r="O191" s="15" t="n">
        <f aca="false">IF(N191="","",Scoring!$B$4-N191)</f>
        <v>26</v>
      </c>
      <c r="P191" s="15" t="n">
        <f aca="false">IF(N191="","",N191+14)</f>
        <v>2014</v>
      </c>
      <c r="Q191" s="15" t="n">
        <f aca="false">IF(N191="","",IF(N191&lt;Scoring!$B$12,"n/a (pre-1990)",N191+Scoring!$B$13))</f>
        <v>2029</v>
      </c>
      <c r="R191" s="15" t="str">
        <f aca="false">IF(J191="","Unknown",IF(J191&gt;=5,"Yes","No (under 5 units)"))</f>
        <v>Yes</v>
      </c>
      <c r="S191" s="15"/>
      <c r="T191" s="18"/>
      <c r="U191" s="19"/>
      <c r="V191" s="18"/>
      <c r="W191" s="18"/>
      <c r="X191" s="20"/>
      <c r="Y191" s="18"/>
      <c r="Z191" s="18"/>
      <c r="AA191" s="21" t="n">
        <f aca="false">IF(U191&lt;&gt;"",(U191-Scoring!$B$3)/365.25,IF(N191="","",IF(N191&lt;Scoring!$B$12,"",(DATE(N191+Scoring!$B$13,12,31)-Scoring!$B$3)/365.25)))</f>
        <v>3.24709103353867</v>
      </c>
      <c r="AB191" s="22" t="n">
        <f aca="false">IF(T191="Y",0,IF(OR(D191="Expired (verified)",D191="Expiring: notice window (verified)",D191="Expiring: 10-yr horizon (verified)",D191="Past 30-yr mark (verify)",D191="30-yr mark: notice window (est.)",D191="Year-15 window"),1,0)+IF(ISNUMBER(O191),IF(O191&gt;=Scoring!$B$10,1,0),0)+IF(AND(ISNUMBER(L191),ISNUMBER(J191)),IF(J191&gt;0,IF(L191/J191&gt;=Scoring!$B$11,1,0),0),0)+IF(ISNUMBER(Z191),MIN(Z191,3),0))</f>
        <v>2</v>
      </c>
      <c r="AC191" s="22" t="n">
        <f aca="false">IF(AB191&gt;=3,Scoring!$C$24,IF(AB191=2,Scoring!$C$23,IF(AB191=1,Scoring!$C$22,0)))</f>
        <v>18</v>
      </c>
      <c r="AD191" s="22" t="n">
        <f aca="false">IF(T191="Y",0,IF(ISNUMBER(X191),IF(X191&gt;0.7,Scoring!$C$25,IF(X191&gt;=0.5,Scoring!$C$26,IF(X191&gt;=0.3,Scoring!$C$27,Scoring!$C$28))),Scoring!$C$29))</f>
        <v>10</v>
      </c>
      <c r="AE191" s="22" t="n">
        <f aca="false">IF(D191="Expiring: notice window (verified)",Scoring!$C$30,IF(OR(D191="Expired (verified)",D191="30-yr mark: notice window (est.)",D191="Year-15 window"),Scoring!$C$31,IF(D191="Expiring: 10-yr horizon (verified)",Scoring!$C$32,IF(D191="Past 30-yr mark (verify)",Scoring!$C$33,IF(OR(D191="Credit period",D191="Superseded record"),Scoring!$C$35,Scoring!$C$34)))))</f>
        <v>4</v>
      </c>
      <c r="AF191" s="22" t="n">
        <f aca="false">IF(T191="Y",0,IF(ISNUMBER(V191),IF(Scoring!$B$4-V191&gt;15,Scoring!$C$36,IF(Scoring!$B$4-V191&gt;=10,Scoring!$C$37,IF(Scoring!$B$4-V191&gt;=5,Scoring!$C$38,Scoring!$C$39))),IF(OR(N191="",D191="Out of program"),Scoring!$C$40,IF(O191&gt;15,Scoring!$C$36,IF(O191&gt;=10,Scoring!$C$37,IF(O191&gt;=5,Scoring!$C$38,Scoring!$C$39))))))</f>
        <v>15</v>
      </c>
      <c r="AG191" s="22" t="n">
        <f aca="false">IF(T191="Y",0,IF(Y191="Y",Scoring!$C$41,IF(ISNUMBER(O191),IF(O191&gt;=25,Scoring!$C$42,IF(O191&gt;=15,Scoring!$C$43,Scoring!$C$44)),Scoring!$C$44)))</f>
        <v>8</v>
      </c>
      <c r="AH191" s="22" t="n">
        <f aca="false">IF(T191="Y",0,IF(W191="",Scoring!$C$49,IFERROR(VLOOKUP(W191,Scoring!$B$45:$C$48,2,FALSE()),Scoring!$C$49)))</f>
        <v>5</v>
      </c>
      <c r="AI191" s="23" t="n">
        <f aca="false">C191+IF(ISNUMBER(J191),J191,0)/100000+(10000-ROW())/1000000000</f>
        <v>60.001299809</v>
      </c>
      <c r="AJ191" s="18"/>
      <c r="AK191" s="18"/>
      <c r="AL191" s="18"/>
      <c r="AM191" s="18"/>
    </row>
    <row r="192" customFormat="false" ht="15" hidden="false" customHeight="false" outlineLevel="0" collapsed="false">
      <c r="A192" s="15" t="n">
        <f aca="false">RANK(AI192,$AI$2:$AI$755)</f>
        <v>191</v>
      </c>
      <c r="B192" s="16" t="str">
        <f aca="false">IF(T192="Y","Superseded",IF(C192&gt;=Scoring!$B$16,"Immediate",IF(C192&gt;=Scoring!$B$17,"This week",IF(C192&gt;=Scoring!$B$18,"Nurture","Low"))))</f>
        <v>This week</v>
      </c>
      <c r="C192" s="3" t="n">
        <f aca="false">SUM(AC192:AH192)</f>
        <v>60</v>
      </c>
      <c r="D192" s="15" t="str">
        <f aca="false">IF(T192="Y","Superseded record",IF(AND(U192&lt;&gt;"",AA192&lt;0),"Expired (verified)",IF(AND(U192&lt;&gt;"",AA192&lt;=Scoring!$B$5),"Expiring: notice window (verified)",IF(AND(U192&lt;&gt;"",AA192&lt;=Scoring!$B$6),"Expiring: 10-yr horizon (verified)",IF(M192="No Longer Monitored","Out of program",IF(N192="","Unknown vintage",IF(N192&lt;Scoring!$B$12,"Pre-1990, still listed",IF(AND(U192="",AA192&lt;0),"Past 30-yr mark (verify)",IF(AND(U192="",AA192&lt;=Scoring!$B$5),"30-yr mark: notice window (est.)",IF(AND(O192&gt;=Scoring!$B$7,O192&lt;=Scoring!$B$8),"Year-15 window",IF(O192&gt;=Scoring!$B$9,"Recap window",IF(O192&gt;=11,"Late compliance","Credit period"))))))))))))</f>
        <v>Recap window</v>
      </c>
      <c r="E192" s="15" t="s">
        <v>821</v>
      </c>
      <c r="F192" s="15" t="s">
        <v>822</v>
      </c>
      <c r="G192" s="15" t="s">
        <v>823</v>
      </c>
      <c r="H192" s="15" t="s">
        <v>97</v>
      </c>
      <c r="I192" s="15" t="s">
        <v>98</v>
      </c>
      <c r="J192" s="15" t="n">
        <v>124</v>
      </c>
      <c r="K192" s="15" t="n">
        <v>52</v>
      </c>
      <c r="L192" s="15" t="n">
        <f aca="false">IF(OR(J192="",K192=""),"",MAX(J192-K192,0))</f>
        <v>72</v>
      </c>
      <c r="M192" s="15" t="s">
        <v>99</v>
      </c>
      <c r="N192" s="17" t="n">
        <v>2000</v>
      </c>
      <c r="O192" s="15" t="n">
        <f aca="false">IF(N192="","",Scoring!$B$4-N192)</f>
        <v>26</v>
      </c>
      <c r="P192" s="15" t="n">
        <f aca="false">IF(N192="","",N192+14)</f>
        <v>2014</v>
      </c>
      <c r="Q192" s="15" t="n">
        <f aca="false">IF(N192="","",IF(N192&lt;Scoring!$B$12,"n/a (pre-1990)",N192+Scoring!$B$13))</f>
        <v>2029</v>
      </c>
      <c r="R192" s="15" t="str">
        <f aca="false">IF(J192="","Unknown",IF(J192&gt;=5,"Yes","No (under 5 units)"))</f>
        <v>Yes</v>
      </c>
      <c r="S192" s="15"/>
      <c r="T192" s="18"/>
      <c r="U192" s="19"/>
      <c r="V192" s="18"/>
      <c r="W192" s="18"/>
      <c r="X192" s="20"/>
      <c r="Y192" s="18"/>
      <c r="Z192" s="18"/>
      <c r="AA192" s="21" t="n">
        <f aca="false">IF(U192&lt;&gt;"",(U192-Scoring!$B$3)/365.25,IF(N192="","",IF(N192&lt;Scoring!$B$12,"",(DATE(N192+Scoring!$B$13,12,31)-Scoring!$B$3)/365.25)))</f>
        <v>3.24709103353867</v>
      </c>
      <c r="AB192" s="22" t="n">
        <f aca="false">IF(T192="Y",0,IF(OR(D192="Expired (verified)",D192="Expiring: notice window (verified)",D192="Expiring: 10-yr horizon (verified)",D192="Past 30-yr mark (verify)",D192="30-yr mark: notice window (est.)",D192="Year-15 window"),1,0)+IF(ISNUMBER(O192),IF(O192&gt;=Scoring!$B$10,1,0),0)+IF(AND(ISNUMBER(L192),ISNUMBER(J192)),IF(J192&gt;0,IF(L192/J192&gt;=Scoring!$B$11,1,0),0),0)+IF(ISNUMBER(Z192),MIN(Z192,3),0))</f>
        <v>2</v>
      </c>
      <c r="AC192" s="22" t="n">
        <f aca="false">IF(AB192&gt;=3,Scoring!$C$24,IF(AB192=2,Scoring!$C$23,IF(AB192=1,Scoring!$C$22,0)))</f>
        <v>18</v>
      </c>
      <c r="AD192" s="22" t="n">
        <f aca="false">IF(T192="Y",0,IF(ISNUMBER(X192),IF(X192&gt;0.7,Scoring!$C$25,IF(X192&gt;=0.5,Scoring!$C$26,IF(X192&gt;=0.3,Scoring!$C$27,Scoring!$C$28))),Scoring!$C$29))</f>
        <v>10</v>
      </c>
      <c r="AE192" s="22" t="n">
        <f aca="false">IF(D192="Expiring: notice window (verified)",Scoring!$C$30,IF(OR(D192="Expired (verified)",D192="30-yr mark: notice window (est.)",D192="Year-15 window"),Scoring!$C$31,IF(D192="Expiring: 10-yr horizon (verified)",Scoring!$C$32,IF(D192="Past 30-yr mark (verify)",Scoring!$C$33,IF(OR(D192="Credit period",D192="Superseded record"),Scoring!$C$35,Scoring!$C$34)))))</f>
        <v>4</v>
      </c>
      <c r="AF192" s="22" t="n">
        <f aca="false">IF(T192="Y",0,IF(ISNUMBER(V192),IF(Scoring!$B$4-V192&gt;15,Scoring!$C$36,IF(Scoring!$B$4-V192&gt;=10,Scoring!$C$37,IF(Scoring!$B$4-V192&gt;=5,Scoring!$C$38,Scoring!$C$39))),IF(OR(N192="",D192="Out of program"),Scoring!$C$40,IF(O192&gt;15,Scoring!$C$36,IF(O192&gt;=10,Scoring!$C$37,IF(O192&gt;=5,Scoring!$C$38,Scoring!$C$39))))))</f>
        <v>15</v>
      </c>
      <c r="AG192" s="22" t="n">
        <f aca="false">IF(T192="Y",0,IF(Y192="Y",Scoring!$C$41,IF(ISNUMBER(O192),IF(O192&gt;=25,Scoring!$C$42,IF(O192&gt;=15,Scoring!$C$43,Scoring!$C$44)),Scoring!$C$44)))</f>
        <v>8</v>
      </c>
      <c r="AH192" s="22" t="n">
        <f aca="false">IF(T192="Y",0,IF(W192="",Scoring!$C$49,IFERROR(VLOOKUP(W192,Scoring!$B$45:$C$48,2,FALSE()),Scoring!$C$49)))</f>
        <v>5</v>
      </c>
      <c r="AI192" s="23" t="n">
        <f aca="false">C192+IF(ISNUMBER(J192),J192,0)/100000+(10000-ROW())/1000000000</f>
        <v>60.001249808</v>
      </c>
      <c r="AJ192" s="18"/>
      <c r="AK192" s="18"/>
      <c r="AL192" s="18"/>
      <c r="AM192" s="18"/>
    </row>
    <row r="193" customFormat="false" ht="15" hidden="false" customHeight="false" outlineLevel="0" collapsed="false">
      <c r="A193" s="15" t="n">
        <f aca="false">RANK(AI193,$AI$2:$AI$755)</f>
        <v>192</v>
      </c>
      <c r="B193" s="16" t="str">
        <f aca="false">IF(T193="Y","Superseded",IF(C193&gt;=Scoring!$B$16,"Immediate",IF(C193&gt;=Scoring!$B$17,"This week",IF(C193&gt;=Scoring!$B$18,"Nurture","Low"))))</f>
        <v>This week</v>
      </c>
      <c r="C193" s="3" t="n">
        <f aca="false">SUM(AC193:AH193)</f>
        <v>60</v>
      </c>
      <c r="D193" s="15" t="str">
        <f aca="false">IF(T193="Y","Superseded record",IF(AND(U193&lt;&gt;"",AA193&lt;0),"Expired (verified)",IF(AND(U193&lt;&gt;"",AA193&lt;=Scoring!$B$5),"Expiring: notice window (verified)",IF(AND(U193&lt;&gt;"",AA193&lt;=Scoring!$B$6),"Expiring: 10-yr horizon (verified)",IF(M193="No Longer Monitored","Out of program",IF(N193="","Unknown vintage",IF(N193&lt;Scoring!$B$12,"Pre-1990, still listed",IF(AND(U193="",AA193&lt;0),"Past 30-yr mark (verify)",IF(AND(U193="",AA193&lt;=Scoring!$B$5),"30-yr mark: notice window (est.)",IF(AND(O193&gt;=Scoring!$B$7,O193&lt;=Scoring!$B$8),"Year-15 window",IF(O193&gt;=Scoring!$B$9,"Recap window",IF(O193&gt;=11,"Late compliance","Credit period"))))))))))))</f>
        <v>Recap window</v>
      </c>
      <c r="E193" s="15" t="s">
        <v>824</v>
      </c>
      <c r="F193" s="15" t="s">
        <v>825</v>
      </c>
      <c r="G193" s="15" t="s">
        <v>826</v>
      </c>
      <c r="H193" s="15" t="s">
        <v>107</v>
      </c>
      <c r="I193" s="15" t="s">
        <v>594</v>
      </c>
      <c r="J193" s="15" t="n">
        <v>38</v>
      </c>
      <c r="K193" s="15" t="n">
        <v>32</v>
      </c>
      <c r="L193" s="15" t="n">
        <f aca="false">IF(OR(J193="",K193=""),"",MAX(J193-K193,0))</f>
        <v>6</v>
      </c>
      <c r="M193" s="15" t="s">
        <v>99</v>
      </c>
      <c r="N193" s="17" t="n">
        <v>2000</v>
      </c>
      <c r="O193" s="15" t="n">
        <f aca="false">IF(N193="","",Scoring!$B$4-N193)</f>
        <v>26</v>
      </c>
      <c r="P193" s="15" t="n">
        <f aca="false">IF(N193="","",N193+14)</f>
        <v>2014</v>
      </c>
      <c r="Q193" s="15" t="n">
        <f aca="false">IF(N193="","",IF(N193&lt;Scoring!$B$12,"n/a (pre-1990)",N193+Scoring!$B$13))</f>
        <v>2029</v>
      </c>
      <c r="R193" s="15" t="str">
        <f aca="false">IF(J193="","Unknown",IF(J193&gt;=5,"Yes","No (under 5 units)"))</f>
        <v>Yes</v>
      </c>
      <c r="S193" s="15"/>
      <c r="T193" s="18"/>
      <c r="U193" s="19"/>
      <c r="V193" s="18"/>
      <c r="W193" s="18"/>
      <c r="X193" s="20"/>
      <c r="Y193" s="18"/>
      <c r="Z193" s="18"/>
      <c r="AA193" s="21" t="n">
        <f aca="false">IF(U193&lt;&gt;"",(U193-Scoring!$B$3)/365.25,IF(N193="","",IF(N193&lt;Scoring!$B$12,"",(DATE(N193+Scoring!$B$13,12,31)-Scoring!$B$3)/365.25)))</f>
        <v>3.24709103353867</v>
      </c>
      <c r="AB193" s="22" t="n">
        <f aca="false">IF(T193="Y",0,IF(OR(D193="Expired (verified)",D193="Expiring: notice window (verified)",D193="Expiring: 10-yr horizon (verified)",D193="Past 30-yr mark (verify)",D193="30-yr mark: notice window (est.)",D193="Year-15 window"),1,0)+IF(ISNUMBER(O193),IF(O193&gt;=Scoring!$B$10,1,0),0)+IF(AND(ISNUMBER(L193),ISNUMBER(J193)),IF(J193&gt;0,IF(L193/J193&gt;=Scoring!$B$11,1,0),0),0)+IF(ISNUMBER(Z193),MIN(Z193,3),0))</f>
        <v>2</v>
      </c>
      <c r="AC193" s="22" t="n">
        <f aca="false">IF(AB193&gt;=3,Scoring!$C$24,IF(AB193=2,Scoring!$C$23,IF(AB193=1,Scoring!$C$22,0)))</f>
        <v>18</v>
      </c>
      <c r="AD193" s="22" t="n">
        <f aca="false">IF(T193="Y",0,IF(ISNUMBER(X193),IF(X193&gt;0.7,Scoring!$C$25,IF(X193&gt;=0.5,Scoring!$C$26,IF(X193&gt;=0.3,Scoring!$C$27,Scoring!$C$28))),Scoring!$C$29))</f>
        <v>10</v>
      </c>
      <c r="AE193" s="22" t="n">
        <f aca="false">IF(D193="Expiring: notice window (verified)",Scoring!$C$30,IF(OR(D193="Expired (verified)",D193="30-yr mark: notice window (est.)",D193="Year-15 window"),Scoring!$C$31,IF(D193="Expiring: 10-yr horizon (verified)",Scoring!$C$32,IF(D193="Past 30-yr mark (verify)",Scoring!$C$33,IF(OR(D193="Credit period",D193="Superseded record"),Scoring!$C$35,Scoring!$C$34)))))</f>
        <v>4</v>
      </c>
      <c r="AF193" s="22" t="n">
        <f aca="false">IF(T193="Y",0,IF(ISNUMBER(V193),IF(Scoring!$B$4-V193&gt;15,Scoring!$C$36,IF(Scoring!$B$4-V193&gt;=10,Scoring!$C$37,IF(Scoring!$B$4-V193&gt;=5,Scoring!$C$38,Scoring!$C$39))),IF(OR(N193="",D193="Out of program"),Scoring!$C$40,IF(O193&gt;15,Scoring!$C$36,IF(O193&gt;=10,Scoring!$C$37,IF(O193&gt;=5,Scoring!$C$38,Scoring!$C$39))))))</f>
        <v>15</v>
      </c>
      <c r="AG193" s="22" t="n">
        <f aca="false">IF(T193="Y",0,IF(Y193="Y",Scoring!$C$41,IF(ISNUMBER(O193),IF(O193&gt;=25,Scoring!$C$42,IF(O193&gt;=15,Scoring!$C$43,Scoring!$C$44)),Scoring!$C$44)))</f>
        <v>8</v>
      </c>
      <c r="AH193" s="22" t="n">
        <f aca="false">IF(T193="Y",0,IF(W193="",Scoring!$C$49,IFERROR(VLOOKUP(W193,Scoring!$B$45:$C$48,2,FALSE()),Scoring!$C$49)))</f>
        <v>5</v>
      </c>
      <c r="AI193" s="23" t="n">
        <f aca="false">C193+IF(ISNUMBER(J193),J193,0)/100000+(10000-ROW())/1000000000</f>
        <v>60.000389807</v>
      </c>
      <c r="AJ193" s="18"/>
      <c r="AK193" s="18"/>
      <c r="AL193" s="18"/>
      <c r="AM193" s="18"/>
    </row>
    <row r="194" customFormat="false" ht="15" hidden="false" customHeight="false" outlineLevel="0" collapsed="false">
      <c r="A194" s="15" t="n">
        <f aca="false">RANK(AI194,$AI$2:$AI$755)</f>
        <v>193</v>
      </c>
      <c r="B194" s="16" t="str">
        <f aca="false">IF(T194="Y","Superseded",IF(C194&gt;=Scoring!$B$16,"Immediate",IF(C194&gt;=Scoring!$B$17,"This week",IF(C194&gt;=Scoring!$B$18,"Nurture","Low"))))</f>
        <v>This week</v>
      </c>
      <c r="C194" s="3" t="n">
        <f aca="false">SUM(AC194:AH194)</f>
        <v>60</v>
      </c>
      <c r="D194" s="15" t="str">
        <f aca="false">IF(T194="Y","Superseded record",IF(AND(U194&lt;&gt;"",AA194&lt;0),"Expired (verified)",IF(AND(U194&lt;&gt;"",AA194&lt;=Scoring!$B$5),"Expiring: notice window (verified)",IF(AND(U194&lt;&gt;"",AA194&lt;=Scoring!$B$6),"Expiring: 10-yr horizon (verified)",IF(M194="No Longer Monitored","Out of program",IF(N194="","Unknown vintage",IF(N194&lt;Scoring!$B$12,"Pre-1990, still listed",IF(AND(U194="",AA194&lt;0),"Past 30-yr mark (verify)",IF(AND(U194="",AA194&lt;=Scoring!$B$5),"30-yr mark: notice window (est.)",IF(AND(O194&gt;=Scoring!$B$7,O194&lt;=Scoring!$B$8),"Year-15 window",IF(O194&gt;=Scoring!$B$9,"Recap window",IF(O194&gt;=11,"Late compliance","Credit period"))))))))))))</f>
        <v>Recap window</v>
      </c>
      <c r="E194" s="15" t="s">
        <v>827</v>
      </c>
      <c r="F194" s="15" t="s">
        <v>828</v>
      </c>
      <c r="G194" s="15" t="s">
        <v>829</v>
      </c>
      <c r="H194" s="15" t="s">
        <v>249</v>
      </c>
      <c r="I194" s="15" t="s">
        <v>250</v>
      </c>
      <c r="J194" s="15" t="n">
        <v>27</v>
      </c>
      <c r="K194" s="15" t="n">
        <v>10</v>
      </c>
      <c r="L194" s="15" t="n">
        <f aca="false">IF(OR(J194="",K194=""),"",MAX(J194-K194,0))</f>
        <v>17</v>
      </c>
      <c r="M194" s="15" t="s">
        <v>99</v>
      </c>
      <c r="N194" s="17" t="n">
        <v>2000</v>
      </c>
      <c r="O194" s="15" t="n">
        <f aca="false">IF(N194="","",Scoring!$B$4-N194)</f>
        <v>26</v>
      </c>
      <c r="P194" s="15" t="n">
        <f aca="false">IF(N194="","",N194+14)</f>
        <v>2014</v>
      </c>
      <c r="Q194" s="15" t="n">
        <f aca="false">IF(N194="","",IF(N194&lt;Scoring!$B$12,"n/a (pre-1990)",N194+Scoring!$B$13))</f>
        <v>2029</v>
      </c>
      <c r="R194" s="15" t="str">
        <f aca="false">IF(J194="","Unknown",IF(J194&gt;=5,"Yes","No (under 5 units)"))</f>
        <v>Yes</v>
      </c>
      <c r="S194" s="15"/>
      <c r="T194" s="18"/>
      <c r="U194" s="19"/>
      <c r="V194" s="18"/>
      <c r="W194" s="18"/>
      <c r="X194" s="20"/>
      <c r="Y194" s="18"/>
      <c r="Z194" s="18"/>
      <c r="AA194" s="21" t="n">
        <f aca="false">IF(U194&lt;&gt;"",(U194-Scoring!$B$3)/365.25,IF(N194="","",IF(N194&lt;Scoring!$B$12,"",(DATE(N194+Scoring!$B$13,12,31)-Scoring!$B$3)/365.25)))</f>
        <v>3.24709103353867</v>
      </c>
      <c r="AB194" s="22" t="n">
        <f aca="false">IF(T194="Y",0,IF(OR(D194="Expired (verified)",D194="Expiring: notice window (verified)",D194="Expiring: 10-yr horizon (verified)",D194="Past 30-yr mark (verify)",D194="30-yr mark: notice window (est.)",D194="Year-15 window"),1,0)+IF(ISNUMBER(O194),IF(O194&gt;=Scoring!$B$10,1,0),0)+IF(AND(ISNUMBER(L194),ISNUMBER(J194)),IF(J194&gt;0,IF(L194/J194&gt;=Scoring!$B$11,1,0),0),0)+IF(ISNUMBER(Z194),MIN(Z194,3),0))</f>
        <v>2</v>
      </c>
      <c r="AC194" s="22" t="n">
        <f aca="false">IF(AB194&gt;=3,Scoring!$C$24,IF(AB194=2,Scoring!$C$23,IF(AB194=1,Scoring!$C$22,0)))</f>
        <v>18</v>
      </c>
      <c r="AD194" s="22" t="n">
        <f aca="false">IF(T194="Y",0,IF(ISNUMBER(X194),IF(X194&gt;0.7,Scoring!$C$25,IF(X194&gt;=0.5,Scoring!$C$26,IF(X194&gt;=0.3,Scoring!$C$27,Scoring!$C$28))),Scoring!$C$29))</f>
        <v>10</v>
      </c>
      <c r="AE194" s="22" t="n">
        <f aca="false">IF(D194="Expiring: notice window (verified)",Scoring!$C$30,IF(OR(D194="Expired (verified)",D194="30-yr mark: notice window (est.)",D194="Year-15 window"),Scoring!$C$31,IF(D194="Expiring: 10-yr horizon (verified)",Scoring!$C$32,IF(D194="Past 30-yr mark (verify)",Scoring!$C$33,IF(OR(D194="Credit period",D194="Superseded record"),Scoring!$C$35,Scoring!$C$34)))))</f>
        <v>4</v>
      </c>
      <c r="AF194" s="22" t="n">
        <f aca="false">IF(T194="Y",0,IF(ISNUMBER(V194),IF(Scoring!$B$4-V194&gt;15,Scoring!$C$36,IF(Scoring!$B$4-V194&gt;=10,Scoring!$C$37,IF(Scoring!$B$4-V194&gt;=5,Scoring!$C$38,Scoring!$C$39))),IF(OR(N194="",D194="Out of program"),Scoring!$C$40,IF(O194&gt;15,Scoring!$C$36,IF(O194&gt;=10,Scoring!$C$37,IF(O194&gt;=5,Scoring!$C$38,Scoring!$C$39))))))</f>
        <v>15</v>
      </c>
      <c r="AG194" s="22" t="n">
        <f aca="false">IF(T194="Y",0,IF(Y194="Y",Scoring!$C$41,IF(ISNUMBER(O194),IF(O194&gt;=25,Scoring!$C$42,IF(O194&gt;=15,Scoring!$C$43,Scoring!$C$44)),Scoring!$C$44)))</f>
        <v>8</v>
      </c>
      <c r="AH194" s="22" t="n">
        <f aca="false">IF(T194="Y",0,IF(W194="",Scoring!$C$49,IFERROR(VLOOKUP(W194,Scoring!$B$45:$C$48,2,FALSE()),Scoring!$C$49)))</f>
        <v>5</v>
      </c>
      <c r="AI194" s="23" t="n">
        <f aca="false">C194+IF(ISNUMBER(J194),J194,0)/100000+(10000-ROW())/1000000000</f>
        <v>60.000279806</v>
      </c>
      <c r="AJ194" s="18"/>
      <c r="AK194" s="18"/>
      <c r="AL194" s="18"/>
      <c r="AM194" s="18"/>
    </row>
    <row r="195" customFormat="false" ht="15" hidden="false" customHeight="false" outlineLevel="0" collapsed="false">
      <c r="A195" s="15" t="n">
        <f aca="false">RANK(AI195,$AI$2:$AI$755)</f>
        <v>194</v>
      </c>
      <c r="B195" s="16" t="str">
        <f aca="false">IF(T195="Y","Superseded",IF(C195&gt;=Scoring!$B$16,"Immediate",IF(C195&gt;=Scoring!$B$17,"This week",IF(C195&gt;=Scoring!$B$18,"Nurture","Low"))))</f>
        <v>This week</v>
      </c>
      <c r="C195" s="3" t="n">
        <f aca="false">SUM(AC195:AH195)</f>
        <v>59</v>
      </c>
      <c r="D195" s="15" t="str">
        <f aca="false">IF(T195="Y","Superseded record",IF(AND(U195&lt;&gt;"",AA195&lt;0),"Expired (verified)",IF(AND(U195&lt;&gt;"",AA195&lt;=Scoring!$B$5),"Expiring: notice window (verified)",IF(AND(U195&lt;&gt;"",AA195&lt;=Scoring!$B$6),"Expiring: 10-yr horizon (verified)",IF(M195="No Longer Monitored","Out of program",IF(N195="","Unknown vintage",IF(N195&lt;Scoring!$B$12,"Pre-1990, still listed",IF(AND(U195="",AA195&lt;0),"Past 30-yr mark (verify)",IF(AND(U195="",AA195&lt;=Scoring!$B$5),"30-yr mark: notice window (est.)",IF(AND(O195&gt;=Scoring!$B$7,O195&lt;=Scoring!$B$8),"Year-15 window",IF(O195&gt;=Scoring!$B$9,"Recap window",IF(O195&gt;=11,"Late compliance","Credit period"))))))))))))</f>
        <v>Year-15 window</v>
      </c>
      <c r="E195" s="15" t="s">
        <v>830</v>
      </c>
      <c r="F195" s="15" t="s">
        <v>831</v>
      </c>
      <c r="G195" s="15" t="s">
        <v>832</v>
      </c>
      <c r="H195" s="15" t="s">
        <v>97</v>
      </c>
      <c r="I195" s="15" t="s">
        <v>98</v>
      </c>
      <c r="J195" s="15" t="n">
        <v>235</v>
      </c>
      <c r="K195" s="15" t="n">
        <v>235</v>
      </c>
      <c r="L195" s="15" t="n">
        <f aca="false">IF(OR(J195="",K195=""),"",MAX(J195-K195,0))</f>
        <v>0</v>
      </c>
      <c r="M195" s="15" t="s">
        <v>99</v>
      </c>
      <c r="N195" s="17" t="n">
        <v>2009</v>
      </c>
      <c r="O195" s="15" t="n">
        <f aca="false">IF(N195="","",Scoring!$B$4-N195)</f>
        <v>17</v>
      </c>
      <c r="P195" s="15" t="n">
        <f aca="false">IF(N195="","",N195+14)</f>
        <v>2023</v>
      </c>
      <c r="Q195" s="15" t="n">
        <f aca="false">IF(N195="","",IF(N195&lt;Scoring!$B$12,"n/a (pre-1990)",N195+Scoring!$B$13))</f>
        <v>2038</v>
      </c>
      <c r="R195" s="15" t="str">
        <f aca="false">IF(J195="","Unknown",IF(J195&gt;=5,"Yes","No (under 5 units)"))</f>
        <v>Yes</v>
      </c>
      <c r="S195" s="15"/>
      <c r="T195" s="18"/>
      <c r="U195" s="19"/>
      <c r="V195" s="18"/>
      <c r="W195" s="18"/>
      <c r="X195" s="20"/>
      <c r="Y195" s="18"/>
      <c r="Z195" s="18"/>
      <c r="AA195" s="21" t="n">
        <f aca="false">IF(U195&lt;&gt;"",(U195-Scoring!$B$3)/365.25,IF(N195="","",IF(N195&lt;Scoring!$B$12,"",(DATE(N195+Scoring!$B$13,12,31)-Scoring!$B$3)/365.25)))</f>
        <v>12.2464065708419</v>
      </c>
      <c r="AB195" s="22" t="n">
        <f aca="false">IF(T195="Y",0,IF(OR(D195="Expired (verified)",D195="Expiring: notice window (verified)",D195="Expiring: 10-yr horizon (verified)",D195="Past 30-yr mark (verify)",D195="30-yr mark: notice window (est.)",D195="Year-15 window"),1,0)+IF(ISNUMBER(O195),IF(O195&gt;=Scoring!$B$10,1,0),0)+IF(AND(ISNUMBER(L195),ISNUMBER(J195)),IF(J195&gt;0,IF(L195/J195&gt;=Scoring!$B$11,1,0),0),0)+IF(ISNUMBER(Z195),MIN(Z195,3),0))</f>
        <v>1</v>
      </c>
      <c r="AC195" s="22" t="n">
        <f aca="false">IF(AB195&gt;=3,Scoring!$C$24,IF(AB195=2,Scoring!$C$23,IF(AB195=1,Scoring!$C$22,0)))</f>
        <v>10</v>
      </c>
      <c r="AD195" s="22" t="n">
        <f aca="false">IF(T195="Y",0,IF(ISNUMBER(X195),IF(X195&gt;0.7,Scoring!$C$25,IF(X195&gt;=0.5,Scoring!$C$26,IF(X195&gt;=0.3,Scoring!$C$27,Scoring!$C$28))),Scoring!$C$29))</f>
        <v>10</v>
      </c>
      <c r="AE195" s="22" t="n">
        <f aca="false">IF(D195="Expiring: notice window (verified)",Scoring!$C$30,IF(OR(D195="Expired (verified)",D195="30-yr mark: notice window (est.)",D195="Year-15 window"),Scoring!$C$31,IF(D195="Expiring: 10-yr horizon (verified)",Scoring!$C$32,IF(D195="Past 30-yr mark (verify)",Scoring!$C$33,IF(OR(D195="Credit period",D195="Superseded record"),Scoring!$C$35,Scoring!$C$34)))))</f>
        <v>14</v>
      </c>
      <c r="AF195" s="22" t="n">
        <f aca="false">IF(T195="Y",0,IF(ISNUMBER(V195),IF(Scoring!$B$4-V195&gt;15,Scoring!$C$36,IF(Scoring!$B$4-V195&gt;=10,Scoring!$C$37,IF(Scoring!$B$4-V195&gt;=5,Scoring!$C$38,Scoring!$C$39))),IF(OR(N195="",D195="Out of program"),Scoring!$C$40,IF(O195&gt;15,Scoring!$C$36,IF(O195&gt;=10,Scoring!$C$37,IF(O195&gt;=5,Scoring!$C$38,Scoring!$C$39))))))</f>
        <v>15</v>
      </c>
      <c r="AG195" s="22" t="n">
        <f aca="false">IF(T195="Y",0,IF(Y195="Y",Scoring!$C$41,IF(ISNUMBER(O195),IF(O195&gt;=25,Scoring!$C$42,IF(O195&gt;=15,Scoring!$C$43,Scoring!$C$44)),Scoring!$C$44)))</f>
        <v>5</v>
      </c>
      <c r="AH195" s="22" t="n">
        <f aca="false">IF(T195="Y",0,IF(W195="",Scoring!$C$49,IFERROR(VLOOKUP(W195,Scoring!$B$45:$C$48,2,FALSE()),Scoring!$C$49)))</f>
        <v>5</v>
      </c>
      <c r="AI195" s="23" t="n">
        <f aca="false">C195+IF(ISNUMBER(J195),J195,0)/100000+(10000-ROW())/1000000000</f>
        <v>59.002359805</v>
      </c>
      <c r="AJ195" s="18"/>
      <c r="AK195" s="18"/>
      <c r="AL195" s="18"/>
      <c r="AM195" s="18"/>
    </row>
    <row r="196" customFormat="false" ht="15" hidden="false" customHeight="false" outlineLevel="0" collapsed="false">
      <c r="A196" s="15" t="n">
        <f aca="false">RANK(AI196,$AI$2:$AI$755)</f>
        <v>195</v>
      </c>
      <c r="B196" s="16" t="str">
        <f aca="false">IF(T196="Y","Superseded",IF(C196&gt;=Scoring!$B$16,"Immediate",IF(C196&gt;=Scoring!$B$17,"This week",IF(C196&gt;=Scoring!$B$18,"Nurture","Low"))))</f>
        <v>This week</v>
      </c>
      <c r="C196" s="3" t="n">
        <f aca="false">SUM(AC196:AH196)</f>
        <v>59</v>
      </c>
      <c r="D196" s="15" t="str">
        <f aca="false">IF(T196="Y","Superseded record",IF(AND(U196&lt;&gt;"",AA196&lt;0),"Expired (verified)",IF(AND(U196&lt;&gt;"",AA196&lt;=Scoring!$B$5),"Expiring: notice window (verified)",IF(AND(U196&lt;&gt;"",AA196&lt;=Scoring!$B$6),"Expiring: 10-yr horizon (verified)",IF(M196="No Longer Monitored","Out of program",IF(N196="","Unknown vintage",IF(N196&lt;Scoring!$B$12,"Pre-1990, still listed",IF(AND(U196="",AA196&lt;0),"Past 30-yr mark (verify)",IF(AND(U196="",AA196&lt;=Scoring!$B$5),"30-yr mark: notice window (est.)",IF(AND(O196&gt;=Scoring!$B$7,O196&lt;=Scoring!$B$8),"Year-15 window",IF(O196&gt;=Scoring!$B$9,"Recap window",IF(O196&gt;=11,"Late compliance","Credit period"))))))))))))</f>
        <v>Year-15 window</v>
      </c>
      <c r="E196" s="15" t="s">
        <v>833</v>
      </c>
      <c r="F196" s="15" t="s">
        <v>834</v>
      </c>
      <c r="G196" s="15" t="s">
        <v>835</v>
      </c>
      <c r="H196" s="15" t="s">
        <v>97</v>
      </c>
      <c r="I196" s="15" t="s">
        <v>587</v>
      </c>
      <c r="J196" s="15" t="n">
        <v>132</v>
      </c>
      <c r="K196" s="15" t="n">
        <v>132</v>
      </c>
      <c r="L196" s="15" t="n">
        <f aca="false">IF(OR(J196="",K196=""),"",MAX(J196-K196,0))</f>
        <v>0</v>
      </c>
      <c r="M196" s="15" t="s">
        <v>99</v>
      </c>
      <c r="N196" s="17" t="n">
        <v>2010</v>
      </c>
      <c r="O196" s="15" t="n">
        <f aca="false">IF(N196="","",Scoring!$B$4-N196)</f>
        <v>16</v>
      </c>
      <c r="P196" s="15" t="n">
        <f aca="false">IF(N196="","",N196+14)</f>
        <v>2024</v>
      </c>
      <c r="Q196" s="15" t="n">
        <f aca="false">IF(N196="","",IF(N196&lt;Scoring!$B$12,"n/a (pre-1990)",N196+Scoring!$B$13))</f>
        <v>2039</v>
      </c>
      <c r="R196" s="15" t="str">
        <f aca="false">IF(J196="","Unknown",IF(J196&gt;=5,"Yes","No (under 5 units)"))</f>
        <v>Yes</v>
      </c>
      <c r="S196" s="15"/>
      <c r="T196" s="18"/>
      <c r="U196" s="19"/>
      <c r="V196" s="18"/>
      <c r="W196" s="18"/>
      <c r="X196" s="20"/>
      <c r="Y196" s="18"/>
      <c r="Z196" s="18"/>
      <c r="AA196" s="21" t="n">
        <f aca="false">IF(U196&lt;&gt;"",(U196-Scoring!$B$3)/365.25,IF(N196="","",IF(N196&lt;Scoring!$B$12,"",(DATE(N196+Scoring!$B$13,12,31)-Scoring!$B$3)/365.25)))</f>
        <v>13.2457221081451</v>
      </c>
      <c r="AB196" s="22" t="n">
        <f aca="false">IF(T196="Y",0,IF(OR(D196="Expired (verified)",D196="Expiring: notice window (verified)",D196="Expiring: 10-yr horizon (verified)",D196="Past 30-yr mark (verify)",D196="30-yr mark: notice window (est.)",D196="Year-15 window"),1,0)+IF(ISNUMBER(O196),IF(O196&gt;=Scoring!$B$10,1,0),0)+IF(AND(ISNUMBER(L196),ISNUMBER(J196)),IF(J196&gt;0,IF(L196/J196&gt;=Scoring!$B$11,1,0),0),0)+IF(ISNUMBER(Z196),MIN(Z196,3),0))</f>
        <v>1</v>
      </c>
      <c r="AC196" s="22" t="n">
        <f aca="false">IF(AB196&gt;=3,Scoring!$C$24,IF(AB196=2,Scoring!$C$23,IF(AB196=1,Scoring!$C$22,0)))</f>
        <v>10</v>
      </c>
      <c r="AD196" s="22" t="n">
        <f aca="false">IF(T196="Y",0,IF(ISNUMBER(X196),IF(X196&gt;0.7,Scoring!$C$25,IF(X196&gt;=0.5,Scoring!$C$26,IF(X196&gt;=0.3,Scoring!$C$27,Scoring!$C$28))),Scoring!$C$29))</f>
        <v>10</v>
      </c>
      <c r="AE196" s="22" t="n">
        <f aca="false">IF(D196="Expiring: notice window (verified)",Scoring!$C$30,IF(OR(D196="Expired (verified)",D196="30-yr mark: notice window (est.)",D196="Year-15 window"),Scoring!$C$31,IF(D196="Expiring: 10-yr horizon (verified)",Scoring!$C$32,IF(D196="Past 30-yr mark (verify)",Scoring!$C$33,IF(OR(D196="Credit period",D196="Superseded record"),Scoring!$C$35,Scoring!$C$34)))))</f>
        <v>14</v>
      </c>
      <c r="AF196" s="22" t="n">
        <f aca="false">IF(T196="Y",0,IF(ISNUMBER(V196),IF(Scoring!$B$4-V196&gt;15,Scoring!$C$36,IF(Scoring!$B$4-V196&gt;=10,Scoring!$C$37,IF(Scoring!$B$4-V196&gt;=5,Scoring!$C$38,Scoring!$C$39))),IF(OR(N196="",D196="Out of program"),Scoring!$C$40,IF(O196&gt;15,Scoring!$C$36,IF(O196&gt;=10,Scoring!$C$37,IF(O196&gt;=5,Scoring!$C$38,Scoring!$C$39))))))</f>
        <v>15</v>
      </c>
      <c r="AG196" s="22" t="n">
        <f aca="false">IF(T196="Y",0,IF(Y196="Y",Scoring!$C$41,IF(ISNUMBER(O196),IF(O196&gt;=25,Scoring!$C$42,IF(O196&gt;=15,Scoring!$C$43,Scoring!$C$44)),Scoring!$C$44)))</f>
        <v>5</v>
      </c>
      <c r="AH196" s="22" t="n">
        <f aca="false">IF(T196="Y",0,IF(W196="",Scoring!$C$49,IFERROR(VLOOKUP(W196,Scoring!$B$45:$C$48,2,FALSE()),Scoring!$C$49)))</f>
        <v>5</v>
      </c>
      <c r="AI196" s="23" t="n">
        <f aca="false">C196+IF(ISNUMBER(J196),J196,0)/100000+(10000-ROW())/1000000000</f>
        <v>59.001329804</v>
      </c>
      <c r="AJ196" s="18"/>
      <c r="AK196" s="18"/>
      <c r="AL196" s="18"/>
      <c r="AM196" s="18"/>
    </row>
    <row r="197" customFormat="false" ht="15" hidden="false" customHeight="false" outlineLevel="0" collapsed="false">
      <c r="A197" s="15" t="n">
        <f aca="false">RANK(AI197,$AI$2:$AI$755)</f>
        <v>196</v>
      </c>
      <c r="B197" s="16" t="str">
        <f aca="false">IF(T197="Y","Superseded",IF(C197&gt;=Scoring!$B$16,"Immediate",IF(C197&gt;=Scoring!$B$17,"This week",IF(C197&gt;=Scoring!$B$18,"Nurture","Low"))))</f>
        <v>This week</v>
      </c>
      <c r="C197" s="3" t="n">
        <f aca="false">SUM(AC197:AH197)</f>
        <v>59</v>
      </c>
      <c r="D197" s="15" t="str">
        <f aca="false">IF(T197="Y","Superseded record",IF(AND(U197&lt;&gt;"",AA197&lt;0),"Expired (verified)",IF(AND(U197&lt;&gt;"",AA197&lt;=Scoring!$B$5),"Expiring: notice window (verified)",IF(AND(U197&lt;&gt;"",AA197&lt;=Scoring!$B$6),"Expiring: 10-yr horizon (verified)",IF(M197="No Longer Monitored","Out of program",IF(N197="","Unknown vintage",IF(N197&lt;Scoring!$B$12,"Pre-1990, still listed",IF(AND(U197="",AA197&lt;0),"Past 30-yr mark (verify)",IF(AND(U197="",AA197&lt;=Scoring!$B$5),"30-yr mark: notice window (est.)",IF(AND(O197&gt;=Scoring!$B$7,O197&lt;=Scoring!$B$8),"Year-15 window",IF(O197&gt;=Scoring!$B$9,"Recap window",IF(O197&gt;=11,"Late compliance","Credit period"))))))))))))</f>
        <v>Year-15 window</v>
      </c>
      <c r="E197" s="15" t="s">
        <v>836</v>
      </c>
      <c r="F197" s="15" t="s">
        <v>837</v>
      </c>
      <c r="G197" s="15" t="s">
        <v>838</v>
      </c>
      <c r="H197" s="15" t="s">
        <v>97</v>
      </c>
      <c r="I197" s="15" t="s">
        <v>195</v>
      </c>
      <c r="J197" s="15" t="n">
        <v>108</v>
      </c>
      <c r="K197" s="15" t="n">
        <v>108</v>
      </c>
      <c r="L197" s="15" t="n">
        <f aca="false">IF(OR(J197="",K197=""),"",MAX(J197-K197,0))</f>
        <v>0</v>
      </c>
      <c r="M197" s="15" t="s">
        <v>99</v>
      </c>
      <c r="N197" s="17" t="n">
        <v>2010</v>
      </c>
      <c r="O197" s="15" t="n">
        <f aca="false">IF(N197="","",Scoring!$B$4-N197)</f>
        <v>16</v>
      </c>
      <c r="P197" s="15" t="n">
        <f aca="false">IF(N197="","",N197+14)</f>
        <v>2024</v>
      </c>
      <c r="Q197" s="15" t="n">
        <f aca="false">IF(N197="","",IF(N197&lt;Scoring!$B$12,"n/a (pre-1990)",N197+Scoring!$B$13))</f>
        <v>2039</v>
      </c>
      <c r="R197" s="15" t="str">
        <f aca="false">IF(J197="","Unknown",IF(J197&gt;=5,"Yes","No (under 5 units)"))</f>
        <v>Yes</v>
      </c>
      <c r="S197" s="15"/>
      <c r="T197" s="18"/>
      <c r="U197" s="19"/>
      <c r="V197" s="18"/>
      <c r="W197" s="18"/>
      <c r="X197" s="20"/>
      <c r="Y197" s="18"/>
      <c r="Z197" s="18"/>
      <c r="AA197" s="21" t="n">
        <f aca="false">IF(U197&lt;&gt;"",(U197-Scoring!$B$3)/365.25,IF(N197="","",IF(N197&lt;Scoring!$B$12,"",(DATE(N197+Scoring!$B$13,12,31)-Scoring!$B$3)/365.25)))</f>
        <v>13.2457221081451</v>
      </c>
      <c r="AB197" s="22" t="n">
        <f aca="false">IF(T197="Y",0,IF(OR(D197="Expired (verified)",D197="Expiring: notice window (verified)",D197="Expiring: 10-yr horizon (verified)",D197="Past 30-yr mark (verify)",D197="30-yr mark: notice window (est.)",D197="Year-15 window"),1,0)+IF(ISNUMBER(O197),IF(O197&gt;=Scoring!$B$10,1,0),0)+IF(AND(ISNUMBER(L197),ISNUMBER(J197)),IF(J197&gt;0,IF(L197/J197&gt;=Scoring!$B$11,1,0),0),0)+IF(ISNUMBER(Z197),MIN(Z197,3),0))</f>
        <v>1</v>
      </c>
      <c r="AC197" s="22" t="n">
        <f aca="false">IF(AB197&gt;=3,Scoring!$C$24,IF(AB197=2,Scoring!$C$23,IF(AB197=1,Scoring!$C$22,0)))</f>
        <v>10</v>
      </c>
      <c r="AD197" s="22" t="n">
        <f aca="false">IF(T197="Y",0,IF(ISNUMBER(X197),IF(X197&gt;0.7,Scoring!$C$25,IF(X197&gt;=0.5,Scoring!$C$26,IF(X197&gt;=0.3,Scoring!$C$27,Scoring!$C$28))),Scoring!$C$29))</f>
        <v>10</v>
      </c>
      <c r="AE197" s="22" t="n">
        <f aca="false">IF(D197="Expiring: notice window (verified)",Scoring!$C$30,IF(OR(D197="Expired (verified)",D197="30-yr mark: notice window (est.)",D197="Year-15 window"),Scoring!$C$31,IF(D197="Expiring: 10-yr horizon (verified)",Scoring!$C$32,IF(D197="Past 30-yr mark (verify)",Scoring!$C$33,IF(OR(D197="Credit period",D197="Superseded record"),Scoring!$C$35,Scoring!$C$34)))))</f>
        <v>14</v>
      </c>
      <c r="AF197" s="22" t="n">
        <f aca="false">IF(T197="Y",0,IF(ISNUMBER(V197),IF(Scoring!$B$4-V197&gt;15,Scoring!$C$36,IF(Scoring!$B$4-V197&gt;=10,Scoring!$C$37,IF(Scoring!$B$4-V197&gt;=5,Scoring!$C$38,Scoring!$C$39))),IF(OR(N197="",D197="Out of program"),Scoring!$C$40,IF(O197&gt;15,Scoring!$C$36,IF(O197&gt;=10,Scoring!$C$37,IF(O197&gt;=5,Scoring!$C$38,Scoring!$C$39))))))</f>
        <v>15</v>
      </c>
      <c r="AG197" s="22" t="n">
        <f aca="false">IF(T197="Y",0,IF(Y197="Y",Scoring!$C$41,IF(ISNUMBER(O197),IF(O197&gt;=25,Scoring!$C$42,IF(O197&gt;=15,Scoring!$C$43,Scoring!$C$44)),Scoring!$C$44)))</f>
        <v>5</v>
      </c>
      <c r="AH197" s="22" t="n">
        <f aca="false">IF(T197="Y",0,IF(W197="",Scoring!$C$49,IFERROR(VLOOKUP(W197,Scoring!$B$45:$C$48,2,FALSE()),Scoring!$C$49)))</f>
        <v>5</v>
      </c>
      <c r="AI197" s="23" t="n">
        <f aca="false">C197+IF(ISNUMBER(J197),J197,0)/100000+(10000-ROW())/1000000000</f>
        <v>59.001089803</v>
      </c>
      <c r="AJ197" s="18"/>
      <c r="AK197" s="18"/>
      <c r="AL197" s="18"/>
      <c r="AM197" s="18"/>
    </row>
    <row r="198" customFormat="false" ht="15" hidden="false" customHeight="false" outlineLevel="0" collapsed="false">
      <c r="A198" s="15" t="n">
        <f aca="false">RANK(AI198,$AI$2:$AI$755)</f>
        <v>197</v>
      </c>
      <c r="B198" s="16" t="str">
        <f aca="false">IF(T198="Y","Superseded",IF(C198&gt;=Scoring!$B$16,"Immediate",IF(C198&gt;=Scoring!$B$17,"This week",IF(C198&gt;=Scoring!$B$18,"Nurture","Low"))))</f>
        <v>This week</v>
      </c>
      <c r="C198" s="3" t="n">
        <f aca="false">SUM(AC198:AH198)</f>
        <v>59</v>
      </c>
      <c r="D198" s="15" t="str">
        <f aca="false">IF(T198="Y","Superseded record",IF(AND(U198&lt;&gt;"",AA198&lt;0),"Expired (verified)",IF(AND(U198&lt;&gt;"",AA198&lt;=Scoring!$B$5),"Expiring: notice window (verified)",IF(AND(U198&lt;&gt;"",AA198&lt;=Scoring!$B$6),"Expiring: 10-yr horizon (verified)",IF(M198="No Longer Monitored","Out of program",IF(N198="","Unknown vintage",IF(N198&lt;Scoring!$B$12,"Pre-1990, still listed",IF(AND(U198="",AA198&lt;0),"Past 30-yr mark (verify)",IF(AND(U198="",AA198&lt;=Scoring!$B$5),"30-yr mark: notice window (est.)",IF(AND(O198&gt;=Scoring!$B$7,O198&lt;=Scoring!$B$8),"Year-15 window",IF(O198&gt;=Scoring!$B$9,"Recap window",IF(O198&gt;=11,"Late compliance","Credit period"))))))))))))</f>
        <v>Year-15 window</v>
      </c>
      <c r="E198" s="15" t="s">
        <v>839</v>
      </c>
      <c r="F198" s="15" t="s">
        <v>840</v>
      </c>
      <c r="G198" s="15" t="s">
        <v>841</v>
      </c>
      <c r="H198" s="15" t="s">
        <v>97</v>
      </c>
      <c r="I198" s="15" t="s">
        <v>330</v>
      </c>
      <c r="J198" s="15" t="n">
        <v>97</v>
      </c>
      <c r="K198" s="15" t="n">
        <v>97</v>
      </c>
      <c r="L198" s="15" t="n">
        <f aca="false">IF(OR(J198="",K198=""),"",MAX(J198-K198,0))</f>
        <v>0</v>
      </c>
      <c r="M198" s="15" t="s">
        <v>99</v>
      </c>
      <c r="N198" s="17" t="n">
        <v>2009</v>
      </c>
      <c r="O198" s="15" t="n">
        <f aca="false">IF(N198="","",Scoring!$B$4-N198)</f>
        <v>17</v>
      </c>
      <c r="P198" s="15" t="n">
        <f aca="false">IF(N198="","",N198+14)</f>
        <v>2023</v>
      </c>
      <c r="Q198" s="15" t="n">
        <f aca="false">IF(N198="","",IF(N198&lt;Scoring!$B$12,"n/a (pre-1990)",N198+Scoring!$B$13))</f>
        <v>2038</v>
      </c>
      <c r="R198" s="15" t="str">
        <f aca="false">IF(J198="","Unknown",IF(J198&gt;=5,"Yes","No (under 5 units)"))</f>
        <v>Yes</v>
      </c>
      <c r="S198" s="15"/>
      <c r="T198" s="18"/>
      <c r="U198" s="19"/>
      <c r="V198" s="18"/>
      <c r="W198" s="18"/>
      <c r="X198" s="20"/>
      <c r="Y198" s="18"/>
      <c r="Z198" s="18"/>
      <c r="AA198" s="21" t="n">
        <f aca="false">IF(U198&lt;&gt;"",(U198-Scoring!$B$3)/365.25,IF(N198="","",IF(N198&lt;Scoring!$B$12,"",(DATE(N198+Scoring!$B$13,12,31)-Scoring!$B$3)/365.25)))</f>
        <v>12.2464065708419</v>
      </c>
      <c r="AB198" s="22" t="n">
        <f aca="false">IF(T198="Y",0,IF(OR(D198="Expired (verified)",D198="Expiring: notice window (verified)",D198="Expiring: 10-yr horizon (verified)",D198="Past 30-yr mark (verify)",D198="30-yr mark: notice window (est.)",D198="Year-15 window"),1,0)+IF(ISNUMBER(O198),IF(O198&gt;=Scoring!$B$10,1,0),0)+IF(AND(ISNUMBER(L198),ISNUMBER(J198)),IF(J198&gt;0,IF(L198/J198&gt;=Scoring!$B$11,1,0),0),0)+IF(ISNUMBER(Z198),MIN(Z198,3),0))</f>
        <v>1</v>
      </c>
      <c r="AC198" s="22" t="n">
        <f aca="false">IF(AB198&gt;=3,Scoring!$C$24,IF(AB198=2,Scoring!$C$23,IF(AB198=1,Scoring!$C$22,0)))</f>
        <v>10</v>
      </c>
      <c r="AD198" s="22" t="n">
        <f aca="false">IF(T198="Y",0,IF(ISNUMBER(X198),IF(X198&gt;0.7,Scoring!$C$25,IF(X198&gt;=0.5,Scoring!$C$26,IF(X198&gt;=0.3,Scoring!$C$27,Scoring!$C$28))),Scoring!$C$29))</f>
        <v>10</v>
      </c>
      <c r="AE198" s="22" t="n">
        <f aca="false">IF(D198="Expiring: notice window (verified)",Scoring!$C$30,IF(OR(D198="Expired (verified)",D198="30-yr mark: notice window (est.)",D198="Year-15 window"),Scoring!$C$31,IF(D198="Expiring: 10-yr horizon (verified)",Scoring!$C$32,IF(D198="Past 30-yr mark (verify)",Scoring!$C$33,IF(OR(D198="Credit period",D198="Superseded record"),Scoring!$C$35,Scoring!$C$34)))))</f>
        <v>14</v>
      </c>
      <c r="AF198" s="22" t="n">
        <f aca="false">IF(T198="Y",0,IF(ISNUMBER(V198),IF(Scoring!$B$4-V198&gt;15,Scoring!$C$36,IF(Scoring!$B$4-V198&gt;=10,Scoring!$C$37,IF(Scoring!$B$4-V198&gt;=5,Scoring!$C$38,Scoring!$C$39))),IF(OR(N198="",D198="Out of program"),Scoring!$C$40,IF(O198&gt;15,Scoring!$C$36,IF(O198&gt;=10,Scoring!$C$37,IF(O198&gt;=5,Scoring!$C$38,Scoring!$C$39))))))</f>
        <v>15</v>
      </c>
      <c r="AG198" s="22" t="n">
        <f aca="false">IF(T198="Y",0,IF(Y198="Y",Scoring!$C$41,IF(ISNUMBER(O198),IF(O198&gt;=25,Scoring!$C$42,IF(O198&gt;=15,Scoring!$C$43,Scoring!$C$44)),Scoring!$C$44)))</f>
        <v>5</v>
      </c>
      <c r="AH198" s="22" t="n">
        <f aca="false">IF(T198="Y",0,IF(W198="",Scoring!$C$49,IFERROR(VLOOKUP(W198,Scoring!$B$45:$C$48,2,FALSE()),Scoring!$C$49)))</f>
        <v>5</v>
      </c>
      <c r="AI198" s="23" t="n">
        <f aca="false">C198+IF(ISNUMBER(J198),J198,0)/100000+(10000-ROW())/1000000000</f>
        <v>59.000979802</v>
      </c>
      <c r="AJ198" s="18"/>
      <c r="AK198" s="18"/>
      <c r="AL198" s="18"/>
      <c r="AM198" s="18"/>
    </row>
    <row r="199" customFormat="false" ht="15" hidden="false" customHeight="false" outlineLevel="0" collapsed="false">
      <c r="A199" s="15" t="n">
        <f aca="false">RANK(AI199,$AI$2:$AI$755)</f>
        <v>198</v>
      </c>
      <c r="B199" s="16" t="str">
        <f aca="false">IF(T199="Y","Superseded",IF(C199&gt;=Scoring!$B$16,"Immediate",IF(C199&gt;=Scoring!$B$17,"This week",IF(C199&gt;=Scoring!$B$18,"Nurture","Low"))))</f>
        <v>This week</v>
      </c>
      <c r="C199" s="3" t="n">
        <f aca="false">SUM(AC199:AH199)</f>
        <v>59</v>
      </c>
      <c r="D199" s="15" t="str">
        <f aca="false">IF(T199="Y","Superseded record",IF(AND(U199&lt;&gt;"",AA199&lt;0),"Expired (verified)",IF(AND(U199&lt;&gt;"",AA199&lt;=Scoring!$B$5),"Expiring: notice window (verified)",IF(AND(U199&lt;&gt;"",AA199&lt;=Scoring!$B$6),"Expiring: 10-yr horizon (verified)",IF(M199="No Longer Monitored","Out of program",IF(N199="","Unknown vintage",IF(N199&lt;Scoring!$B$12,"Pre-1990, still listed",IF(AND(U199="",AA199&lt;0),"Past 30-yr mark (verify)",IF(AND(U199="",AA199&lt;=Scoring!$B$5),"30-yr mark: notice window (est.)",IF(AND(O199&gt;=Scoring!$B$7,O199&lt;=Scoring!$B$8),"Year-15 window",IF(O199&gt;=Scoring!$B$9,"Recap window",IF(O199&gt;=11,"Late compliance","Credit period"))))))))))))</f>
        <v>Year-15 window</v>
      </c>
      <c r="E199" s="15" t="s">
        <v>842</v>
      </c>
      <c r="F199" s="15" t="s">
        <v>843</v>
      </c>
      <c r="G199" s="15" t="s">
        <v>844</v>
      </c>
      <c r="H199" s="15" t="s">
        <v>255</v>
      </c>
      <c r="I199" s="15" t="s">
        <v>256</v>
      </c>
      <c r="J199" s="15" t="n">
        <v>86</v>
      </c>
      <c r="K199" s="15" t="n">
        <v>85</v>
      </c>
      <c r="L199" s="15" t="n">
        <f aca="false">IF(OR(J199="",K199=""),"",MAX(J199-K199,0))</f>
        <v>1</v>
      </c>
      <c r="M199" s="15" t="s">
        <v>99</v>
      </c>
      <c r="N199" s="17" t="n">
        <v>2010</v>
      </c>
      <c r="O199" s="15" t="n">
        <f aca="false">IF(N199="","",Scoring!$B$4-N199)</f>
        <v>16</v>
      </c>
      <c r="P199" s="15" t="n">
        <f aca="false">IF(N199="","",N199+14)</f>
        <v>2024</v>
      </c>
      <c r="Q199" s="15" t="n">
        <f aca="false">IF(N199="","",IF(N199&lt;Scoring!$B$12,"n/a (pre-1990)",N199+Scoring!$B$13))</f>
        <v>2039</v>
      </c>
      <c r="R199" s="15" t="str">
        <f aca="false">IF(J199="","Unknown",IF(J199&gt;=5,"Yes","No (under 5 units)"))</f>
        <v>Yes</v>
      </c>
      <c r="S199" s="15"/>
      <c r="T199" s="18"/>
      <c r="U199" s="19"/>
      <c r="V199" s="18"/>
      <c r="W199" s="18"/>
      <c r="X199" s="20"/>
      <c r="Y199" s="18"/>
      <c r="Z199" s="18"/>
      <c r="AA199" s="21" t="n">
        <f aca="false">IF(U199&lt;&gt;"",(U199-Scoring!$B$3)/365.25,IF(N199="","",IF(N199&lt;Scoring!$B$12,"",(DATE(N199+Scoring!$B$13,12,31)-Scoring!$B$3)/365.25)))</f>
        <v>13.2457221081451</v>
      </c>
      <c r="AB199" s="22" t="n">
        <f aca="false">IF(T199="Y",0,IF(OR(D199="Expired (verified)",D199="Expiring: notice window (verified)",D199="Expiring: 10-yr horizon (verified)",D199="Past 30-yr mark (verify)",D199="30-yr mark: notice window (est.)",D199="Year-15 window"),1,0)+IF(ISNUMBER(O199),IF(O199&gt;=Scoring!$B$10,1,0),0)+IF(AND(ISNUMBER(L199),ISNUMBER(J199)),IF(J199&gt;0,IF(L199/J199&gt;=Scoring!$B$11,1,0),0),0)+IF(ISNUMBER(Z199),MIN(Z199,3),0))</f>
        <v>1</v>
      </c>
      <c r="AC199" s="22" t="n">
        <f aca="false">IF(AB199&gt;=3,Scoring!$C$24,IF(AB199=2,Scoring!$C$23,IF(AB199=1,Scoring!$C$22,0)))</f>
        <v>10</v>
      </c>
      <c r="AD199" s="22" t="n">
        <f aca="false">IF(T199="Y",0,IF(ISNUMBER(X199),IF(X199&gt;0.7,Scoring!$C$25,IF(X199&gt;=0.5,Scoring!$C$26,IF(X199&gt;=0.3,Scoring!$C$27,Scoring!$C$28))),Scoring!$C$29))</f>
        <v>10</v>
      </c>
      <c r="AE199" s="22" t="n">
        <f aca="false">IF(D199="Expiring: notice window (verified)",Scoring!$C$30,IF(OR(D199="Expired (verified)",D199="30-yr mark: notice window (est.)",D199="Year-15 window"),Scoring!$C$31,IF(D199="Expiring: 10-yr horizon (verified)",Scoring!$C$32,IF(D199="Past 30-yr mark (verify)",Scoring!$C$33,IF(OR(D199="Credit period",D199="Superseded record"),Scoring!$C$35,Scoring!$C$34)))))</f>
        <v>14</v>
      </c>
      <c r="AF199" s="22" t="n">
        <f aca="false">IF(T199="Y",0,IF(ISNUMBER(V199),IF(Scoring!$B$4-V199&gt;15,Scoring!$C$36,IF(Scoring!$B$4-V199&gt;=10,Scoring!$C$37,IF(Scoring!$B$4-V199&gt;=5,Scoring!$C$38,Scoring!$C$39))),IF(OR(N199="",D199="Out of program"),Scoring!$C$40,IF(O199&gt;15,Scoring!$C$36,IF(O199&gt;=10,Scoring!$C$37,IF(O199&gt;=5,Scoring!$C$38,Scoring!$C$39))))))</f>
        <v>15</v>
      </c>
      <c r="AG199" s="22" t="n">
        <f aca="false">IF(T199="Y",0,IF(Y199="Y",Scoring!$C$41,IF(ISNUMBER(O199),IF(O199&gt;=25,Scoring!$C$42,IF(O199&gt;=15,Scoring!$C$43,Scoring!$C$44)),Scoring!$C$44)))</f>
        <v>5</v>
      </c>
      <c r="AH199" s="22" t="n">
        <f aca="false">IF(T199="Y",0,IF(W199="",Scoring!$C$49,IFERROR(VLOOKUP(W199,Scoring!$B$45:$C$48,2,FALSE()),Scoring!$C$49)))</f>
        <v>5</v>
      </c>
      <c r="AI199" s="23" t="n">
        <f aca="false">C199+IF(ISNUMBER(J199),J199,0)/100000+(10000-ROW())/1000000000</f>
        <v>59.000869801</v>
      </c>
      <c r="AJ199" s="18"/>
      <c r="AK199" s="18"/>
      <c r="AL199" s="18"/>
      <c r="AM199" s="18"/>
    </row>
    <row r="200" customFormat="false" ht="15" hidden="false" customHeight="false" outlineLevel="0" collapsed="false">
      <c r="A200" s="15" t="n">
        <f aca="false">RANK(AI200,$AI$2:$AI$755)</f>
        <v>199</v>
      </c>
      <c r="B200" s="16" t="str">
        <f aca="false">IF(T200="Y","Superseded",IF(C200&gt;=Scoring!$B$16,"Immediate",IF(C200&gt;=Scoring!$B$17,"This week",IF(C200&gt;=Scoring!$B$18,"Nurture","Low"))))</f>
        <v>This week</v>
      </c>
      <c r="C200" s="3" t="n">
        <f aca="false">SUM(AC200:AH200)</f>
        <v>59</v>
      </c>
      <c r="D200" s="15" t="str">
        <f aca="false">IF(T200="Y","Superseded record",IF(AND(U200&lt;&gt;"",AA200&lt;0),"Expired (verified)",IF(AND(U200&lt;&gt;"",AA200&lt;=Scoring!$B$5),"Expiring: notice window (verified)",IF(AND(U200&lt;&gt;"",AA200&lt;=Scoring!$B$6),"Expiring: 10-yr horizon (verified)",IF(M200="No Longer Monitored","Out of program",IF(N200="","Unknown vintage",IF(N200&lt;Scoring!$B$12,"Pre-1990, still listed",IF(AND(U200="",AA200&lt;0),"Past 30-yr mark (verify)",IF(AND(U200="",AA200&lt;=Scoring!$B$5),"30-yr mark: notice window (est.)",IF(AND(O200&gt;=Scoring!$B$7,O200&lt;=Scoring!$B$8),"Year-15 window",IF(O200&gt;=Scoring!$B$9,"Recap window",IF(O200&gt;=11,"Late compliance","Credit period"))))))))))))</f>
        <v>Year-15 window</v>
      </c>
      <c r="E200" s="15" t="s">
        <v>845</v>
      </c>
      <c r="F200" s="15" t="s">
        <v>846</v>
      </c>
      <c r="G200" s="15" t="s">
        <v>847</v>
      </c>
      <c r="H200" s="15" t="s">
        <v>97</v>
      </c>
      <c r="I200" s="15" t="s">
        <v>245</v>
      </c>
      <c r="J200" s="15" t="n">
        <v>85</v>
      </c>
      <c r="K200" s="15" t="n">
        <v>85</v>
      </c>
      <c r="L200" s="15" t="n">
        <f aca="false">IF(OR(J200="",K200=""),"",MAX(J200-K200,0))</f>
        <v>0</v>
      </c>
      <c r="M200" s="15" t="s">
        <v>99</v>
      </c>
      <c r="N200" s="17" t="n">
        <v>2009</v>
      </c>
      <c r="O200" s="15" t="n">
        <f aca="false">IF(N200="","",Scoring!$B$4-N200)</f>
        <v>17</v>
      </c>
      <c r="P200" s="15" t="n">
        <f aca="false">IF(N200="","",N200+14)</f>
        <v>2023</v>
      </c>
      <c r="Q200" s="15" t="n">
        <f aca="false">IF(N200="","",IF(N200&lt;Scoring!$B$12,"n/a (pre-1990)",N200+Scoring!$B$13))</f>
        <v>2038</v>
      </c>
      <c r="R200" s="15" t="str">
        <f aca="false">IF(J200="","Unknown",IF(J200&gt;=5,"Yes","No (under 5 units)"))</f>
        <v>Yes</v>
      </c>
      <c r="S200" s="15"/>
      <c r="T200" s="18"/>
      <c r="U200" s="19"/>
      <c r="V200" s="18"/>
      <c r="W200" s="18"/>
      <c r="X200" s="20"/>
      <c r="Y200" s="18"/>
      <c r="Z200" s="18"/>
      <c r="AA200" s="21" t="n">
        <f aca="false">IF(U200&lt;&gt;"",(U200-Scoring!$B$3)/365.25,IF(N200="","",IF(N200&lt;Scoring!$B$12,"",(DATE(N200+Scoring!$B$13,12,31)-Scoring!$B$3)/365.25)))</f>
        <v>12.2464065708419</v>
      </c>
      <c r="AB200" s="22" t="n">
        <f aca="false">IF(T200="Y",0,IF(OR(D200="Expired (verified)",D200="Expiring: notice window (verified)",D200="Expiring: 10-yr horizon (verified)",D200="Past 30-yr mark (verify)",D200="30-yr mark: notice window (est.)",D200="Year-15 window"),1,0)+IF(ISNUMBER(O200),IF(O200&gt;=Scoring!$B$10,1,0),0)+IF(AND(ISNUMBER(L200),ISNUMBER(J200)),IF(J200&gt;0,IF(L200/J200&gt;=Scoring!$B$11,1,0),0),0)+IF(ISNUMBER(Z200),MIN(Z200,3),0))</f>
        <v>1</v>
      </c>
      <c r="AC200" s="22" t="n">
        <f aca="false">IF(AB200&gt;=3,Scoring!$C$24,IF(AB200=2,Scoring!$C$23,IF(AB200=1,Scoring!$C$22,0)))</f>
        <v>10</v>
      </c>
      <c r="AD200" s="22" t="n">
        <f aca="false">IF(T200="Y",0,IF(ISNUMBER(X200),IF(X200&gt;0.7,Scoring!$C$25,IF(X200&gt;=0.5,Scoring!$C$26,IF(X200&gt;=0.3,Scoring!$C$27,Scoring!$C$28))),Scoring!$C$29))</f>
        <v>10</v>
      </c>
      <c r="AE200" s="22" t="n">
        <f aca="false">IF(D200="Expiring: notice window (verified)",Scoring!$C$30,IF(OR(D200="Expired (verified)",D200="30-yr mark: notice window (est.)",D200="Year-15 window"),Scoring!$C$31,IF(D200="Expiring: 10-yr horizon (verified)",Scoring!$C$32,IF(D200="Past 30-yr mark (verify)",Scoring!$C$33,IF(OR(D200="Credit period",D200="Superseded record"),Scoring!$C$35,Scoring!$C$34)))))</f>
        <v>14</v>
      </c>
      <c r="AF200" s="22" t="n">
        <f aca="false">IF(T200="Y",0,IF(ISNUMBER(V200),IF(Scoring!$B$4-V200&gt;15,Scoring!$C$36,IF(Scoring!$B$4-V200&gt;=10,Scoring!$C$37,IF(Scoring!$B$4-V200&gt;=5,Scoring!$C$38,Scoring!$C$39))),IF(OR(N200="",D200="Out of program"),Scoring!$C$40,IF(O200&gt;15,Scoring!$C$36,IF(O200&gt;=10,Scoring!$C$37,IF(O200&gt;=5,Scoring!$C$38,Scoring!$C$39))))))</f>
        <v>15</v>
      </c>
      <c r="AG200" s="22" t="n">
        <f aca="false">IF(T200="Y",0,IF(Y200="Y",Scoring!$C$41,IF(ISNUMBER(O200),IF(O200&gt;=25,Scoring!$C$42,IF(O200&gt;=15,Scoring!$C$43,Scoring!$C$44)),Scoring!$C$44)))</f>
        <v>5</v>
      </c>
      <c r="AH200" s="22" t="n">
        <f aca="false">IF(T200="Y",0,IF(W200="",Scoring!$C$49,IFERROR(VLOOKUP(W200,Scoring!$B$45:$C$48,2,FALSE()),Scoring!$C$49)))</f>
        <v>5</v>
      </c>
      <c r="AI200" s="23" t="n">
        <f aca="false">C200+IF(ISNUMBER(J200),J200,0)/100000+(10000-ROW())/1000000000</f>
        <v>59.0008598</v>
      </c>
      <c r="AJ200" s="18"/>
      <c r="AK200" s="18"/>
      <c r="AL200" s="18"/>
      <c r="AM200" s="18"/>
    </row>
    <row r="201" customFormat="false" ht="15" hidden="false" customHeight="false" outlineLevel="0" collapsed="false">
      <c r="A201" s="15" t="n">
        <f aca="false">RANK(AI201,$AI$2:$AI$755)</f>
        <v>200</v>
      </c>
      <c r="B201" s="16" t="str">
        <f aca="false">IF(T201="Y","Superseded",IF(C201&gt;=Scoring!$B$16,"Immediate",IF(C201&gt;=Scoring!$B$17,"This week",IF(C201&gt;=Scoring!$B$18,"Nurture","Low"))))</f>
        <v>This week</v>
      </c>
      <c r="C201" s="3" t="n">
        <f aca="false">SUM(AC201:AH201)</f>
        <v>59</v>
      </c>
      <c r="D201" s="15" t="str">
        <f aca="false">IF(T201="Y","Superseded record",IF(AND(U201&lt;&gt;"",AA201&lt;0),"Expired (verified)",IF(AND(U201&lt;&gt;"",AA201&lt;=Scoring!$B$5),"Expiring: notice window (verified)",IF(AND(U201&lt;&gt;"",AA201&lt;=Scoring!$B$6),"Expiring: 10-yr horizon (verified)",IF(M201="No Longer Monitored","Out of program",IF(N201="","Unknown vintage",IF(N201&lt;Scoring!$B$12,"Pre-1990, still listed",IF(AND(U201="",AA201&lt;0),"Past 30-yr mark (verify)",IF(AND(U201="",AA201&lt;=Scoring!$B$5),"30-yr mark: notice window (est.)",IF(AND(O201&gt;=Scoring!$B$7,O201&lt;=Scoring!$B$8),"Year-15 window",IF(O201&gt;=Scoring!$B$9,"Recap window",IF(O201&gt;=11,"Late compliance","Credit period"))))))))))))</f>
        <v>Year-15 window</v>
      </c>
      <c r="E201" s="15" t="s">
        <v>848</v>
      </c>
      <c r="F201" s="15" t="s">
        <v>849</v>
      </c>
      <c r="G201" s="15" t="s">
        <v>850</v>
      </c>
      <c r="H201" s="15" t="s">
        <v>851</v>
      </c>
      <c r="I201" s="15" t="s">
        <v>852</v>
      </c>
      <c r="J201" s="15" t="n">
        <v>84</v>
      </c>
      <c r="K201" s="15" t="n">
        <v>84</v>
      </c>
      <c r="L201" s="15" t="n">
        <f aca="false">IF(OR(J201="",K201=""),"",MAX(J201-K201,0))</f>
        <v>0</v>
      </c>
      <c r="M201" s="15" t="s">
        <v>99</v>
      </c>
      <c r="N201" s="17" t="n">
        <v>2010</v>
      </c>
      <c r="O201" s="15" t="n">
        <f aca="false">IF(N201="","",Scoring!$B$4-N201)</f>
        <v>16</v>
      </c>
      <c r="P201" s="15" t="n">
        <f aca="false">IF(N201="","",N201+14)</f>
        <v>2024</v>
      </c>
      <c r="Q201" s="15" t="n">
        <f aca="false">IF(N201="","",IF(N201&lt;Scoring!$B$12,"n/a (pre-1990)",N201+Scoring!$B$13))</f>
        <v>2039</v>
      </c>
      <c r="R201" s="15" t="str">
        <f aca="false">IF(J201="","Unknown",IF(J201&gt;=5,"Yes","No (under 5 units)"))</f>
        <v>Yes</v>
      </c>
      <c r="S201" s="15"/>
      <c r="T201" s="18"/>
      <c r="U201" s="19"/>
      <c r="V201" s="18"/>
      <c r="W201" s="18"/>
      <c r="X201" s="20"/>
      <c r="Y201" s="18"/>
      <c r="Z201" s="18"/>
      <c r="AA201" s="21" t="n">
        <f aca="false">IF(U201&lt;&gt;"",(U201-Scoring!$B$3)/365.25,IF(N201="","",IF(N201&lt;Scoring!$B$12,"",(DATE(N201+Scoring!$B$13,12,31)-Scoring!$B$3)/365.25)))</f>
        <v>13.2457221081451</v>
      </c>
      <c r="AB201" s="22" t="n">
        <f aca="false">IF(T201="Y",0,IF(OR(D201="Expired (verified)",D201="Expiring: notice window (verified)",D201="Expiring: 10-yr horizon (verified)",D201="Past 30-yr mark (verify)",D201="30-yr mark: notice window (est.)",D201="Year-15 window"),1,0)+IF(ISNUMBER(O201),IF(O201&gt;=Scoring!$B$10,1,0),0)+IF(AND(ISNUMBER(L201),ISNUMBER(J201)),IF(J201&gt;0,IF(L201/J201&gt;=Scoring!$B$11,1,0),0),0)+IF(ISNUMBER(Z201),MIN(Z201,3),0))</f>
        <v>1</v>
      </c>
      <c r="AC201" s="22" t="n">
        <f aca="false">IF(AB201&gt;=3,Scoring!$C$24,IF(AB201=2,Scoring!$C$23,IF(AB201=1,Scoring!$C$22,0)))</f>
        <v>10</v>
      </c>
      <c r="AD201" s="22" t="n">
        <f aca="false">IF(T201="Y",0,IF(ISNUMBER(X201),IF(X201&gt;0.7,Scoring!$C$25,IF(X201&gt;=0.5,Scoring!$C$26,IF(X201&gt;=0.3,Scoring!$C$27,Scoring!$C$28))),Scoring!$C$29))</f>
        <v>10</v>
      </c>
      <c r="AE201" s="22" t="n">
        <f aca="false">IF(D201="Expiring: notice window (verified)",Scoring!$C$30,IF(OR(D201="Expired (verified)",D201="30-yr mark: notice window (est.)",D201="Year-15 window"),Scoring!$C$31,IF(D201="Expiring: 10-yr horizon (verified)",Scoring!$C$32,IF(D201="Past 30-yr mark (verify)",Scoring!$C$33,IF(OR(D201="Credit period",D201="Superseded record"),Scoring!$C$35,Scoring!$C$34)))))</f>
        <v>14</v>
      </c>
      <c r="AF201" s="22" t="n">
        <f aca="false">IF(T201="Y",0,IF(ISNUMBER(V201),IF(Scoring!$B$4-V201&gt;15,Scoring!$C$36,IF(Scoring!$B$4-V201&gt;=10,Scoring!$C$37,IF(Scoring!$B$4-V201&gt;=5,Scoring!$C$38,Scoring!$C$39))),IF(OR(N201="",D201="Out of program"),Scoring!$C$40,IF(O201&gt;15,Scoring!$C$36,IF(O201&gt;=10,Scoring!$C$37,IF(O201&gt;=5,Scoring!$C$38,Scoring!$C$39))))))</f>
        <v>15</v>
      </c>
      <c r="AG201" s="22" t="n">
        <f aca="false">IF(T201="Y",0,IF(Y201="Y",Scoring!$C$41,IF(ISNUMBER(O201),IF(O201&gt;=25,Scoring!$C$42,IF(O201&gt;=15,Scoring!$C$43,Scoring!$C$44)),Scoring!$C$44)))</f>
        <v>5</v>
      </c>
      <c r="AH201" s="22" t="n">
        <f aca="false">IF(T201="Y",0,IF(W201="",Scoring!$C$49,IFERROR(VLOOKUP(W201,Scoring!$B$45:$C$48,2,FALSE()),Scoring!$C$49)))</f>
        <v>5</v>
      </c>
      <c r="AI201" s="23" t="n">
        <f aca="false">C201+IF(ISNUMBER(J201),J201,0)/100000+(10000-ROW())/1000000000</f>
        <v>59.000849799</v>
      </c>
      <c r="AJ201" s="18"/>
      <c r="AK201" s="18"/>
      <c r="AL201" s="18"/>
      <c r="AM201" s="18"/>
    </row>
    <row r="202" customFormat="false" ht="15" hidden="false" customHeight="false" outlineLevel="0" collapsed="false">
      <c r="A202" s="15" t="n">
        <f aca="false">RANK(AI202,$AI$2:$AI$755)</f>
        <v>201</v>
      </c>
      <c r="B202" s="16" t="str">
        <f aca="false">IF(T202="Y","Superseded",IF(C202&gt;=Scoring!$B$16,"Immediate",IF(C202&gt;=Scoring!$B$17,"This week",IF(C202&gt;=Scoring!$B$18,"Nurture","Low"))))</f>
        <v>This week</v>
      </c>
      <c r="C202" s="3" t="n">
        <f aca="false">SUM(AC202:AH202)</f>
        <v>59</v>
      </c>
      <c r="D202" s="15" t="str">
        <f aca="false">IF(T202="Y","Superseded record",IF(AND(U202&lt;&gt;"",AA202&lt;0),"Expired (verified)",IF(AND(U202&lt;&gt;"",AA202&lt;=Scoring!$B$5),"Expiring: notice window (verified)",IF(AND(U202&lt;&gt;"",AA202&lt;=Scoring!$B$6),"Expiring: 10-yr horizon (verified)",IF(M202="No Longer Monitored","Out of program",IF(N202="","Unknown vintage",IF(N202&lt;Scoring!$B$12,"Pre-1990, still listed",IF(AND(U202="",AA202&lt;0),"Past 30-yr mark (verify)",IF(AND(U202="",AA202&lt;=Scoring!$B$5),"30-yr mark: notice window (est.)",IF(AND(O202&gt;=Scoring!$B$7,O202&lt;=Scoring!$B$8),"Year-15 window",IF(O202&gt;=Scoring!$B$9,"Recap window",IF(O202&gt;=11,"Late compliance","Credit period"))))))))))))</f>
        <v>Year-15 window</v>
      </c>
      <c r="E202" s="15" t="s">
        <v>853</v>
      </c>
      <c r="F202" s="15" t="s">
        <v>854</v>
      </c>
      <c r="G202" s="15" t="s">
        <v>855</v>
      </c>
      <c r="H202" s="15" t="s">
        <v>232</v>
      </c>
      <c r="I202" s="15" t="s">
        <v>233</v>
      </c>
      <c r="J202" s="15" t="n">
        <v>64</v>
      </c>
      <c r="K202" s="15" t="n">
        <v>64</v>
      </c>
      <c r="L202" s="15" t="n">
        <f aca="false">IF(OR(J202="",K202=""),"",MAX(J202-K202,0))</f>
        <v>0</v>
      </c>
      <c r="M202" s="15" t="s">
        <v>99</v>
      </c>
      <c r="N202" s="17" t="n">
        <v>2009</v>
      </c>
      <c r="O202" s="15" t="n">
        <f aca="false">IF(N202="","",Scoring!$B$4-N202)</f>
        <v>17</v>
      </c>
      <c r="P202" s="15" t="n">
        <f aca="false">IF(N202="","",N202+14)</f>
        <v>2023</v>
      </c>
      <c r="Q202" s="15" t="n">
        <f aca="false">IF(N202="","",IF(N202&lt;Scoring!$B$12,"n/a (pre-1990)",N202+Scoring!$B$13))</f>
        <v>2038</v>
      </c>
      <c r="R202" s="15" t="str">
        <f aca="false">IF(J202="","Unknown",IF(J202&gt;=5,"Yes","No (under 5 units)"))</f>
        <v>Yes</v>
      </c>
      <c r="S202" s="15"/>
      <c r="T202" s="18"/>
      <c r="U202" s="19"/>
      <c r="V202" s="18"/>
      <c r="W202" s="18"/>
      <c r="X202" s="20"/>
      <c r="Y202" s="18"/>
      <c r="Z202" s="18"/>
      <c r="AA202" s="21" t="n">
        <f aca="false">IF(U202&lt;&gt;"",(U202-Scoring!$B$3)/365.25,IF(N202="","",IF(N202&lt;Scoring!$B$12,"",(DATE(N202+Scoring!$B$13,12,31)-Scoring!$B$3)/365.25)))</f>
        <v>12.2464065708419</v>
      </c>
      <c r="AB202" s="22" t="n">
        <f aca="false">IF(T202="Y",0,IF(OR(D202="Expired (verified)",D202="Expiring: notice window (verified)",D202="Expiring: 10-yr horizon (verified)",D202="Past 30-yr mark (verify)",D202="30-yr mark: notice window (est.)",D202="Year-15 window"),1,0)+IF(ISNUMBER(O202),IF(O202&gt;=Scoring!$B$10,1,0),0)+IF(AND(ISNUMBER(L202),ISNUMBER(J202)),IF(J202&gt;0,IF(L202/J202&gt;=Scoring!$B$11,1,0),0),0)+IF(ISNUMBER(Z202),MIN(Z202,3),0))</f>
        <v>1</v>
      </c>
      <c r="AC202" s="22" t="n">
        <f aca="false">IF(AB202&gt;=3,Scoring!$C$24,IF(AB202=2,Scoring!$C$23,IF(AB202=1,Scoring!$C$22,0)))</f>
        <v>10</v>
      </c>
      <c r="AD202" s="22" t="n">
        <f aca="false">IF(T202="Y",0,IF(ISNUMBER(X202),IF(X202&gt;0.7,Scoring!$C$25,IF(X202&gt;=0.5,Scoring!$C$26,IF(X202&gt;=0.3,Scoring!$C$27,Scoring!$C$28))),Scoring!$C$29))</f>
        <v>10</v>
      </c>
      <c r="AE202" s="22" t="n">
        <f aca="false">IF(D202="Expiring: notice window (verified)",Scoring!$C$30,IF(OR(D202="Expired (verified)",D202="30-yr mark: notice window (est.)",D202="Year-15 window"),Scoring!$C$31,IF(D202="Expiring: 10-yr horizon (verified)",Scoring!$C$32,IF(D202="Past 30-yr mark (verify)",Scoring!$C$33,IF(OR(D202="Credit period",D202="Superseded record"),Scoring!$C$35,Scoring!$C$34)))))</f>
        <v>14</v>
      </c>
      <c r="AF202" s="22" t="n">
        <f aca="false">IF(T202="Y",0,IF(ISNUMBER(V202),IF(Scoring!$B$4-V202&gt;15,Scoring!$C$36,IF(Scoring!$B$4-V202&gt;=10,Scoring!$C$37,IF(Scoring!$B$4-V202&gt;=5,Scoring!$C$38,Scoring!$C$39))),IF(OR(N202="",D202="Out of program"),Scoring!$C$40,IF(O202&gt;15,Scoring!$C$36,IF(O202&gt;=10,Scoring!$C$37,IF(O202&gt;=5,Scoring!$C$38,Scoring!$C$39))))))</f>
        <v>15</v>
      </c>
      <c r="AG202" s="22" t="n">
        <f aca="false">IF(T202="Y",0,IF(Y202="Y",Scoring!$C$41,IF(ISNUMBER(O202),IF(O202&gt;=25,Scoring!$C$42,IF(O202&gt;=15,Scoring!$C$43,Scoring!$C$44)),Scoring!$C$44)))</f>
        <v>5</v>
      </c>
      <c r="AH202" s="22" t="n">
        <f aca="false">IF(T202="Y",0,IF(W202="",Scoring!$C$49,IFERROR(VLOOKUP(W202,Scoring!$B$45:$C$48,2,FALSE()),Scoring!$C$49)))</f>
        <v>5</v>
      </c>
      <c r="AI202" s="23" t="n">
        <f aca="false">C202+IF(ISNUMBER(J202),J202,0)/100000+(10000-ROW())/1000000000</f>
        <v>59.000649798</v>
      </c>
      <c r="AJ202" s="18"/>
      <c r="AK202" s="18"/>
      <c r="AL202" s="18"/>
      <c r="AM202" s="18"/>
    </row>
    <row r="203" customFormat="false" ht="15" hidden="false" customHeight="false" outlineLevel="0" collapsed="false">
      <c r="A203" s="15" t="n">
        <f aca="false">RANK(AI203,$AI$2:$AI$755)</f>
        <v>202</v>
      </c>
      <c r="B203" s="16" t="str">
        <f aca="false">IF(T203="Y","Superseded",IF(C203&gt;=Scoring!$B$16,"Immediate",IF(C203&gt;=Scoring!$B$17,"This week",IF(C203&gt;=Scoring!$B$18,"Nurture","Low"))))</f>
        <v>This week</v>
      </c>
      <c r="C203" s="3" t="n">
        <f aca="false">SUM(AC203:AH203)</f>
        <v>59</v>
      </c>
      <c r="D203" s="15" t="str">
        <f aca="false">IF(T203="Y","Superseded record",IF(AND(U203&lt;&gt;"",AA203&lt;0),"Expired (verified)",IF(AND(U203&lt;&gt;"",AA203&lt;=Scoring!$B$5),"Expiring: notice window (verified)",IF(AND(U203&lt;&gt;"",AA203&lt;=Scoring!$B$6),"Expiring: 10-yr horizon (verified)",IF(M203="No Longer Monitored","Out of program",IF(N203="","Unknown vintage",IF(N203&lt;Scoring!$B$12,"Pre-1990, still listed",IF(AND(U203="",AA203&lt;0),"Past 30-yr mark (verify)",IF(AND(U203="",AA203&lt;=Scoring!$B$5),"30-yr mark: notice window (est.)",IF(AND(O203&gt;=Scoring!$B$7,O203&lt;=Scoring!$B$8),"Year-15 window",IF(O203&gt;=Scoring!$B$9,"Recap window",IF(O203&gt;=11,"Late compliance","Credit period"))))))))))))</f>
        <v>Year-15 window</v>
      </c>
      <c r="E203" s="15" t="s">
        <v>856</v>
      </c>
      <c r="F203" s="15" t="s">
        <v>857</v>
      </c>
      <c r="G203" s="15" t="s">
        <v>858</v>
      </c>
      <c r="H203" s="15" t="s">
        <v>97</v>
      </c>
      <c r="I203" s="15" t="s">
        <v>859</v>
      </c>
      <c r="J203" s="15" t="n">
        <v>61</v>
      </c>
      <c r="K203" s="15" t="n">
        <v>60</v>
      </c>
      <c r="L203" s="15" t="n">
        <f aca="false">IF(OR(J203="",K203=""),"",MAX(J203-K203,0))</f>
        <v>1</v>
      </c>
      <c r="M203" s="15" t="s">
        <v>99</v>
      </c>
      <c r="N203" s="17" t="n">
        <v>2010</v>
      </c>
      <c r="O203" s="15" t="n">
        <f aca="false">IF(N203="","",Scoring!$B$4-N203)</f>
        <v>16</v>
      </c>
      <c r="P203" s="15" t="n">
        <f aca="false">IF(N203="","",N203+14)</f>
        <v>2024</v>
      </c>
      <c r="Q203" s="15" t="n">
        <f aca="false">IF(N203="","",IF(N203&lt;Scoring!$B$12,"n/a (pre-1990)",N203+Scoring!$B$13))</f>
        <v>2039</v>
      </c>
      <c r="R203" s="15" t="str">
        <f aca="false">IF(J203="","Unknown",IF(J203&gt;=5,"Yes","No (under 5 units)"))</f>
        <v>Yes</v>
      </c>
      <c r="S203" s="15"/>
      <c r="T203" s="18"/>
      <c r="U203" s="19"/>
      <c r="V203" s="18"/>
      <c r="W203" s="18"/>
      <c r="X203" s="20"/>
      <c r="Y203" s="18"/>
      <c r="Z203" s="18"/>
      <c r="AA203" s="21" t="n">
        <f aca="false">IF(U203&lt;&gt;"",(U203-Scoring!$B$3)/365.25,IF(N203="","",IF(N203&lt;Scoring!$B$12,"",(DATE(N203+Scoring!$B$13,12,31)-Scoring!$B$3)/365.25)))</f>
        <v>13.2457221081451</v>
      </c>
      <c r="AB203" s="22" t="n">
        <f aca="false">IF(T203="Y",0,IF(OR(D203="Expired (verified)",D203="Expiring: notice window (verified)",D203="Expiring: 10-yr horizon (verified)",D203="Past 30-yr mark (verify)",D203="30-yr mark: notice window (est.)",D203="Year-15 window"),1,0)+IF(ISNUMBER(O203),IF(O203&gt;=Scoring!$B$10,1,0),0)+IF(AND(ISNUMBER(L203),ISNUMBER(J203)),IF(J203&gt;0,IF(L203/J203&gt;=Scoring!$B$11,1,0),0),0)+IF(ISNUMBER(Z203),MIN(Z203,3),0))</f>
        <v>1</v>
      </c>
      <c r="AC203" s="22" t="n">
        <f aca="false">IF(AB203&gt;=3,Scoring!$C$24,IF(AB203=2,Scoring!$C$23,IF(AB203=1,Scoring!$C$22,0)))</f>
        <v>10</v>
      </c>
      <c r="AD203" s="22" t="n">
        <f aca="false">IF(T203="Y",0,IF(ISNUMBER(X203),IF(X203&gt;0.7,Scoring!$C$25,IF(X203&gt;=0.5,Scoring!$C$26,IF(X203&gt;=0.3,Scoring!$C$27,Scoring!$C$28))),Scoring!$C$29))</f>
        <v>10</v>
      </c>
      <c r="AE203" s="22" t="n">
        <f aca="false">IF(D203="Expiring: notice window (verified)",Scoring!$C$30,IF(OR(D203="Expired (verified)",D203="30-yr mark: notice window (est.)",D203="Year-15 window"),Scoring!$C$31,IF(D203="Expiring: 10-yr horizon (verified)",Scoring!$C$32,IF(D203="Past 30-yr mark (verify)",Scoring!$C$33,IF(OR(D203="Credit period",D203="Superseded record"),Scoring!$C$35,Scoring!$C$34)))))</f>
        <v>14</v>
      </c>
      <c r="AF203" s="22" t="n">
        <f aca="false">IF(T203="Y",0,IF(ISNUMBER(V203),IF(Scoring!$B$4-V203&gt;15,Scoring!$C$36,IF(Scoring!$B$4-V203&gt;=10,Scoring!$C$37,IF(Scoring!$B$4-V203&gt;=5,Scoring!$C$38,Scoring!$C$39))),IF(OR(N203="",D203="Out of program"),Scoring!$C$40,IF(O203&gt;15,Scoring!$C$36,IF(O203&gt;=10,Scoring!$C$37,IF(O203&gt;=5,Scoring!$C$38,Scoring!$C$39))))))</f>
        <v>15</v>
      </c>
      <c r="AG203" s="22" t="n">
        <f aca="false">IF(T203="Y",0,IF(Y203="Y",Scoring!$C$41,IF(ISNUMBER(O203),IF(O203&gt;=25,Scoring!$C$42,IF(O203&gt;=15,Scoring!$C$43,Scoring!$C$44)),Scoring!$C$44)))</f>
        <v>5</v>
      </c>
      <c r="AH203" s="22" t="n">
        <f aca="false">IF(T203="Y",0,IF(W203="",Scoring!$C$49,IFERROR(VLOOKUP(W203,Scoring!$B$45:$C$48,2,FALSE()),Scoring!$C$49)))</f>
        <v>5</v>
      </c>
      <c r="AI203" s="23" t="n">
        <f aca="false">C203+IF(ISNUMBER(J203),J203,0)/100000+(10000-ROW())/1000000000</f>
        <v>59.000619797</v>
      </c>
      <c r="AJ203" s="18"/>
      <c r="AK203" s="18"/>
      <c r="AL203" s="18"/>
      <c r="AM203" s="18"/>
    </row>
    <row r="204" customFormat="false" ht="15" hidden="false" customHeight="false" outlineLevel="0" collapsed="false">
      <c r="A204" s="15" t="n">
        <f aca="false">RANK(AI204,$AI$2:$AI$755)</f>
        <v>203</v>
      </c>
      <c r="B204" s="16" t="str">
        <f aca="false">IF(T204="Y","Superseded",IF(C204&gt;=Scoring!$B$16,"Immediate",IF(C204&gt;=Scoring!$B$17,"This week",IF(C204&gt;=Scoring!$B$18,"Nurture","Low"))))</f>
        <v>This week</v>
      </c>
      <c r="C204" s="3" t="n">
        <f aca="false">SUM(AC204:AH204)</f>
        <v>59</v>
      </c>
      <c r="D204" s="15" t="str">
        <f aca="false">IF(T204="Y","Superseded record",IF(AND(U204&lt;&gt;"",AA204&lt;0),"Expired (verified)",IF(AND(U204&lt;&gt;"",AA204&lt;=Scoring!$B$5),"Expiring: notice window (verified)",IF(AND(U204&lt;&gt;"",AA204&lt;=Scoring!$B$6),"Expiring: 10-yr horizon (verified)",IF(M204="No Longer Monitored","Out of program",IF(N204="","Unknown vintage",IF(N204&lt;Scoring!$B$12,"Pre-1990, still listed",IF(AND(U204="",AA204&lt;0),"Past 30-yr mark (verify)",IF(AND(U204="",AA204&lt;=Scoring!$B$5),"30-yr mark: notice window (est.)",IF(AND(O204&gt;=Scoring!$B$7,O204&lt;=Scoring!$B$8),"Year-15 window",IF(O204&gt;=Scoring!$B$9,"Recap window",IF(O204&gt;=11,"Late compliance","Credit period"))))))))))))</f>
        <v>Year-15 window</v>
      </c>
      <c r="E204" s="15" t="s">
        <v>860</v>
      </c>
      <c r="F204" s="15" t="s">
        <v>861</v>
      </c>
      <c r="G204" s="15" t="s">
        <v>862</v>
      </c>
      <c r="H204" s="15" t="s">
        <v>97</v>
      </c>
      <c r="I204" s="15" t="s">
        <v>863</v>
      </c>
      <c r="J204" s="15" t="n">
        <v>54</v>
      </c>
      <c r="K204" s="15" t="n">
        <v>54</v>
      </c>
      <c r="L204" s="15" t="n">
        <f aca="false">IF(OR(J204="",K204=""),"",MAX(J204-K204,0))</f>
        <v>0</v>
      </c>
      <c r="M204" s="15" t="s">
        <v>99</v>
      </c>
      <c r="N204" s="17" t="n">
        <v>2009</v>
      </c>
      <c r="O204" s="15" t="n">
        <f aca="false">IF(N204="","",Scoring!$B$4-N204)</f>
        <v>17</v>
      </c>
      <c r="P204" s="15" t="n">
        <f aca="false">IF(N204="","",N204+14)</f>
        <v>2023</v>
      </c>
      <c r="Q204" s="15" t="n">
        <f aca="false">IF(N204="","",IF(N204&lt;Scoring!$B$12,"n/a (pre-1990)",N204+Scoring!$B$13))</f>
        <v>2038</v>
      </c>
      <c r="R204" s="15" t="str">
        <f aca="false">IF(J204="","Unknown",IF(J204&gt;=5,"Yes","No (under 5 units)"))</f>
        <v>Yes</v>
      </c>
      <c r="S204" s="15"/>
      <c r="T204" s="18"/>
      <c r="U204" s="19"/>
      <c r="V204" s="18"/>
      <c r="W204" s="18"/>
      <c r="X204" s="20"/>
      <c r="Y204" s="18"/>
      <c r="Z204" s="18"/>
      <c r="AA204" s="21" t="n">
        <f aca="false">IF(U204&lt;&gt;"",(U204-Scoring!$B$3)/365.25,IF(N204="","",IF(N204&lt;Scoring!$B$12,"",(DATE(N204+Scoring!$B$13,12,31)-Scoring!$B$3)/365.25)))</f>
        <v>12.2464065708419</v>
      </c>
      <c r="AB204" s="22" t="n">
        <f aca="false">IF(T204="Y",0,IF(OR(D204="Expired (verified)",D204="Expiring: notice window (verified)",D204="Expiring: 10-yr horizon (verified)",D204="Past 30-yr mark (verify)",D204="30-yr mark: notice window (est.)",D204="Year-15 window"),1,0)+IF(ISNUMBER(O204),IF(O204&gt;=Scoring!$B$10,1,0),0)+IF(AND(ISNUMBER(L204),ISNUMBER(J204)),IF(J204&gt;0,IF(L204/J204&gt;=Scoring!$B$11,1,0),0),0)+IF(ISNUMBER(Z204),MIN(Z204,3),0))</f>
        <v>1</v>
      </c>
      <c r="AC204" s="22" t="n">
        <f aca="false">IF(AB204&gt;=3,Scoring!$C$24,IF(AB204=2,Scoring!$C$23,IF(AB204=1,Scoring!$C$22,0)))</f>
        <v>10</v>
      </c>
      <c r="AD204" s="22" t="n">
        <f aca="false">IF(T204="Y",0,IF(ISNUMBER(X204),IF(X204&gt;0.7,Scoring!$C$25,IF(X204&gt;=0.5,Scoring!$C$26,IF(X204&gt;=0.3,Scoring!$C$27,Scoring!$C$28))),Scoring!$C$29))</f>
        <v>10</v>
      </c>
      <c r="AE204" s="22" t="n">
        <f aca="false">IF(D204="Expiring: notice window (verified)",Scoring!$C$30,IF(OR(D204="Expired (verified)",D204="30-yr mark: notice window (est.)",D204="Year-15 window"),Scoring!$C$31,IF(D204="Expiring: 10-yr horizon (verified)",Scoring!$C$32,IF(D204="Past 30-yr mark (verify)",Scoring!$C$33,IF(OR(D204="Credit period",D204="Superseded record"),Scoring!$C$35,Scoring!$C$34)))))</f>
        <v>14</v>
      </c>
      <c r="AF204" s="22" t="n">
        <f aca="false">IF(T204="Y",0,IF(ISNUMBER(V204),IF(Scoring!$B$4-V204&gt;15,Scoring!$C$36,IF(Scoring!$B$4-V204&gt;=10,Scoring!$C$37,IF(Scoring!$B$4-V204&gt;=5,Scoring!$C$38,Scoring!$C$39))),IF(OR(N204="",D204="Out of program"),Scoring!$C$40,IF(O204&gt;15,Scoring!$C$36,IF(O204&gt;=10,Scoring!$C$37,IF(O204&gt;=5,Scoring!$C$38,Scoring!$C$39))))))</f>
        <v>15</v>
      </c>
      <c r="AG204" s="22" t="n">
        <f aca="false">IF(T204="Y",0,IF(Y204="Y",Scoring!$C$41,IF(ISNUMBER(O204),IF(O204&gt;=25,Scoring!$C$42,IF(O204&gt;=15,Scoring!$C$43,Scoring!$C$44)),Scoring!$C$44)))</f>
        <v>5</v>
      </c>
      <c r="AH204" s="22" t="n">
        <f aca="false">IF(T204="Y",0,IF(W204="",Scoring!$C$49,IFERROR(VLOOKUP(W204,Scoring!$B$45:$C$48,2,FALSE()),Scoring!$C$49)))</f>
        <v>5</v>
      </c>
      <c r="AI204" s="23" t="n">
        <f aca="false">C204+IF(ISNUMBER(J204),J204,0)/100000+(10000-ROW())/1000000000</f>
        <v>59.000549796</v>
      </c>
      <c r="AJ204" s="18"/>
      <c r="AK204" s="18"/>
      <c r="AL204" s="18"/>
      <c r="AM204" s="18"/>
    </row>
    <row r="205" customFormat="false" ht="15" hidden="false" customHeight="false" outlineLevel="0" collapsed="false">
      <c r="A205" s="15" t="n">
        <f aca="false">RANK(AI205,$AI$2:$AI$755)</f>
        <v>204</v>
      </c>
      <c r="B205" s="16" t="str">
        <f aca="false">IF(T205="Y","Superseded",IF(C205&gt;=Scoring!$B$16,"Immediate",IF(C205&gt;=Scoring!$B$17,"This week",IF(C205&gt;=Scoring!$B$18,"Nurture","Low"))))</f>
        <v>This week</v>
      </c>
      <c r="C205" s="3" t="n">
        <f aca="false">SUM(AC205:AH205)</f>
        <v>59</v>
      </c>
      <c r="D205" s="15" t="str">
        <f aca="false">IF(T205="Y","Superseded record",IF(AND(U205&lt;&gt;"",AA205&lt;0),"Expired (verified)",IF(AND(U205&lt;&gt;"",AA205&lt;=Scoring!$B$5),"Expiring: notice window (verified)",IF(AND(U205&lt;&gt;"",AA205&lt;=Scoring!$B$6),"Expiring: 10-yr horizon (verified)",IF(M205="No Longer Monitored","Out of program",IF(N205="","Unknown vintage",IF(N205&lt;Scoring!$B$12,"Pre-1990, still listed",IF(AND(U205="",AA205&lt;0),"Past 30-yr mark (verify)",IF(AND(U205="",AA205&lt;=Scoring!$B$5),"30-yr mark: notice window (est.)",IF(AND(O205&gt;=Scoring!$B$7,O205&lt;=Scoring!$B$8),"Year-15 window",IF(O205&gt;=Scoring!$B$9,"Recap window",IF(O205&gt;=11,"Late compliance","Credit period"))))))))))))</f>
        <v>Year-15 window</v>
      </c>
      <c r="E205" s="15" t="s">
        <v>864</v>
      </c>
      <c r="F205" s="15" t="s">
        <v>865</v>
      </c>
      <c r="G205" s="15" t="s">
        <v>866</v>
      </c>
      <c r="H205" s="15" t="s">
        <v>185</v>
      </c>
      <c r="I205" s="15" t="s">
        <v>867</v>
      </c>
      <c r="J205" s="15" t="n">
        <v>53</v>
      </c>
      <c r="K205" s="15" t="n">
        <v>53</v>
      </c>
      <c r="L205" s="15" t="n">
        <f aca="false">IF(OR(J205="",K205=""),"",MAX(J205-K205,0))</f>
        <v>0</v>
      </c>
      <c r="M205" s="15" t="s">
        <v>99</v>
      </c>
      <c r="N205" s="17" t="n">
        <v>2009</v>
      </c>
      <c r="O205" s="15" t="n">
        <f aca="false">IF(N205="","",Scoring!$B$4-N205)</f>
        <v>17</v>
      </c>
      <c r="P205" s="15" t="n">
        <f aca="false">IF(N205="","",N205+14)</f>
        <v>2023</v>
      </c>
      <c r="Q205" s="15" t="n">
        <f aca="false">IF(N205="","",IF(N205&lt;Scoring!$B$12,"n/a (pre-1990)",N205+Scoring!$B$13))</f>
        <v>2038</v>
      </c>
      <c r="R205" s="15" t="str">
        <f aca="false">IF(J205="","Unknown",IF(J205&gt;=5,"Yes","No (under 5 units)"))</f>
        <v>Yes</v>
      </c>
      <c r="S205" s="15"/>
      <c r="T205" s="18"/>
      <c r="U205" s="19"/>
      <c r="V205" s="18"/>
      <c r="W205" s="18"/>
      <c r="X205" s="20"/>
      <c r="Y205" s="18"/>
      <c r="Z205" s="18"/>
      <c r="AA205" s="21" t="n">
        <f aca="false">IF(U205&lt;&gt;"",(U205-Scoring!$B$3)/365.25,IF(N205="","",IF(N205&lt;Scoring!$B$12,"",(DATE(N205+Scoring!$B$13,12,31)-Scoring!$B$3)/365.25)))</f>
        <v>12.2464065708419</v>
      </c>
      <c r="AB205" s="22" t="n">
        <f aca="false">IF(T205="Y",0,IF(OR(D205="Expired (verified)",D205="Expiring: notice window (verified)",D205="Expiring: 10-yr horizon (verified)",D205="Past 30-yr mark (verify)",D205="30-yr mark: notice window (est.)",D205="Year-15 window"),1,0)+IF(ISNUMBER(O205),IF(O205&gt;=Scoring!$B$10,1,0),0)+IF(AND(ISNUMBER(L205),ISNUMBER(J205)),IF(J205&gt;0,IF(L205/J205&gt;=Scoring!$B$11,1,0),0),0)+IF(ISNUMBER(Z205),MIN(Z205,3),0))</f>
        <v>1</v>
      </c>
      <c r="AC205" s="22" t="n">
        <f aca="false">IF(AB205&gt;=3,Scoring!$C$24,IF(AB205=2,Scoring!$C$23,IF(AB205=1,Scoring!$C$22,0)))</f>
        <v>10</v>
      </c>
      <c r="AD205" s="22" t="n">
        <f aca="false">IF(T205="Y",0,IF(ISNUMBER(X205),IF(X205&gt;0.7,Scoring!$C$25,IF(X205&gt;=0.5,Scoring!$C$26,IF(X205&gt;=0.3,Scoring!$C$27,Scoring!$C$28))),Scoring!$C$29))</f>
        <v>10</v>
      </c>
      <c r="AE205" s="22" t="n">
        <f aca="false">IF(D205="Expiring: notice window (verified)",Scoring!$C$30,IF(OR(D205="Expired (verified)",D205="30-yr mark: notice window (est.)",D205="Year-15 window"),Scoring!$C$31,IF(D205="Expiring: 10-yr horizon (verified)",Scoring!$C$32,IF(D205="Past 30-yr mark (verify)",Scoring!$C$33,IF(OR(D205="Credit period",D205="Superseded record"),Scoring!$C$35,Scoring!$C$34)))))</f>
        <v>14</v>
      </c>
      <c r="AF205" s="22" t="n">
        <f aca="false">IF(T205="Y",0,IF(ISNUMBER(V205),IF(Scoring!$B$4-V205&gt;15,Scoring!$C$36,IF(Scoring!$B$4-V205&gt;=10,Scoring!$C$37,IF(Scoring!$B$4-V205&gt;=5,Scoring!$C$38,Scoring!$C$39))),IF(OR(N205="",D205="Out of program"),Scoring!$C$40,IF(O205&gt;15,Scoring!$C$36,IF(O205&gt;=10,Scoring!$C$37,IF(O205&gt;=5,Scoring!$C$38,Scoring!$C$39))))))</f>
        <v>15</v>
      </c>
      <c r="AG205" s="22" t="n">
        <f aca="false">IF(T205="Y",0,IF(Y205="Y",Scoring!$C$41,IF(ISNUMBER(O205),IF(O205&gt;=25,Scoring!$C$42,IF(O205&gt;=15,Scoring!$C$43,Scoring!$C$44)),Scoring!$C$44)))</f>
        <v>5</v>
      </c>
      <c r="AH205" s="22" t="n">
        <f aca="false">IF(T205="Y",0,IF(W205="",Scoring!$C$49,IFERROR(VLOOKUP(W205,Scoring!$B$45:$C$48,2,FALSE()),Scoring!$C$49)))</f>
        <v>5</v>
      </c>
      <c r="AI205" s="23" t="n">
        <f aca="false">C205+IF(ISNUMBER(J205),J205,0)/100000+(10000-ROW())/1000000000</f>
        <v>59.000539795</v>
      </c>
      <c r="AJ205" s="18"/>
      <c r="AK205" s="18"/>
      <c r="AL205" s="18"/>
      <c r="AM205" s="18"/>
    </row>
    <row r="206" customFormat="false" ht="15" hidden="false" customHeight="false" outlineLevel="0" collapsed="false">
      <c r="A206" s="15" t="n">
        <f aca="false">RANK(AI206,$AI$2:$AI$755)</f>
        <v>205</v>
      </c>
      <c r="B206" s="16" t="str">
        <f aca="false">IF(T206="Y","Superseded",IF(C206&gt;=Scoring!$B$16,"Immediate",IF(C206&gt;=Scoring!$B$17,"This week",IF(C206&gt;=Scoring!$B$18,"Nurture","Low"))))</f>
        <v>This week</v>
      </c>
      <c r="C206" s="3" t="n">
        <f aca="false">SUM(AC206:AH206)</f>
        <v>59</v>
      </c>
      <c r="D206" s="15" t="str">
        <f aca="false">IF(T206="Y","Superseded record",IF(AND(U206&lt;&gt;"",AA206&lt;0),"Expired (verified)",IF(AND(U206&lt;&gt;"",AA206&lt;=Scoring!$B$5),"Expiring: notice window (verified)",IF(AND(U206&lt;&gt;"",AA206&lt;=Scoring!$B$6),"Expiring: 10-yr horizon (verified)",IF(M206="No Longer Monitored","Out of program",IF(N206="","Unknown vintage",IF(N206&lt;Scoring!$B$12,"Pre-1990, still listed",IF(AND(U206="",AA206&lt;0),"Past 30-yr mark (verify)",IF(AND(U206="",AA206&lt;=Scoring!$B$5),"30-yr mark: notice window (est.)",IF(AND(O206&gt;=Scoring!$B$7,O206&lt;=Scoring!$B$8),"Year-15 window",IF(O206&gt;=Scoring!$B$9,"Recap window",IF(O206&gt;=11,"Late compliance","Credit period"))))))))))))</f>
        <v>Year-15 window</v>
      </c>
      <c r="E206" s="15" t="s">
        <v>868</v>
      </c>
      <c r="F206" s="15" t="s">
        <v>869</v>
      </c>
      <c r="G206" s="15" t="s">
        <v>870</v>
      </c>
      <c r="H206" s="15" t="s">
        <v>851</v>
      </c>
      <c r="I206" s="15" t="s">
        <v>852</v>
      </c>
      <c r="J206" s="15" t="n">
        <v>52</v>
      </c>
      <c r="K206" s="15" t="n">
        <v>52</v>
      </c>
      <c r="L206" s="15" t="n">
        <f aca="false">IF(OR(J206="",K206=""),"",MAX(J206-K206,0))</f>
        <v>0</v>
      </c>
      <c r="M206" s="15" t="s">
        <v>99</v>
      </c>
      <c r="N206" s="17" t="n">
        <v>2009</v>
      </c>
      <c r="O206" s="15" t="n">
        <f aca="false">IF(N206="","",Scoring!$B$4-N206)</f>
        <v>17</v>
      </c>
      <c r="P206" s="15" t="n">
        <f aca="false">IF(N206="","",N206+14)</f>
        <v>2023</v>
      </c>
      <c r="Q206" s="15" t="n">
        <f aca="false">IF(N206="","",IF(N206&lt;Scoring!$B$12,"n/a (pre-1990)",N206+Scoring!$B$13))</f>
        <v>2038</v>
      </c>
      <c r="R206" s="15" t="str">
        <f aca="false">IF(J206="","Unknown",IF(J206&gt;=5,"Yes","No (under 5 units)"))</f>
        <v>Yes</v>
      </c>
      <c r="S206" s="15"/>
      <c r="T206" s="18"/>
      <c r="U206" s="19"/>
      <c r="V206" s="18"/>
      <c r="W206" s="18"/>
      <c r="X206" s="20"/>
      <c r="Y206" s="18"/>
      <c r="Z206" s="18"/>
      <c r="AA206" s="21" t="n">
        <f aca="false">IF(U206&lt;&gt;"",(U206-Scoring!$B$3)/365.25,IF(N206="","",IF(N206&lt;Scoring!$B$12,"",(DATE(N206+Scoring!$B$13,12,31)-Scoring!$B$3)/365.25)))</f>
        <v>12.2464065708419</v>
      </c>
      <c r="AB206" s="22" t="n">
        <f aca="false">IF(T206="Y",0,IF(OR(D206="Expired (verified)",D206="Expiring: notice window (verified)",D206="Expiring: 10-yr horizon (verified)",D206="Past 30-yr mark (verify)",D206="30-yr mark: notice window (est.)",D206="Year-15 window"),1,0)+IF(ISNUMBER(O206),IF(O206&gt;=Scoring!$B$10,1,0),0)+IF(AND(ISNUMBER(L206),ISNUMBER(J206)),IF(J206&gt;0,IF(L206/J206&gt;=Scoring!$B$11,1,0),0),0)+IF(ISNUMBER(Z206),MIN(Z206,3),0))</f>
        <v>1</v>
      </c>
      <c r="AC206" s="22" t="n">
        <f aca="false">IF(AB206&gt;=3,Scoring!$C$24,IF(AB206=2,Scoring!$C$23,IF(AB206=1,Scoring!$C$22,0)))</f>
        <v>10</v>
      </c>
      <c r="AD206" s="22" t="n">
        <f aca="false">IF(T206="Y",0,IF(ISNUMBER(X206),IF(X206&gt;0.7,Scoring!$C$25,IF(X206&gt;=0.5,Scoring!$C$26,IF(X206&gt;=0.3,Scoring!$C$27,Scoring!$C$28))),Scoring!$C$29))</f>
        <v>10</v>
      </c>
      <c r="AE206" s="22" t="n">
        <f aca="false">IF(D206="Expiring: notice window (verified)",Scoring!$C$30,IF(OR(D206="Expired (verified)",D206="30-yr mark: notice window (est.)",D206="Year-15 window"),Scoring!$C$31,IF(D206="Expiring: 10-yr horizon (verified)",Scoring!$C$32,IF(D206="Past 30-yr mark (verify)",Scoring!$C$33,IF(OR(D206="Credit period",D206="Superseded record"),Scoring!$C$35,Scoring!$C$34)))))</f>
        <v>14</v>
      </c>
      <c r="AF206" s="22" t="n">
        <f aca="false">IF(T206="Y",0,IF(ISNUMBER(V206),IF(Scoring!$B$4-V206&gt;15,Scoring!$C$36,IF(Scoring!$B$4-V206&gt;=10,Scoring!$C$37,IF(Scoring!$B$4-V206&gt;=5,Scoring!$C$38,Scoring!$C$39))),IF(OR(N206="",D206="Out of program"),Scoring!$C$40,IF(O206&gt;15,Scoring!$C$36,IF(O206&gt;=10,Scoring!$C$37,IF(O206&gt;=5,Scoring!$C$38,Scoring!$C$39))))))</f>
        <v>15</v>
      </c>
      <c r="AG206" s="22" t="n">
        <f aca="false">IF(T206="Y",0,IF(Y206="Y",Scoring!$C$41,IF(ISNUMBER(O206),IF(O206&gt;=25,Scoring!$C$42,IF(O206&gt;=15,Scoring!$C$43,Scoring!$C$44)),Scoring!$C$44)))</f>
        <v>5</v>
      </c>
      <c r="AH206" s="22" t="n">
        <f aca="false">IF(T206="Y",0,IF(W206="",Scoring!$C$49,IFERROR(VLOOKUP(W206,Scoring!$B$45:$C$48,2,FALSE()),Scoring!$C$49)))</f>
        <v>5</v>
      </c>
      <c r="AI206" s="23" t="n">
        <f aca="false">C206+IF(ISNUMBER(J206),J206,0)/100000+(10000-ROW())/1000000000</f>
        <v>59.000529794</v>
      </c>
      <c r="AJ206" s="18"/>
      <c r="AK206" s="18"/>
      <c r="AL206" s="18"/>
      <c r="AM206" s="18"/>
    </row>
    <row r="207" customFormat="false" ht="15" hidden="false" customHeight="false" outlineLevel="0" collapsed="false">
      <c r="A207" s="15" t="n">
        <f aca="false">RANK(AI207,$AI$2:$AI$755)</f>
        <v>206</v>
      </c>
      <c r="B207" s="16" t="str">
        <f aca="false">IF(T207="Y","Superseded",IF(C207&gt;=Scoring!$B$16,"Immediate",IF(C207&gt;=Scoring!$B$17,"This week",IF(C207&gt;=Scoring!$B$18,"Nurture","Low"))))</f>
        <v>This week</v>
      </c>
      <c r="C207" s="3" t="n">
        <f aca="false">SUM(AC207:AH207)</f>
        <v>59</v>
      </c>
      <c r="D207" s="15" t="str">
        <f aca="false">IF(T207="Y","Superseded record",IF(AND(U207&lt;&gt;"",AA207&lt;0),"Expired (verified)",IF(AND(U207&lt;&gt;"",AA207&lt;=Scoring!$B$5),"Expiring: notice window (verified)",IF(AND(U207&lt;&gt;"",AA207&lt;=Scoring!$B$6),"Expiring: 10-yr horizon (verified)",IF(M207="No Longer Monitored","Out of program",IF(N207="","Unknown vintage",IF(N207&lt;Scoring!$B$12,"Pre-1990, still listed",IF(AND(U207="",AA207&lt;0),"Past 30-yr mark (verify)",IF(AND(U207="",AA207&lt;=Scoring!$B$5),"30-yr mark: notice window (est.)",IF(AND(O207&gt;=Scoring!$B$7,O207&lt;=Scoring!$B$8),"Year-15 window",IF(O207&gt;=Scoring!$B$9,"Recap window",IF(O207&gt;=11,"Late compliance","Credit period"))))))))))))</f>
        <v>Year-15 window</v>
      </c>
      <c r="E207" s="15" t="s">
        <v>871</v>
      </c>
      <c r="F207" s="15" t="s">
        <v>872</v>
      </c>
      <c r="G207" s="15" t="s">
        <v>873</v>
      </c>
      <c r="H207" s="15" t="s">
        <v>185</v>
      </c>
      <c r="I207" s="15" t="s">
        <v>186</v>
      </c>
      <c r="J207" s="15" t="n">
        <v>52</v>
      </c>
      <c r="K207" s="15" t="n">
        <v>52</v>
      </c>
      <c r="L207" s="15" t="n">
        <f aca="false">IF(OR(J207="",K207=""),"",MAX(J207-K207,0))</f>
        <v>0</v>
      </c>
      <c r="M207" s="15" t="s">
        <v>99</v>
      </c>
      <c r="N207" s="17" t="n">
        <v>2010</v>
      </c>
      <c r="O207" s="15" t="n">
        <f aca="false">IF(N207="","",Scoring!$B$4-N207)</f>
        <v>16</v>
      </c>
      <c r="P207" s="15" t="n">
        <f aca="false">IF(N207="","",N207+14)</f>
        <v>2024</v>
      </c>
      <c r="Q207" s="15" t="n">
        <f aca="false">IF(N207="","",IF(N207&lt;Scoring!$B$12,"n/a (pre-1990)",N207+Scoring!$B$13))</f>
        <v>2039</v>
      </c>
      <c r="R207" s="15" t="str">
        <f aca="false">IF(J207="","Unknown",IF(J207&gt;=5,"Yes","No (under 5 units)"))</f>
        <v>Yes</v>
      </c>
      <c r="S207" s="15"/>
      <c r="T207" s="18"/>
      <c r="U207" s="19"/>
      <c r="V207" s="18"/>
      <c r="W207" s="18"/>
      <c r="X207" s="20"/>
      <c r="Y207" s="18"/>
      <c r="Z207" s="18"/>
      <c r="AA207" s="21" t="n">
        <f aca="false">IF(U207&lt;&gt;"",(U207-Scoring!$B$3)/365.25,IF(N207="","",IF(N207&lt;Scoring!$B$12,"",(DATE(N207+Scoring!$B$13,12,31)-Scoring!$B$3)/365.25)))</f>
        <v>13.2457221081451</v>
      </c>
      <c r="AB207" s="22" t="n">
        <f aca="false">IF(T207="Y",0,IF(OR(D207="Expired (verified)",D207="Expiring: notice window (verified)",D207="Expiring: 10-yr horizon (verified)",D207="Past 30-yr mark (verify)",D207="30-yr mark: notice window (est.)",D207="Year-15 window"),1,0)+IF(ISNUMBER(O207),IF(O207&gt;=Scoring!$B$10,1,0),0)+IF(AND(ISNUMBER(L207),ISNUMBER(J207)),IF(J207&gt;0,IF(L207/J207&gt;=Scoring!$B$11,1,0),0),0)+IF(ISNUMBER(Z207),MIN(Z207,3),0))</f>
        <v>1</v>
      </c>
      <c r="AC207" s="22" t="n">
        <f aca="false">IF(AB207&gt;=3,Scoring!$C$24,IF(AB207=2,Scoring!$C$23,IF(AB207=1,Scoring!$C$22,0)))</f>
        <v>10</v>
      </c>
      <c r="AD207" s="22" t="n">
        <f aca="false">IF(T207="Y",0,IF(ISNUMBER(X207),IF(X207&gt;0.7,Scoring!$C$25,IF(X207&gt;=0.5,Scoring!$C$26,IF(X207&gt;=0.3,Scoring!$C$27,Scoring!$C$28))),Scoring!$C$29))</f>
        <v>10</v>
      </c>
      <c r="AE207" s="22" t="n">
        <f aca="false">IF(D207="Expiring: notice window (verified)",Scoring!$C$30,IF(OR(D207="Expired (verified)",D207="30-yr mark: notice window (est.)",D207="Year-15 window"),Scoring!$C$31,IF(D207="Expiring: 10-yr horizon (verified)",Scoring!$C$32,IF(D207="Past 30-yr mark (verify)",Scoring!$C$33,IF(OR(D207="Credit period",D207="Superseded record"),Scoring!$C$35,Scoring!$C$34)))))</f>
        <v>14</v>
      </c>
      <c r="AF207" s="22" t="n">
        <f aca="false">IF(T207="Y",0,IF(ISNUMBER(V207),IF(Scoring!$B$4-V207&gt;15,Scoring!$C$36,IF(Scoring!$B$4-V207&gt;=10,Scoring!$C$37,IF(Scoring!$B$4-V207&gt;=5,Scoring!$C$38,Scoring!$C$39))),IF(OR(N207="",D207="Out of program"),Scoring!$C$40,IF(O207&gt;15,Scoring!$C$36,IF(O207&gt;=10,Scoring!$C$37,IF(O207&gt;=5,Scoring!$C$38,Scoring!$C$39))))))</f>
        <v>15</v>
      </c>
      <c r="AG207" s="22" t="n">
        <f aca="false">IF(T207="Y",0,IF(Y207="Y",Scoring!$C$41,IF(ISNUMBER(O207),IF(O207&gt;=25,Scoring!$C$42,IF(O207&gt;=15,Scoring!$C$43,Scoring!$C$44)),Scoring!$C$44)))</f>
        <v>5</v>
      </c>
      <c r="AH207" s="22" t="n">
        <f aca="false">IF(T207="Y",0,IF(W207="",Scoring!$C$49,IFERROR(VLOOKUP(W207,Scoring!$B$45:$C$48,2,FALSE()),Scoring!$C$49)))</f>
        <v>5</v>
      </c>
      <c r="AI207" s="23" t="n">
        <f aca="false">C207+IF(ISNUMBER(J207),J207,0)/100000+(10000-ROW())/1000000000</f>
        <v>59.000529793</v>
      </c>
      <c r="AJ207" s="18"/>
      <c r="AK207" s="18"/>
      <c r="AL207" s="18"/>
      <c r="AM207" s="18"/>
    </row>
    <row r="208" customFormat="false" ht="15" hidden="false" customHeight="false" outlineLevel="0" collapsed="false">
      <c r="A208" s="15" t="n">
        <f aca="false">RANK(AI208,$AI$2:$AI$755)</f>
        <v>207</v>
      </c>
      <c r="B208" s="16" t="str">
        <f aca="false">IF(T208="Y","Superseded",IF(C208&gt;=Scoring!$B$16,"Immediate",IF(C208&gt;=Scoring!$B$17,"This week",IF(C208&gt;=Scoring!$B$18,"Nurture","Low"))))</f>
        <v>This week</v>
      </c>
      <c r="C208" s="3" t="n">
        <f aca="false">SUM(AC208:AH208)</f>
        <v>59</v>
      </c>
      <c r="D208" s="15" t="str">
        <f aca="false">IF(T208="Y","Superseded record",IF(AND(U208&lt;&gt;"",AA208&lt;0),"Expired (verified)",IF(AND(U208&lt;&gt;"",AA208&lt;=Scoring!$B$5),"Expiring: notice window (verified)",IF(AND(U208&lt;&gt;"",AA208&lt;=Scoring!$B$6),"Expiring: 10-yr horizon (verified)",IF(M208="No Longer Monitored","Out of program",IF(N208="","Unknown vintage",IF(N208&lt;Scoring!$B$12,"Pre-1990, still listed",IF(AND(U208="",AA208&lt;0),"Past 30-yr mark (verify)",IF(AND(U208="",AA208&lt;=Scoring!$B$5),"30-yr mark: notice window (est.)",IF(AND(O208&gt;=Scoring!$B$7,O208&lt;=Scoring!$B$8),"Year-15 window",IF(O208&gt;=Scoring!$B$9,"Recap window",IF(O208&gt;=11,"Late compliance","Credit period"))))))))))))</f>
        <v>Year-15 window</v>
      </c>
      <c r="E208" s="15" t="s">
        <v>874</v>
      </c>
      <c r="F208" s="15" t="s">
        <v>875</v>
      </c>
      <c r="G208" s="15" t="s">
        <v>876</v>
      </c>
      <c r="H208" s="15" t="s">
        <v>877</v>
      </c>
      <c r="I208" s="15" t="s">
        <v>878</v>
      </c>
      <c r="J208" s="15" t="n">
        <v>52</v>
      </c>
      <c r="K208" s="15" t="n">
        <v>52</v>
      </c>
      <c r="L208" s="15" t="n">
        <f aca="false">IF(OR(J208="",K208=""),"",MAX(J208-K208,0))</f>
        <v>0</v>
      </c>
      <c r="M208" s="15" t="s">
        <v>99</v>
      </c>
      <c r="N208" s="17" t="n">
        <v>2010</v>
      </c>
      <c r="O208" s="15" t="n">
        <f aca="false">IF(N208="","",Scoring!$B$4-N208)</f>
        <v>16</v>
      </c>
      <c r="P208" s="15" t="n">
        <f aca="false">IF(N208="","",N208+14)</f>
        <v>2024</v>
      </c>
      <c r="Q208" s="15" t="n">
        <f aca="false">IF(N208="","",IF(N208&lt;Scoring!$B$12,"n/a (pre-1990)",N208+Scoring!$B$13))</f>
        <v>2039</v>
      </c>
      <c r="R208" s="15" t="str">
        <f aca="false">IF(J208="","Unknown",IF(J208&gt;=5,"Yes","No (under 5 units)"))</f>
        <v>Yes</v>
      </c>
      <c r="S208" s="15"/>
      <c r="T208" s="18"/>
      <c r="U208" s="19"/>
      <c r="V208" s="18"/>
      <c r="W208" s="18"/>
      <c r="X208" s="20"/>
      <c r="Y208" s="18"/>
      <c r="Z208" s="18"/>
      <c r="AA208" s="21" t="n">
        <f aca="false">IF(U208&lt;&gt;"",(U208-Scoring!$B$3)/365.25,IF(N208="","",IF(N208&lt;Scoring!$B$12,"",(DATE(N208+Scoring!$B$13,12,31)-Scoring!$B$3)/365.25)))</f>
        <v>13.2457221081451</v>
      </c>
      <c r="AB208" s="22" t="n">
        <f aca="false">IF(T208="Y",0,IF(OR(D208="Expired (verified)",D208="Expiring: notice window (verified)",D208="Expiring: 10-yr horizon (verified)",D208="Past 30-yr mark (verify)",D208="30-yr mark: notice window (est.)",D208="Year-15 window"),1,0)+IF(ISNUMBER(O208),IF(O208&gt;=Scoring!$B$10,1,0),0)+IF(AND(ISNUMBER(L208),ISNUMBER(J208)),IF(J208&gt;0,IF(L208/J208&gt;=Scoring!$B$11,1,0),0),0)+IF(ISNUMBER(Z208),MIN(Z208,3),0))</f>
        <v>1</v>
      </c>
      <c r="AC208" s="22" t="n">
        <f aca="false">IF(AB208&gt;=3,Scoring!$C$24,IF(AB208=2,Scoring!$C$23,IF(AB208=1,Scoring!$C$22,0)))</f>
        <v>10</v>
      </c>
      <c r="AD208" s="22" t="n">
        <f aca="false">IF(T208="Y",0,IF(ISNUMBER(X208),IF(X208&gt;0.7,Scoring!$C$25,IF(X208&gt;=0.5,Scoring!$C$26,IF(X208&gt;=0.3,Scoring!$C$27,Scoring!$C$28))),Scoring!$C$29))</f>
        <v>10</v>
      </c>
      <c r="AE208" s="22" t="n">
        <f aca="false">IF(D208="Expiring: notice window (verified)",Scoring!$C$30,IF(OR(D208="Expired (verified)",D208="30-yr mark: notice window (est.)",D208="Year-15 window"),Scoring!$C$31,IF(D208="Expiring: 10-yr horizon (verified)",Scoring!$C$32,IF(D208="Past 30-yr mark (verify)",Scoring!$C$33,IF(OR(D208="Credit period",D208="Superseded record"),Scoring!$C$35,Scoring!$C$34)))))</f>
        <v>14</v>
      </c>
      <c r="AF208" s="22" t="n">
        <f aca="false">IF(T208="Y",0,IF(ISNUMBER(V208),IF(Scoring!$B$4-V208&gt;15,Scoring!$C$36,IF(Scoring!$B$4-V208&gt;=10,Scoring!$C$37,IF(Scoring!$B$4-V208&gt;=5,Scoring!$C$38,Scoring!$C$39))),IF(OR(N208="",D208="Out of program"),Scoring!$C$40,IF(O208&gt;15,Scoring!$C$36,IF(O208&gt;=10,Scoring!$C$37,IF(O208&gt;=5,Scoring!$C$38,Scoring!$C$39))))))</f>
        <v>15</v>
      </c>
      <c r="AG208" s="22" t="n">
        <f aca="false">IF(T208="Y",0,IF(Y208="Y",Scoring!$C$41,IF(ISNUMBER(O208),IF(O208&gt;=25,Scoring!$C$42,IF(O208&gt;=15,Scoring!$C$43,Scoring!$C$44)),Scoring!$C$44)))</f>
        <v>5</v>
      </c>
      <c r="AH208" s="22" t="n">
        <f aca="false">IF(T208="Y",0,IF(W208="",Scoring!$C$49,IFERROR(VLOOKUP(W208,Scoring!$B$45:$C$48,2,FALSE()),Scoring!$C$49)))</f>
        <v>5</v>
      </c>
      <c r="AI208" s="23" t="n">
        <f aca="false">C208+IF(ISNUMBER(J208),J208,0)/100000+(10000-ROW())/1000000000</f>
        <v>59.000529792</v>
      </c>
      <c r="AJ208" s="18"/>
      <c r="AK208" s="18"/>
      <c r="AL208" s="18"/>
      <c r="AM208" s="18"/>
    </row>
    <row r="209" customFormat="false" ht="15" hidden="false" customHeight="false" outlineLevel="0" collapsed="false">
      <c r="A209" s="15" t="n">
        <f aca="false">RANK(AI209,$AI$2:$AI$755)</f>
        <v>208</v>
      </c>
      <c r="B209" s="16" t="str">
        <f aca="false">IF(T209="Y","Superseded",IF(C209&gt;=Scoring!$B$16,"Immediate",IF(C209&gt;=Scoring!$B$17,"This week",IF(C209&gt;=Scoring!$B$18,"Nurture","Low"))))</f>
        <v>This week</v>
      </c>
      <c r="C209" s="3" t="n">
        <f aca="false">SUM(AC209:AH209)</f>
        <v>59</v>
      </c>
      <c r="D209" s="15" t="str">
        <f aca="false">IF(T209="Y","Superseded record",IF(AND(U209&lt;&gt;"",AA209&lt;0),"Expired (verified)",IF(AND(U209&lt;&gt;"",AA209&lt;=Scoring!$B$5),"Expiring: notice window (verified)",IF(AND(U209&lt;&gt;"",AA209&lt;=Scoring!$B$6),"Expiring: 10-yr horizon (verified)",IF(M209="No Longer Monitored","Out of program",IF(N209="","Unknown vintage",IF(N209&lt;Scoring!$B$12,"Pre-1990, still listed",IF(AND(U209="",AA209&lt;0),"Past 30-yr mark (verify)",IF(AND(U209="",AA209&lt;=Scoring!$B$5),"30-yr mark: notice window (est.)",IF(AND(O209&gt;=Scoring!$B$7,O209&lt;=Scoring!$B$8),"Year-15 window",IF(O209&gt;=Scoring!$B$9,"Recap window",IF(O209&gt;=11,"Late compliance","Credit period"))))))))))))</f>
        <v>Year-15 window</v>
      </c>
      <c r="E209" s="15" t="s">
        <v>879</v>
      </c>
      <c r="F209" s="15" t="s">
        <v>880</v>
      </c>
      <c r="G209" s="15" t="s">
        <v>881</v>
      </c>
      <c r="H209" s="15" t="s">
        <v>125</v>
      </c>
      <c r="I209" s="15" t="s">
        <v>126</v>
      </c>
      <c r="J209" s="15" t="n">
        <v>51</v>
      </c>
      <c r="K209" s="15" t="n">
        <v>50</v>
      </c>
      <c r="L209" s="15" t="n">
        <f aca="false">IF(OR(J209="",K209=""),"",MAX(J209-K209,0))</f>
        <v>1</v>
      </c>
      <c r="M209" s="15" t="s">
        <v>99</v>
      </c>
      <c r="N209" s="17" t="n">
        <v>2010</v>
      </c>
      <c r="O209" s="15" t="n">
        <f aca="false">IF(N209="","",Scoring!$B$4-N209)</f>
        <v>16</v>
      </c>
      <c r="P209" s="15" t="n">
        <f aca="false">IF(N209="","",N209+14)</f>
        <v>2024</v>
      </c>
      <c r="Q209" s="15" t="n">
        <f aca="false">IF(N209="","",IF(N209&lt;Scoring!$B$12,"n/a (pre-1990)",N209+Scoring!$B$13))</f>
        <v>2039</v>
      </c>
      <c r="R209" s="15" t="str">
        <f aca="false">IF(J209="","Unknown",IF(J209&gt;=5,"Yes","No (under 5 units)"))</f>
        <v>Yes</v>
      </c>
      <c r="S209" s="15"/>
      <c r="T209" s="18"/>
      <c r="U209" s="19"/>
      <c r="V209" s="18"/>
      <c r="W209" s="18"/>
      <c r="X209" s="20"/>
      <c r="Y209" s="18"/>
      <c r="Z209" s="18"/>
      <c r="AA209" s="21" t="n">
        <f aca="false">IF(U209&lt;&gt;"",(U209-Scoring!$B$3)/365.25,IF(N209="","",IF(N209&lt;Scoring!$B$12,"",(DATE(N209+Scoring!$B$13,12,31)-Scoring!$B$3)/365.25)))</f>
        <v>13.2457221081451</v>
      </c>
      <c r="AB209" s="22" t="n">
        <f aca="false">IF(T209="Y",0,IF(OR(D209="Expired (verified)",D209="Expiring: notice window (verified)",D209="Expiring: 10-yr horizon (verified)",D209="Past 30-yr mark (verify)",D209="30-yr mark: notice window (est.)",D209="Year-15 window"),1,0)+IF(ISNUMBER(O209),IF(O209&gt;=Scoring!$B$10,1,0),0)+IF(AND(ISNUMBER(L209),ISNUMBER(J209)),IF(J209&gt;0,IF(L209/J209&gt;=Scoring!$B$11,1,0),0),0)+IF(ISNUMBER(Z209),MIN(Z209,3),0))</f>
        <v>1</v>
      </c>
      <c r="AC209" s="22" t="n">
        <f aca="false">IF(AB209&gt;=3,Scoring!$C$24,IF(AB209=2,Scoring!$C$23,IF(AB209=1,Scoring!$C$22,0)))</f>
        <v>10</v>
      </c>
      <c r="AD209" s="22" t="n">
        <f aca="false">IF(T209="Y",0,IF(ISNUMBER(X209),IF(X209&gt;0.7,Scoring!$C$25,IF(X209&gt;=0.5,Scoring!$C$26,IF(X209&gt;=0.3,Scoring!$C$27,Scoring!$C$28))),Scoring!$C$29))</f>
        <v>10</v>
      </c>
      <c r="AE209" s="22" t="n">
        <f aca="false">IF(D209="Expiring: notice window (verified)",Scoring!$C$30,IF(OR(D209="Expired (verified)",D209="30-yr mark: notice window (est.)",D209="Year-15 window"),Scoring!$C$31,IF(D209="Expiring: 10-yr horizon (verified)",Scoring!$C$32,IF(D209="Past 30-yr mark (verify)",Scoring!$C$33,IF(OR(D209="Credit period",D209="Superseded record"),Scoring!$C$35,Scoring!$C$34)))))</f>
        <v>14</v>
      </c>
      <c r="AF209" s="22" t="n">
        <f aca="false">IF(T209="Y",0,IF(ISNUMBER(V209),IF(Scoring!$B$4-V209&gt;15,Scoring!$C$36,IF(Scoring!$B$4-V209&gt;=10,Scoring!$C$37,IF(Scoring!$B$4-V209&gt;=5,Scoring!$C$38,Scoring!$C$39))),IF(OR(N209="",D209="Out of program"),Scoring!$C$40,IF(O209&gt;15,Scoring!$C$36,IF(O209&gt;=10,Scoring!$C$37,IF(O209&gt;=5,Scoring!$C$38,Scoring!$C$39))))))</f>
        <v>15</v>
      </c>
      <c r="AG209" s="22" t="n">
        <f aca="false">IF(T209="Y",0,IF(Y209="Y",Scoring!$C$41,IF(ISNUMBER(O209),IF(O209&gt;=25,Scoring!$C$42,IF(O209&gt;=15,Scoring!$C$43,Scoring!$C$44)),Scoring!$C$44)))</f>
        <v>5</v>
      </c>
      <c r="AH209" s="22" t="n">
        <f aca="false">IF(T209="Y",0,IF(W209="",Scoring!$C$49,IFERROR(VLOOKUP(W209,Scoring!$B$45:$C$48,2,FALSE()),Scoring!$C$49)))</f>
        <v>5</v>
      </c>
      <c r="AI209" s="23" t="n">
        <f aca="false">C209+IF(ISNUMBER(J209),J209,0)/100000+(10000-ROW())/1000000000</f>
        <v>59.000519791</v>
      </c>
      <c r="AJ209" s="18"/>
      <c r="AK209" s="18"/>
      <c r="AL209" s="18"/>
      <c r="AM209" s="18"/>
    </row>
    <row r="210" customFormat="false" ht="15" hidden="false" customHeight="false" outlineLevel="0" collapsed="false">
      <c r="A210" s="15" t="n">
        <f aca="false">RANK(AI210,$AI$2:$AI$755)</f>
        <v>209</v>
      </c>
      <c r="B210" s="16" t="str">
        <f aca="false">IF(T210="Y","Superseded",IF(C210&gt;=Scoring!$B$16,"Immediate",IF(C210&gt;=Scoring!$B$17,"This week",IF(C210&gt;=Scoring!$B$18,"Nurture","Low"))))</f>
        <v>This week</v>
      </c>
      <c r="C210" s="3" t="n">
        <f aca="false">SUM(AC210:AH210)</f>
        <v>59</v>
      </c>
      <c r="D210" s="15" t="str">
        <f aca="false">IF(T210="Y","Superseded record",IF(AND(U210&lt;&gt;"",AA210&lt;0),"Expired (verified)",IF(AND(U210&lt;&gt;"",AA210&lt;=Scoring!$B$5),"Expiring: notice window (verified)",IF(AND(U210&lt;&gt;"",AA210&lt;=Scoring!$B$6),"Expiring: 10-yr horizon (verified)",IF(M210="No Longer Monitored","Out of program",IF(N210="","Unknown vintage",IF(N210&lt;Scoring!$B$12,"Pre-1990, still listed",IF(AND(U210="",AA210&lt;0),"Past 30-yr mark (verify)",IF(AND(U210="",AA210&lt;=Scoring!$B$5),"30-yr mark: notice window (est.)",IF(AND(O210&gt;=Scoring!$B$7,O210&lt;=Scoring!$B$8),"Year-15 window",IF(O210&gt;=Scoring!$B$9,"Recap window",IF(O210&gt;=11,"Late compliance","Credit period"))))))))))))</f>
        <v>Year-15 window</v>
      </c>
      <c r="E210" s="15" t="s">
        <v>882</v>
      </c>
      <c r="F210" s="15" t="s">
        <v>883</v>
      </c>
      <c r="G210" s="15" t="s">
        <v>884</v>
      </c>
      <c r="H210" s="15" t="s">
        <v>630</v>
      </c>
      <c r="I210" s="15" t="s">
        <v>631</v>
      </c>
      <c r="J210" s="15" t="n">
        <v>51</v>
      </c>
      <c r="K210" s="15" t="n">
        <v>51</v>
      </c>
      <c r="L210" s="15" t="n">
        <f aca="false">IF(OR(J210="",K210=""),"",MAX(J210-K210,0))</f>
        <v>0</v>
      </c>
      <c r="M210" s="15" t="s">
        <v>99</v>
      </c>
      <c r="N210" s="17" t="n">
        <v>2010</v>
      </c>
      <c r="O210" s="15" t="n">
        <f aca="false">IF(N210="","",Scoring!$B$4-N210)</f>
        <v>16</v>
      </c>
      <c r="P210" s="15" t="n">
        <f aca="false">IF(N210="","",N210+14)</f>
        <v>2024</v>
      </c>
      <c r="Q210" s="15" t="n">
        <f aca="false">IF(N210="","",IF(N210&lt;Scoring!$B$12,"n/a (pre-1990)",N210+Scoring!$B$13))</f>
        <v>2039</v>
      </c>
      <c r="R210" s="15" t="str">
        <f aca="false">IF(J210="","Unknown",IF(J210&gt;=5,"Yes","No (under 5 units)"))</f>
        <v>Yes</v>
      </c>
      <c r="S210" s="15"/>
      <c r="T210" s="18"/>
      <c r="U210" s="19"/>
      <c r="V210" s="18"/>
      <c r="W210" s="18"/>
      <c r="X210" s="20"/>
      <c r="Y210" s="18"/>
      <c r="Z210" s="18"/>
      <c r="AA210" s="21" t="n">
        <f aca="false">IF(U210&lt;&gt;"",(U210-Scoring!$B$3)/365.25,IF(N210="","",IF(N210&lt;Scoring!$B$12,"",(DATE(N210+Scoring!$B$13,12,31)-Scoring!$B$3)/365.25)))</f>
        <v>13.2457221081451</v>
      </c>
      <c r="AB210" s="22" t="n">
        <f aca="false">IF(T210="Y",0,IF(OR(D210="Expired (verified)",D210="Expiring: notice window (verified)",D210="Expiring: 10-yr horizon (verified)",D210="Past 30-yr mark (verify)",D210="30-yr mark: notice window (est.)",D210="Year-15 window"),1,0)+IF(ISNUMBER(O210),IF(O210&gt;=Scoring!$B$10,1,0),0)+IF(AND(ISNUMBER(L210),ISNUMBER(J210)),IF(J210&gt;0,IF(L210/J210&gt;=Scoring!$B$11,1,0),0),0)+IF(ISNUMBER(Z210),MIN(Z210,3),0))</f>
        <v>1</v>
      </c>
      <c r="AC210" s="22" t="n">
        <f aca="false">IF(AB210&gt;=3,Scoring!$C$24,IF(AB210=2,Scoring!$C$23,IF(AB210=1,Scoring!$C$22,0)))</f>
        <v>10</v>
      </c>
      <c r="AD210" s="22" t="n">
        <f aca="false">IF(T210="Y",0,IF(ISNUMBER(X210),IF(X210&gt;0.7,Scoring!$C$25,IF(X210&gt;=0.5,Scoring!$C$26,IF(X210&gt;=0.3,Scoring!$C$27,Scoring!$C$28))),Scoring!$C$29))</f>
        <v>10</v>
      </c>
      <c r="AE210" s="22" t="n">
        <f aca="false">IF(D210="Expiring: notice window (verified)",Scoring!$C$30,IF(OR(D210="Expired (verified)",D210="30-yr mark: notice window (est.)",D210="Year-15 window"),Scoring!$C$31,IF(D210="Expiring: 10-yr horizon (verified)",Scoring!$C$32,IF(D210="Past 30-yr mark (verify)",Scoring!$C$33,IF(OR(D210="Credit period",D210="Superseded record"),Scoring!$C$35,Scoring!$C$34)))))</f>
        <v>14</v>
      </c>
      <c r="AF210" s="22" t="n">
        <f aca="false">IF(T210="Y",0,IF(ISNUMBER(V210),IF(Scoring!$B$4-V210&gt;15,Scoring!$C$36,IF(Scoring!$B$4-V210&gt;=10,Scoring!$C$37,IF(Scoring!$B$4-V210&gt;=5,Scoring!$C$38,Scoring!$C$39))),IF(OR(N210="",D210="Out of program"),Scoring!$C$40,IF(O210&gt;15,Scoring!$C$36,IF(O210&gt;=10,Scoring!$C$37,IF(O210&gt;=5,Scoring!$C$38,Scoring!$C$39))))))</f>
        <v>15</v>
      </c>
      <c r="AG210" s="22" t="n">
        <f aca="false">IF(T210="Y",0,IF(Y210="Y",Scoring!$C$41,IF(ISNUMBER(O210),IF(O210&gt;=25,Scoring!$C$42,IF(O210&gt;=15,Scoring!$C$43,Scoring!$C$44)),Scoring!$C$44)))</f>
        <v>5</v>
      </c>
      <c r="AH210" s="22" t="n">
        <f aca="false">IF(T210="Y",0,IF(W210="",Scoring!$C$49,IFERROR(VLOOKUP(W210,Scoring!$B$45:$C$48,2,FALSE()),Scoring!$C$49)))</f>
        <v>5</v>
      </c>
      <c r="AI210" s="23" t="n">
        <f aca="false">C210+IF(ISNUMBER(J210),J210,0)/100000+(10000-ROW())/1000000000</f>
        <v>59.00051979</v>
      </c>
      <c r="AJ210" s="18"/>
      <c r="AK210" s="18"/>
      <c r="AL210" s="18"/>
      <c r="AM210" s="18"/>
    </row>
    <row r="211" customFormat="false" ht="15" hidden="false" customHeight="false" outlineLevel="0" collapsed="false">
      <c r="A211" s="15" t="n">
        <f aca="false">RANK(AI211,$AI$2:$AI$755)</f>
        <v>210</v>
      </c>
      <c r="B211" s="16" t="str">
        <f aca="false">IF(T211="Y","Superseded",IF(C211&gt;=Scoring!$B$16,"Immediate",IF(C211&gt;=Scoring!$B$17,"This week",IF(C211&gt;=Scoring!$B$18,"Nurture","Low"))))</f>
        <v>This week</v>
      </c>
      <c r="C211" s="3" t="n">
        <f aca="false">SUM(AC211:AH211)</f>
        <v>59</v>
      </c>
      <c r="D211" s="15" t="str">
        <f aca="false">IF(T211="Y","Superseded record",IF(AND(U211&lt;&gt;"",AA211&lt;0),"Expired (verified)",IF(AND(U211&lt;&gt;"",AA211&lt;=Scoring!$B$5),"Expiring: notice window (verified)",IF(AND(U211&lt;&gt;"",AA211&lt;=Scoring!$B$6),"Expiring: 10-yr horizon (verified)",IF(M211="No Longer Monitored","Out of program",IF(N211="","Unknown vintage",IF(N211&lt;Scoring!$B$12,"Pre-1990, still listed",IF(AND(U211="",AA211&lt;0),"Past 30-yr mark (verify)",IF(AND(U211="",AA211&lt;=Scoring!$B$5),"30-yr mark: notice window (est.)",IF(AND(O211&gt;=Scoring!$B$7,O211&lt;=Scoring!$B$8),"Year-15 window",IF(O211&gt;=Scoring!$B$9,"Recap window",IF(O211&gt;=11,"Late compliance","Credit period"))))))))))))</f>
        <v>Year-15 window</v>
      </c>
      <c r="E211" s="15" t="s">
        <v>885</v>
      </c>
      <c r="F211" s="15" t="s">
        <v>886</v>
      </c>
      <c r="G211" s="15" t="s">
        <v>887</v>
      </c>
      <c r="H211" s="15" t="s">
        <v>888</v>
      </c>
      <c r="I211" s="15" t="s">
        <v>889</v>
      </c>
      <c r="J211" s="15" t="n">
        <v>50</v>
      </c>
      <c r="K211" s="15" t="n">
        <v>50</v>
      </c>
      <c r="L211" s="15" t="n">
        <f aca="false">IF(OR(J211="",K211=""),"",MAX(J211-K211,0))</f>
        <v>0</v>
      </c>
      <c r="M211" s="15" t="s">
        <v>99</v>
      </c>
      <c r="N211" s="17" t="n">
        <v>2009</v>
      </c>
      <c r="O211" s="15" t="n">
        <f aca="false">IF(N211="","",Scoring!$B$4-N211)</f>
        <v>17</v>
      </c>
      <c r="P211" s="15" t="n">
        <f aca="false">IF(N211="","",N211+14)</f>
        <v>2023</v>
      </c>
      <c r="Q211" s="15" t="n">
        <f aca="false">IF(N211="","",IF(N211&lt;Scoring!$B$12,"n/a (pre-1990)",N211+Scoring!$B$13))</f>
        <v>2038</v>
      </c>
      <c r="R211" s="15" t="str">
        <f aca="false">IF(J211="","Unknown",IF(J211&gt;=5,"Yes","No (under 5 units)"))</f>
        <v>Yes</v>
      </c>
      <c r="S211" s="15" t="s">
        <v>890</v>
      </c>
      <c r="T211" s="18"/>
      <c r="U211" s="19"/>
      <c r="V211" s="18"/>
      <c r="W211" s="18"/>
      <c r="X211" s="20"/>
      <c r="Y211" s="18"/>
      <c r="Z211" s="18"/>
      <c r="AA211" s="21" t="n">
        <f aca="false">IF(U211&lt;&gt;"",(U211-Scoring!$B$3)/365.25,IF(N211="","",IF(N211&lt;Scoring!$B$12,"",(DATE(N211+Scoring!$B$13,12,31)-Scoring!$B$3)/365.25)))</f>
        <v>12.2464065708419</v>
      </c>
      <c r="AB211" s="22" t="n">
        <f aca="false">IF(T211="Y",0,IF(OR(D211="Expired (verified)",D211="Expiring: notice window (verified)",D211="Expiring: 10-yr horizon (verified)",D211="Past 30-yr mark (verify)",D211="30-yr mark: notice window (est.)",D211="Year-15 window"),1,0)+IF(ISNUMBER(O211),IF(O211&gt;=Scoring!$B$10,1,0),0)+IF(AND(ISNUMBER(L211),ISNUMBER(J211)),IF(J211&gt;0,IF(L211/J211&gt;=Scoring!$B$11,1,0),0),0)+IF(ISNUMBER(Z211),MIN(Z211,3),0))</f>
        <v>1</v>
      </c>
      <c r="AC211" s="22" t="n">
        <f aca="false">IF(AB211&gt;=3,Scoring!$C$24,IF(AB211=2,Scoring!$C$23,IF(AB211=1,Scoring!$C$22,0)))</f>
        <v>10</v>
      </c>
      <c r="AD211" s="22" t="n">
        <f aca="false">IF(T211="Y",0,IF(ISNUMBER(X211),IF(X211&gt;0.7,Scoring!$C$25,IF(X211&gt;=0.5,Scoring!$C$26,IF(X211&gt;=0.3,Scoring!$C$27,Scoring!$C$28))),Scoring!$C$29))</f>
        <v>10</v>
      </c>
      <c r="AE211" s="22" t="n">
        <f aca="false">IF(D211="Expiring: notice window (verified)",Scoring!$C$30,IF(OR(D211="Expired (verified)",D211="30-yr mark: notice window (est.)",D211="Year-15 window"),Scoring!$C$31,IF(D211="Expiring: 10-yr horizon (verified)",Scoring!$C$32,IF(D211="Past 30-yr mark (verify)",Scoring!$C$33,IF(OR(D211="Credit period",D211="Superseded record"),Scoring!$C$35,Scoring!$C$34)))))</f>
        <v>14</v>
      </c>
      <c r="AF211" s="22" t="n">
        <f aca="false">IF(T211="Y",0,IF(ISNUMBER(V211),IF(Scoring!$B$4-V211&gt;15,Scoring!$C$36,IF(Scoring!$B$4-V211&gt;=10,Scoring!$C$37,IF(Scoring!$B$4-V211&gt;=5,Scoring!$C$38,Scoring!$C$39))),IF(OR(N211="",D211="Out of program"),Scoring!$C$40,IF(O211&gt;15,Scoring!$C$36,IF(O211&gt;=10,Scoring!$C$37,IF(O211&gt;=5,Scoring!$C$38,Scoring!$C$39))))))</f>
        <v>15</v>
      </c>
      <c r="AG211" s="22" t="n">
        <f aca="false">IF(T211="Y",0,IF(Y211="Y",Scoring!$C$41,IF(ISNUMBER(O211),IF(O211&gt;=25,Scoring!$C$42,IF(O211&gt;=15,Scoring!$C$43,Scoring!$C$44)),Scoring!$C$44)))</f>
        <v>5</v>
      </c>
      <c r="AH211" s="22" t="n">
        <f aca="false">IF(T211="Y",0,IF(W211="",Scoring!$C$49,IFERROR(VLOOKUP(W211,Scoring!$B$45:$C$48,2,FALSE()),Scoring!$C$49)))</f>
        <v>5</v>
      </c>
      <c r="AI211" s="23" t="n">
        <f aca="false">C211+IF(ISNUMBER(J211),J211,0)/100000+(10000-ROW())/1000000000</f>
        <v>59.000509789</v>
      </c>
      <c r="AJ211" s="18"/>
      <c r="AK211" s="18"/>
      <c r="AL211" s="18"/>
      <c r="AM211" s="18"/>
    </row>
    <row r="212" customFormat="false" ht="15" hidden="false" customHeight="false" outlineLevel="0" collapsed="false">
      <c r="A212" s="15" t="n">
        <f aca="false">RANK(AI212,$AI$2:$AI$755)</f>
        <v>211</v>
      </c>
      <c r="B212" s="16" t="str">
        <f aca="false">IF(T212="Y","Superseded",IF(C212&gt;=Scoring!$B$16,"Immediate",IF(C212&gt;=Scoring!$B$17,"This week",IF(C212&gt;=Scoring!$B$18,"Nurture","Low"))))</f>
        <v>This week</v>
      </c>
      <c r="C212" s="3" t="n">
        <f aca="false">SUM(AC212:AH212)</f>
        <v>59</v>
      </c>
      <c r="D212" s="15" t="str">
        <f aca="false">IF(T212="Y","Superseded record",IF(AND(U212&lt;&gt;"",AA212&lt;0),"Expired (verified)",IF(AND(U212&lt;&gt;"",AA212&lt;=Scoring!$B$5),"Expiring: notice window (verified)",IF(AND(U212&lt;&gt;"",AA212&lt;=Scoring!$B$6),"Expiring: 10-yr horizon (verified)",IF(M212="No Longer Monitored","Out of program",IF(N212="","Unknown vintage",IF(N212&lt;Scoring!$B$12,"Pre-1990, still listed",IF(AND(U212="",AA212&lt;0),"Past 30-yr mark (verify)",IF(AND(U212="",AA212&lt;=Scoring!$B$5),"30-yr mark: notice window (est.)",IF(AND(O212&gt;=Scoring!$B$7,O212&lt;=Scoring!$B$8),"Year-15 window",IF(O212&gt;=Scoring!$B$9,"Recap window",IF(O212&gt;=11,"Late compliance","Credit period"))))))))))))</f>
        <v>Year-15 window</v>
      </c>
      <c r="E212" s="15" t="s">
        <v>891</v>
      </c>
      <c r="F212" s="15" t="s">
        <v>892</v>
      </c>
      <c r="G212" s="15" t="s">
        <v>893</v>
      </c>
      <c r="H212" s="15" t="s">
        <v>541</v>
      </c>
      <c r="I212" s="15" t="s">
        <v>542</v>
      </c>
      <c r="J212" s="15" t="n">
        <v>50</v>
      </c>
      <c r="K212" s="15" t="n">
        <v>50</v>
      </c>
      <c r="L212" s="15" t="n">
        <f aca="false">IF(OR(J212="",K212=""),"",MAX(J212-K212,0))</f>
        <v>0</v>
      </c>
      <c r="M212" s="15" t="s">
        <v>99</v>
      </c>
      <c r="N212" s="17" t="n">
        <v>2009</v>
      </c>
      <c r="O212" s="15" t="n">
        <f aca="false">IF(N212="","",Scoring!$B$4-N212)</f>
        <v>17</v>
      </c>
      <c r="P212" s="15" t="n">
        <f aca="false">IF(N212="","",N212+14)</f>
        <v>2023</v>
      </c>
      <c r="Q212" s="15" t="n">
        <f aca="false">IF(N212="","",IF(N212&lt;Scoring!$B$12,"n/a (pre-1990)",N212+Scoring!$B$13))</f>
        <v>2038</v>
      </c>
      <c r="R212" s="15" t="str">
        <f aca="false">IF(J212="","Unknown",IF(J212&gt;=5,"Yes","No (under 5 units)"))</f>
        <v>Yes</v>
      </c>
      <c r="S212" s="15"/>
      <c r="T212" s="18"/>
      <c r="U212" s="19"/>
      <c r="V212" s="18"/>
      <c r="W212" s="18"/>
      <c r="X212" s="20"/>
      <c r="Y212" s="18"/>
      <c r="Z212" s="18"/>
      <c r="AA212" s="21" t="n">
        <f aca="false">IF(U212&lt;&gt;"",(U212-Scoring!$B$3)/365.25,IF(N212="","",IF(N212&lt;Scoring!$B$12,"",(DATE(N212+Scoring!$B$13,12,31)-Scoring!$B$3)/365.25)))</f>
        <v>12.2464065708419</v>
      </c>
      <c r="AB212" s="22" t="n">
        <f aca="false">IF(T212="Y",0,IF(OR(D212="Expired (verified)",D212="Expiring: notice window (verified)",D212="Expiring: 10-yr horizon (verified)",D212="Past 30-yr mark (verify)",D212="30-yr mark: notice window (est.)",D212="Year-15 window"),1,0)+IF(ISNUMBER(O212),IF(O212&gt;=Scoring!$B$10,1,0),0)+IF(AND(ISNUMBER(L212),ISNUMBER(J212)),IF(J212&gt;0,IF(L212/J212&gt;=Scoring!$B$11,1,0),0),0)+IF(ISNUMBER(Z212),MIN(Z212,3),0))</f>
        <v>1</v>
      </c>
      <c r="AC212" s="22" t="n">
        <f aca="false">IF(AB212&gt;=3,Scoring!$C$24,IF(AB212=2,Scoring!$C$23,IF(AB212=1,Scoring!$C$22,0)))</f>
        <v>10</v>
      </c>
      <c r="AD212" s="22" t="n">
        <f aca="false">IF(T212="Y",0,IF(ISNUMBER(X212),IF(X212&gt;0.7,Scoring!$C$25,IF(X212&gt;=0.5,Scoring!$C$26,IF(X212&gt;=0.3,Scoring!$C$27,Scoring!$C$28))),Scoring!$C$29))</f>
        <v>10</v>
      </c>
      <c r="AE212" s="22" t="n">
        <f aca="false">IF(D212="Expiring: notice window (verified)",Scoring!$C$30,IF(OR(D212="Expired (verified)",D212="30-yr mark: notice window (est.)",D212="Year-15 window"),Scoring!$C$31,IF(D212="Expiring: 10-yr horizon (verified)",Scoring!$C$32,IF(D212="Past 30-yr mark (verify)",Scoring!$C$33,IF(OR(D212="Credit period",D212="Superseded record"),Scoring!$C$35,Scoring!$C$34)))))</f>
        <v>14</v>
      </c>
      <c r="AF212" s="22" t="n">
        <f aca="false">IF(T212="Y",0,IF(ISNUMBER(V212),IF(Scoring!$B$4-V212&gt;15,Scoring!$C$36,IF(Scoring!$B$4-V212&gt;=10,Scoring!$C$37,IF(Scoring!$B$4-V212&gt;=5,Scoring!$C$38,Scoring!$C$39))),IF(OR(N212="",D212="Out of program"),Scoring!$C$40,IF(O212&gt;15,Scoring!$C$36,IF(O212&gt;=10,Scoring!$C$37,IF(O212&gt;=5,Scoring!$C$38,Scoring!$C$39))))))</f>
        <v>15</v>
      </c>
      <c r="AG212" s="22" t="n">
        <f aca="false">IF(T212="Y",0,IF(Y212="Y",Scoring!$C$41,IF(ISNUMBER(O212),IF(O212&gt;=25,Scoring!$C$42,IF(O212&gt;=15,Scoring!$C$43,Scoring!$C$44)),Scoring!$C$44)))</f>
        <v>5</v>
      </c>
      <c r="AH212" s="22" t="n">
        <f aca="false">IF(T212="Y",0,IF(W212="",Scoring!$C$49,IFERROR(VLOOKUP(W212,Scoring!$B$45:$C$48,2,FALSE()),Scoring!$C$49)))</f>
        <v>5</v>
      </c>
      <c r="AI212" s="23" t="n">
        <f aca="false">C212+IF(ISNUMBER(J212),J212,0)/100000+(10000-ROW())/1000000000</f>
        <v>59.000509788</v>
      </c>
      <c r="AJ212" s="18"/>
      <c r="AK212" s="18"/>
      <c r="AL212" s="18"/>
      <c r="AM212" s="18"/>
    </row>
    <row r="213" customFormat="false" ht="15" hidden="false" customHeight="false" outlineLevel="0" collapsed="false">
      <c r="A213" s="15" t="n">
        <f aca="false">RANK(AI213,$AI$2:$AI$755)</f>
        <v>212</v>
      </c>
      <c r="B213" s="16" t="str">
        <f aca="false">IF(T213="Y","Superseded",IF(C213&gt;=Scoring!$B$16,"Immediate",IF(C213&gt;=Scoring!$B$17,"This week",IF(C213&gt;=Scoring!$B$18,"Nurture","Low"))))</f>
        <v>This week</v>
      </c>
      <c r="C213" s="3" t="n">
        <f aca="false">SUM(AC213:AH213)</f>
        <v>59</v>
      </c>
      <c r="D213" s="15" t="str">
        <f aca="false">IF(T213="Y","Superseded record",IF(AND(U213&lt;&gt;"",AA213&lt;0),"Expired (verified)",IF(AND(U213&lt;&gt;"",AA213&lt;=Scoring!$B$5),"Expiring: notice window (verified)",IF(AND(U213&lt;&gt;"",AA213&lt;=Scoring!$B$6),"Expiring: 10-yr horizon (verified)",IF(M213="No Longer Monitored","Out of program",IF(N213="","Unknown vintage",IF(N213&lt;Scoring!$B$12,"Pre-1990, still listed",IF(AND(U213="",AA213&lt;0),"Past 30-yr mark (verify)",IF(AND(U213="",AA213&lt;=Scoring!$B$5),"30-yr mark: notice window (est.)",IF(AND(O213&gt;=Scoring!$B$7,O213&lt;=Scoring!$B$8),"Year-15 window",IF(O213&gt;=Scoring!$B$9,"Recap window",IF(O213&gt;=11,"Late compliance","Credit period"))))))))))))</f>
        <v>Year-15 window</v>
      </c>
      <c r="E213" s="15" t="s">
        <v>894</v>
      </c>
      <c r="F213" s="15" t="s">
        <v>895</v>
      </c>
      <c r="G213" s="15" t="s">
        <v>896</v>
      </c>
      <c r="H213" s="15" t="s">
        <v>553</v>
      </c>
      <c r="I213" s="15" t="s">
        <v>554</v>
      </c>
      <c r="J213" s="15" t="n">
        <v>48</v>
      </c>
      <c r="K213" s="15" t="n">
        <v>48</v>
      </c>
      <c r="L213" s="15" t="n">
        <f aca="false">IF(OR(J213="",K213=""),"",MAX(J213-K213,0))</f>
        <v>0</v>
      </c>
      <c r="M213" s="15" t="s">
        <v>99</v>
      </c>
      <c r="N213" s="17" t="n">
        <v>2009</v>
      </c>
      <c r="O213" s="15" t="n">
        <f aca="false">IF(N213="","",Scoring!$B$4-N213)</f>
        <v>17</v>
      </c>
      <c r="P213" s="15" t="n">
        <f aca="false">IF(N213="","",N213+14)</f>
        <v>2023</v>
      </c>
      <c r="Q213" s="15" t="n">
        <f aca="false">IF(N213="","",IF(N213&lt;Scoring!$B$12,"n/a (pre-1990)",N213+Scoring!$B$13))</f>
        <v>2038</v>
      </c>
      <c r="R213" s="15" t="str">
        <f aca="false">IF(J213="","Unknown",IF(J213&gt;=5,"Yes","No (under 5 units)"))</f>
        <v>Yes</v>
      </c>
      <c r="S213" s="15"/>
      <c r="T213" s="18"/>
      <c r="U213" s="19"/>
      <c r="V213" s="18"/>
      <c r="W213" s="18"/>
      <c r="X213" s="20"/>
      <c r="Y213" s="18"/>
      <c r="Z213" s="18"/>
      <c r="AA213" s="21" t="n">
        <f aca="false">IF(U213&lt;&gt;"",(U213-Scoring!$B$3)/365.25,IF(N213="","",IF(N213&lt;Scoring!$B$12,"",(DATE(N213+Scoring!$B$13,12,31)-Scoring!$B$3)/365.25)))</f>
        <v>12.2464065708419</v>
      </c>
      <c r="AB213" s="22" t="n">
        <f aca="false">IF(T213="Y",0,IF(OR(D213="Expired (verified)",D213="Expiring: notice window (verified)",D213="Expiring: 10-yr horizon (verified)",D213="Past 30-yr mark (verify)",D213="30-yr mark: notice window (est.)",D213="Year-15 window"),1,0)+IF(ISNUMBER(O213),IF(O213&gt;=Scoring!$B$10,1,0),0)+IF(AND(ISNUMBER(L213),ISNUMBER(J213)),IF(J213&gt;0,IF(L213/J213&gt;=Scoring!$B$11,1,0),0),0)+IF(ISNUMBER(Z213),MIN(Z213,3),0))</f>
        <v>1</v>
      </c>
      <c r="AC213" s="22" t="n">
        <f aca="false">IF(AB213&gt;=3,Scoring!$C$24,IF(AB213=2,Scoring!$C$23,IF(AB213=1,Scoring!$C$22,0)))</f>
        <v>10</v>
      </c>
      <c r="AD213" s="22" t="n">
        <f aca="false">IF(T213="Y",0,IF(ISNUMBER(X213),IF(X213&gt;0.7,Scoring!$C$25,IF(X213&gt;=0.5,Scoring!$C$26,IF(X213&gt;=0.3,Scoring!$C$27,Scoring!$C$28))),Scoring!$C$29))</f>
        <v>10</v>
      </c>
      <c r="AE213" s="22" t="n">
        <f aca="false">IF(D213="Expiring: notice window (verified)",Scoring!$C$30,IF(OR(D213="Expired (verified)",D213="30-yr mark: notice window (est.)",D213="Year-15 window"),Scoring!$C$31,IF(D213="Expiring: 10-yr horizon (verified)",Scoring!$C$32,IF(D213="Past 30-yr mark (verify)",Scoring!$C$33,IF(OR(D213="Credit period",D213="Superseded record"),Scoring!$C$35,Scoring!$C$34)))))</f>
        <v>14</v>
      </c>
      <c r="AF213" s="22" t="n">
        <f aca="false">IF(T213="Y",0,IF(ISNUMBER(V213),IF(Scoring!$B$4-V213&gt;15,Scoring!$C$36,IF(Scoring!$B$4-V213&gt;=10,Scoring!$C$37,IF(Scoring!$B$4-V213&gt;=5,Scoring!$C$38,Scoring!$C$39))),IF(OR(N213="",D213="Out of program"),Scoring!$C$40,IF(O213&gt;15,Scoring!$C$36,IF(O213&gt;=10,Scoring!$C$37,IF(O213&gt;=5,Scoring!$C$38,Scoring!$C$39))))))</f>
        <v>15</v>
      </c>
      <c r="AG213" s="22" t="n">
        <f aca="false">IF(T213="Y",0,IF(Y213="Y",Scoring!$C$41,IF(ISNUMBER(O213),IF(O213&gt;=25,Scoring!$C$42,IF(O213&gt;=15,Scoring!$C$43,Scoring!$C$44)),Scoring!$C$44)))</f>
        <v>5</v>
      </c>
      <c r="AH213" s="22" t="n">
        <f aca="false">IF(T213="Y",0,IF(W213="",Scoring!$C$49,IFERROR(VLOOKUP(W213,Scoring!$B$45:$C$48,2,FALSE()),Scoring!$C$49)))</f>
        <v>5</v>
      </c>
      <c r="AI213" s="23" t="n">
        <f aca="false">C213+IF(ISNUMBER(J213),J213,0)/100000+(10000-ROW())/1000000000</f>
        <v>59.000489787</v>
      </c>
      <c r="AJ213" s="18"/>
      <c r="AK213" s="18"/>
      <c r="AL213" s="18"/>
      <c r="AM213" s="18"/>
    </row>
    <row r="214" customFormat="false" ht="15" hidden="false" customHeight="false" outlineLevel="0" collapsed="false">
      <c r="A214" s="15" t="n">
        <f aca="false">RANK(AI214,$AI$2:$AI$755)</f>
        <v>213</v>
      </c>
      <c r="B214" s="16" t="str">
        <f aca="false">IF(T214="Y","Superseded",IF(C214&gt;=Scoring!$B$16,"Immediate",IF(C214&gt;=Scoring!$B$17,"This week",IF(C214&gt;=Scoring!$B$18,"Nurture","Low"))))</f>
        <v>This week</v>
      </c>
      <c r="C214" s="3" t="n">
        <f aca="false">SUM(AC214:AH214)</f>
        <v>59</v>
      </c>
      <c r="D214" s="15" t="str">
        <f aca="false">IF(T214="Y","Superseded record",IF(AND(U214&lt;&gt;"",AA214&lt;0),"Expired (verified)",IF(AND(U214&lt;&gt;"",AA214&lt;=Scoring!$B$5),"Expiring: notice window (verified)",IF(AND(U214&lt;&gt;"",AA214&lt;=Scoring!$B$6),"Expiring: 10-yr horizon (verified)",IF(M214="No Longer Monitored","Out of program",IF(N214="","Unknown vintage",IF(N214&lt;Scoring!$B$12,"Pre-1990, still listed",IF(AND(U214="",AA214&lt;0),"Past 30-yr mark (verify)",IF(AND(U214="",AA214&lt;=Scoring!$B$5),"30-yr mark: notice window (est.)",IF(AND(O214&gt;=Scoring!$B$7,O214&lt;=Scoring!$B$8),"Year-15 window",IF(O214&gt;=Scoring!$B$9,"Recap window",IF(O214&gt;=11,"Late compliance","Credit period"))))))))))))</f>
        <v>Year-15 window</v>
      </c>
      <c r="E214" s="15" t="s">
        <v>897</v>
      </c>
      <c r="F214" s="15" t="s">
        <v>898</v>
      </c>
      <c r="G214" s="15" t="s">
        <v>899</v>
      </c>
      <c r="H214" s="15" t="s">
        <v>232</v>
      </c>
      <c r="I214" s="15" t="s">
        <v>233</v>
      </c>
      <c r="J214" s="15" t="n">
        <v>45</v>
      </c>
      <c r="K214" s="15" t="n">
        <v>45</v>
      </c>
      <c r="L214" s="15" t="n">
        <f aca="false">IF(OR(J214="",K214=""),"",MAX(J214-K214,0))</f>
        <v>0</v>
      </c>
      <c r="M214" s="15" t="s">
        <v>99</v>
      </c>
      <c r="N214" s="17" t="n">
        <v>2010</v>
      </c>
      <c r="O214" s="15" t="n">
        <f aca="false">IF(N214="","",Scoring!$B$4-N214)</f>
        <v>16</v>
      </c>
      <c r="P214" s="15" t="n">
        <f aca="false">IF(N214="","",N214+14)</f>
        <v>2024</v>
      </c>
      <c r="Q214" s="15" t="n">
        <f aca="false">IF(N214="","",IF(N214&lt;Scoring!$B$12,"n/a (pre-1990)",N214+Scoring!$B$13))</f>
        <v>2039</v>
      </c>
      <c r="R214" s="15" t="str">
        <f aca="false">IF(J214="","Unknown",IF(J214&gt;=5,"Yes","No (under 5 units)"))</f>
        <v>Yes</v>
      </c>
      <c r="S214" s="15"/>
      <c r="T214" s="18"/>
      <c r="U214" s="19"/>
      <c r="V214" s="18"/>
      <c r="W214" s="18"/>
      <c r="X214" s="20"/>
      <c r="Y214" s="18"/>
      <c r="Z214" s="18"/>
      <c r="AA214" s="21" t="n">
        <f aca="false">IF(U214&lt;&gt;"",(U214-Scoring!$B$3)/365.25,IF(N214="","",IF(N214&lt;Scoring!$B$12,"",(DATE(N214+Scoring!$B$13,12,31)-Scoring!$B$3)/365.25)))</f>
        <v>13.2457221081451</v>
      </c>
      <c r="AB214" s="22" t="n">
        <f aca="false">IF(T214="Y",0,IF(OR(D214="Expired (verified)",D214="Expiring: notice window (verified)",D214="Expiring: 10-yr horizon (verified)",D214="Past 30-yr mark (verify)",D214="30-yr mark: notice window (est.)",D214="Year-15 window"),1,0)+IF(ISNUMBER(O214),IF(O214&gt;=Scoring!$B$10,1,0),0)+IF(AND(ISNUMBER(L214),ISNUMBER(J214)),IF(J214&gt;0,IF(L214/J214&gt;=Scoring!$B$11,1,0),0),0)+IF(ISNUMBER(Z214),MIN(Z214,3),0))</f>
        <v>1</v>
      </c>
      <c r="AC214" s="22" t="n">
        <f aca="false">IF(AB214&gt;=3,Scoring!$C$24,IF(AB214=2,Scoring!$C$23,IF(AB214=1,Scoring!$C$22,0)))</f>
        <v>10</v>
      </c>
      <c r="AD214" s="22" t="n">
        <f aca="false">IF(T214="Y",0,IF(ISNUMBER(X214),IF(X214&gt;0.7,Scoring!$C$25,IF(X214&gt;=0.5,Scoring!$C$26,IF(X214&gt;=0.3,Scoring!$C$27,Scoring!$C$28))),Scoring!$C$29))</f>
        <v>10</v>
      </c>
      <c r="AE214" s="22" t="n">
        <f aca="false">IF(D214="Expiring: notice window (verified)",Scoring!$C$30,IF(OR(D214="Expired (verified)",D214="30-yr mark: notice window (est.)",D214="Year-15 window"),Scoring!$C$31,IF(D214="Expiring: 10-yr horizon (verified)",Scoring!$C$32,IF(D214="Past 30-yr mark (verify)",Scoring!$C$33,IF(OR(D214="Credit period",D214="Superseded record"),Scoring!$C$35,Scoring!$C$34)))))</f>
        <v>14</v>
      </c>
      <c r="AF214" s="22" t="n">
        <f aca="false">IF(T214="Y",0,IF(ISNUMBER(V214),IF(Scoring!$B$4-V214&gt;15,Scoring!$C$36,IF(Scoring!$B$4-V214&gt;=10,Scoring!$C$37,IF(Scoring!$B$4-V214&gt;=5,Scoring!$C$38,Scoring!$C$39))),IF(OR(N214="",D214="Out of program"),Scoring!$C$40,IF(O214&gt;15,Scoring!$C$36,IF(O214&gt;=10,Scoring!$C$37,IF(O214&gt;=5,Scoring!$C$38,Scoring!$C$39))))))</f>
        <v>15</v>
      </c>
      <c r="AG214" s="22" t="n">
        <f aca="false">IF(T214="Y",0,IF(Y214="Y",Scoring!$C$41,IF(ISNUMBER(O214),IF(O214&gt;=25,Scoring!$C$42,IF(O214&gt;=15,Scoring!$C$43,Scoring!$C$44)),Scoring!$C$44)))</f>
        <v>5</v>
      </c>
      <c r="AH214" s="22" t="n">
        <f aca="false">IF(T214="Y",0,IF(W214="",Scoring!$C$49,IFERROR(VLOOKUP(W214,Scoring!$B$45:$C$48,2,FALSE()),Scoring!$C$49)))</f>
        <v>5</v>
      </c>
      <c r="AI214" s="23" t="n">
        <f aca="false">C214+IF(ISNUMBER(J214),J214,0)/100000+(10000-ROW())/1000000000</f>
        <v>59.000459786</v>
      </c>
      <c r="AJ214" s="18"/>
      <c r="AK214" s="18"/>
      <c r="AL214" s="18"/>
      <c r="AM214" s="18"/>
    </row>
    <row r="215" customFormat="false" ht="15" hidden="false" customHeight="false" outlineLevel="0" collapsed="false">
      <c r="A215" s="15" t="n">
        <f aca="false">RANK(AI215,$AI$2:$AI$755)</f>
        <v>214</v>
      </c>
      <c r="B215" s="16" t="str">
        <f aca="false">IF(T215="Y","Superseded",IF(C215&gt;=Scoring!$B$16,"Immediate",IF(C215&gt;=Scoring!$B$17,"This week",IF(C215&gt;=Scoring!$B$18,"Nurture","Low"))))</f>
        <v>This week</v>
      </c>
      <c r="C215" s="3" t="n">
        <f aca="false">SUM(AC215:AH215)</f>
        <v>59</v>
      </c>
      <c r="D215" s="15" t="str">
        <f aca="false">IF(T215="Y","Superseded record",IF(AND(U215&lt;&gt;"",AA215&lt;0),"Expired (verified)",IF(AND(U215&lt;&gt;"",AA215&lt;=Scoring!$B$5),"Expiring: notice window (verified)",IF(AND(U215&lt;&gt;"",AA215&lt;=Scoring!$B$6),"Expiring: 10-yr horizon (verified)",IF(M215="No Longer Monitored","Out of program",IF(N215="","Unknown vintage",IF(N215&lt;Scoring!$B$12,"Pre-1990, still listed",IF(AND(U215="",AA215&lt;0),"Past 30-yr mark (verify)",IF(AND(U215="",AA215&lt;=Scoring!$B$5),"30-yr mark: notice window (est.)",IF(AND(O215&gt;=Scoring!$B$7,O215&lt;=Scoring!$B$8),"Year-15 window",IF(O215&gt;=Scoring!$B$9,"Recap window",IF(O215&gt;=11,"Late compliance","Credit period"))))))))))))</f>
        <v>Year-15 window</v>
      </c>
      <c r="E215" s="15" t="s">
        <v>900</v>
      </c>
      <c r="F215" s="15" t="s">
        <v>901</v>
      </c>
      <c r="G215" s="15" t="s">
        <v>902</v>
      </c>
      <c r="H215" s="15" t="s">
        <v>477</v>
      </c>
      <c r="I215" s="15" t="s">
        <v>478</v>
      </c>
      <c r="J215" s="15" t="n">
        <v>44</v>
      </c>
      <c r="K215" s="15" t="n">
        <v>43</v>
      </c>
      <c r="L215" s="15" t="n">
        <f aca="false">IF(OR(J215="",K215=""),"",MAX(J215-K215,0))</f>
        <v>1</v>
      </c>
      <c r="M215" s="15" t="s">
        <v>99</v>
      </c>
      <c r="N215" s="17" t="n">
        <v>2010</v>
      </c>
      <c r="O215" s="15" t="n">
        <f aca="false">IF(N215="","",Scoring!$B$4-N215)</f>
        <v>16</v>
      </c>
      <c r="P215" s="15" t="n">
        <f aca="false">IF(N215="","",N215+14)</f>
        <v>2024</v>
      </c>
      <c r="Q215" s="15" t="n">
        <f aca="false">IF(N215="","",IF(N215&lt;Scoring!$B$12,"n/a (pre-1990)",N215+Scoring!$B$13))</f>
        <v>2039</v>
      </c>
      <c r="R215" s="15" t="str">
        <f aca="false">IF(J215="","Unknown",IF(J215&gt;=5,"Yes","No (under 5 units)"))</f>
        <v>Yes</v>
      </c>
      <c r="S215" s="15"/>
      <c r="T215" s="18"/>
      <c r="U215" s="19"/>
      <c r="V215" s="18"/>
      <c r="W215" s="18"/>
      <c r="X215" s="20"/>
      <c r="Y215" s="18"/>
      <c r="Z215" s="18"/>
      <c r="AA215" s="21" t="n">
        <f aca="false">IF(U215&lt;&gt;"",(U215-Scoring!$B$3)/365.25,IF(N215="","",IF(N215&lt;Scoring!$B$12,"",(DATE(N215+Scoring!$B$13,12,31)-Scoring!$B$3)/365.25)))</f>
        <v>13.2457221081451</v>
      </c>
      <c r="AB215" s="22" t="n">
        <f aca="false">IF(T215="Y",0,IF(OR(D215="Expired (verified)",D215="Expiring: notice window (verified)",D215="Expiring: 10-yr horizon (verified)",D215="Past 30-yr mark (verify)",D215="30-yr mark: notice window (est.)",D215="Year-15 window"),1,0)+IF(ISNUMBER(O215),IF(O215&gt;=Scoring!$B$10,1,0),0)+IF(AND(ISNUMBER(L215),ISNUMBER(J215)),IF(J215&gt;0,IF(L215/J215&gt;=Scoring!$B$11,1,0),0),0)+IF(ISNUMBER(Z215),MIN(Z215,3),0))</f>
        <v>1</v>
      </c>
      <c r="AC215" s="22" t="n">
        <f aca="false">IF(AB215&gt;=3,Scoring!$C$24,IF(AB215=2,Scoring!$C$23,IF(AB215=1,Scoring!$C$22,0)))</f>
        <v>10</v>
      </c>
      <c r="AD215" s="22" t="n">
        <f aca="false">IF(T215="Y",0,IF(ISNUMBER(X215),IF(X215&gt;0.7,Scoring!$C$25,IF(X215&gt;=0.5,Scoring!$C$26,IF(X215&gt;=0.3,Scoring!$C$27,Scoring!$C$28))),Scoring!$C$29))</f>
        <v>10</v>
      </c>
      <c r="AE215" s="22" t="n">
        <f aca="false">IF(D215="Expiring: notice window (verified)",Scoring!$C$30,IF(OR(D215="Expired (verified)",D215="30-yr mark: notice window (est.)",D215="Year-15 window"),Scoring!$C$31,IF(D215="Expiring: 10-yr horizon (verified)",Scoring!$C$32,IF(D215="Past 30-yr mark (verify)",Scoring!$C$33,IF(OR(D215="Credit period",D215="Superseded record"),Scoring!$C$35,Scoring!$C$34)))))</f>
        <v>14</v>
      </c>
      <c r="AF215" s="22" t="n">
        <f aca="false">IF(T215="Y",0,IF(ISNUMBER(V215),IF(Scoring!$B$4-V215&gt;15,Scoring!$C$36,IF(Scoring!$B$4-V215&gt;=10,Scoring!$C$37,IF(Scoring!$B$4-V215&gt;=5,Scoring!$C$38,Scoring!$C$39))),IF(OR(N215="",D215="Out of program"),Scoring!$C$40,IF(O215&gt;15,Scoring!$C$36,IF(O215&gt;=10,Scoring!$C$37,IF(O215&gt;=5,Scoring!$C$38,Scoring!$C$39))))))</f>
        <v>15</v>
      </c>
      <c r="AG215" s="22" t="n">
        <f aca="false">IF(T215="Y",0,IF(Y215="Y",Scoring!$C$41,IF(ISNUMBER(O215),IF(O215&gt;=25,Scoring!$C$42,IF(O215&gt;=15,Scoring!$C$43,Scoring!$C$44)),Scoring!$C$44)))</f>
        <v>5</v>
      </c>
      <c r="AH215" s="22" t="n">
        <f aca="false">IF(T215="Y",0,IF(W215="",Scoring!$C$49,IFERROR(VLOOKUP(W215,Scoring!$B$45:$C$48,2,FALSE()),Scoring!$C$49)))</f>
        <v>5</v>
      </c>
      <c r="AI215" s="23" t="n">
        <f aca="false">C215+IF(ISNUMBER(J215),J215,0)/100000+(10000-ROW())/1000000000</f>
        <v>59.000449785</v>
      </c>
      <c r="AJ215" s="18"/>
      <c r="AK215" s="18"/>
      <c r="AL215" s="18"/>
      <c r="AM215" s="18"/>
    </row>
    <row r="216" customFormat="false" ht="15" hidden="false" customHeight="false" outlineLevel="0" collapsed="false">
      <c r="A216" s="15" t="n">
        <f aca="false">RANK(AI216,$AI$2:$AI$755)</f>
        <v>215</v>
      </c>
      <c r="B216" s="16" t="str">
        <f aca="false">IF(T216="Y","Superseded",IF(C216&gt;=Scoring!$B$16,"Immediate",IF(C216&gt;=Scoring!$B$17,"This week",IF(C216&gt;=Scoring!$B$18,"Nurture","Low"))))</f>
        <v>This week</v>
      </c>
      <c r="C216" s="3" t="n">
        <f aca="false">SUM(AC216:AH216)</f>
        <v>59</v>
      </c>
      <c r="D216" s="15" t="str">
        <f aca="false">IF(T216="Y","Superseded record",IF(AND(U216&lt;&gt;"",AA216&lt;0),"Expired (verified)",IF(AND(U216&lt;&gt;"",AA216&lt;=Scoring!$B$5),"Expiring: notice window (verified)",IF(AND(U216&lt;&gt;"",AA216&lt;=Scoring!$B$6),"Expiring: 10-yr horizon (verified)",IF(M216="No Longer Monitored","Out of program",IF(N216="","Unknown vintage",IF(N216&lt;Scoring!$B$12,"Pre-1990, still listed",IF(AND(U216="",AA216&lt;0),"Past 30-yr mark (verify)",IF(AND(U216="",AA216&lt;=Scoring!$B$5),"30-yr mark: notice window (est.)",IF(AND(O216&gt;=Scoring!$B$7,O216&lt;=Scoring!$B$8),"Year-15 window",IF(O216&gt;=Scoring!$B$9,"Recap window",IF(O216&gt;=11,"Late compliance","Credit period"))))))))))))</f>
        <v>Year-15 window</v>
      </c>
      <c r="E216" s="15" t="s">
        <v>903</v>
      </c>
      <c r="F216" s="15" t="s">
        <v>904</v>
      </c>
      <c r="G216" s="15" t="s">
        <v>905</v>
      </c>
      <c r="H216" s="15" t="s">
        <v>906</v>
      </c>
      <c r="I216" s="15" t="s">
        <v>907</v>
      </c>
      <c r="J216" s="15" t="n">
        <v>42</v>
      </c>
      <c r="K216" s="15" t="n">
        <v>41</v>
      </c>
      <c r="L216" s="15" t="n">
        <f aca="false">IF(OR(J216="",K216=""),"",MAX(J216-K216,0))</f>
        <v>1</v>
      </c>
      <c r="M216" s="15" t="s">
        <v>99</v>
      </c>
      <c r="N216" s="17" t="n">
        <v>2010</v>
      </c>
      <c r="O216" s="15" t="n">
        <f aca="false">IF(N216="","",Scoring!$B$4-N216)</f>
        <v>16</v>
      </c>
      <c r="P216" s="15" t="n">
        <f aca="false">IF(N216="","",N216+14)</f>
        <v>2024</v>
      </c>
      <c r="Q216" s="15" t="n">
        <f aca="false">IF(N216="","",IF(N216&lt;Scoring!$B$12,"n/a (pre-1990)",N216+Scoring!$B$13))</f>
        <v>2039</v>
      </c>
      <c r="R216" s="15" t="str">
        <f aca="false">IF(J216="","Unknown",IF(J216&gt;=5,"Yes","No (under 5 units)"))</f>
        <v>Yes</v>
      </c>
      <c r="S216" s="15"/>
      <c r="T216" s="18"/>
      <c r="U216" s="19"/>
      <c r="V216" s="18"/>
      <c r="W216" s="18"/>
      <c r="X216" s="20"/>
      <c r="Y216" s="18"/>
      <c r="Z216" s="18"/>
      <c r="AA216" s="21" t="n">
        <f aca="false">IF(U216&lt;&gt;"",(U216-Scoring!$B$3)/365.25,IF(N216="","",IF(N216&lt;Scoring!$B$12,"",(DATE(N216+Scoring!$B$13,12,31)-Scoring!$B$3)/365.25)))</f>
        <v>13.2457221081451</v>
      </c>
      <c r="AB216" s="22" t="n">
        <f aca="false">IF(T216="Y",0,IF(OR(D216="Expired (verified)",D216="Expiring: notice window (verified)",D216="Expiring: 10-yr horizon (verified)",D216="Past 30-yr mark (verify)",D216="30-yr mark: notice window (est.)",D216="Year-15 window"),1,0)+IF(ISNUMBER(O216),IF(O216&gt;=Scoring!$B$10,1,0),0)+IF(AND(ISNUMBER(L216),ISNUMBER(J216)),IF(J216&gt;0,IF(L216/J216&gt;=Scoring!$B$11,1,0),0),0)+IF(ISNUMBER(Z216),MIN(Z216,3),0))</f>
        <v>1</v>
      </c>
      <c r="AC216" s="22" t="n">
        <f aca="false">IF(AB216&gt;=3,Scoring!$C$24,IF(AB216=2,Scoring!$C$23,IF(AB216=1,Scoring!$C$22,0)))</f>
        <v>10</v>
      </c>
      <c r="AD216" s="22" t="n">
        <f aca="false">IF(T216="Y",0,IF(ISNUMBER(X216),IF(X216&gt;0.7,Scoring!$C$25,IF(X216&gt;=0.5,Scoring!$C$26,IF(X216&gt;=0.3,Scoring!$C$27,Scoring!$C$28))),Scoring!$C$29))</f>
        <v>10</v>
      </c>
      <c r="AE216" s="22" t="n">
        <f aca="false">IF(D216="Expiring: notice window (verified)",Scoring!$C$30,IF(OR(D216="Expired (verified)",D216="30-yr mark: notice window (est.)",D216="Year-15 window"),Scoring!$C$31,IF(D216="Expiring: 10-yr horizon (verified)",Scoring!$C$32,IF(D216="Past 30-yr mark (verify)",Scoring!$C$33,IF(OR(D216="Credit period",D216="Superseded record"),Scoring!$C$35,Scoring!$C$34)))))</f>
        <v>14</v>
      </c>
      <c r="AF216" s="22" t="n">
        <f aca="false">IF(T216="Y",0,IF(ISNUMBER(V216),IF(Scoring!$B$4-V216&gt;15,Scoring!$C$36,IF(Scoring!$B$4-V216&gt;=10,Scoring!$C$37,IF(Scoring!$B$4-V216&gt;=5,Scoring!$C$38,Scoring!$C$39))),IF(OR(N216="",D216="Out of program"),Scoring!$C$40,IF(O216&gt;15,Scoring!$C$36,IF(O216&gt;=10,Scoring!$C$37,IF(O216&gt;=5,Scoring!$C$38,Scoring!$C$39))))))</f>
        <v>15</v>
      </c>
      <c r="AG216" s="22" t="n">
        <f aca="false">IF(T216="Y",0,IF(Y216="Y",Scoring!$C$41,IF(ISNUMBER(O216),IF(O216&gt;=25,Scoring!$C$42,IF(O216&gt;=15,Scoring!$C$43,Scoring!$C$44)),Scoring!$C$44)))</f>
        <v>5</v>
      </c>
      <c r="AH216" s="22" t="n">
        <f aca="false">IF(T216="Y",0,IF(W216="",Scoring!$C$49,IFERROR(VLOOKUP(W216,Scoring!$B$45:$C$48,2,FALSE()),Scoring!$C$49)))</f>
        <v>5</v>
      </c>
      <c r="AI216" s="23" t="n">
        <f aca="false">C216+IF(ISNUMBER(J216),J216,0)/100000+(10000-ROW())/1000000000</f>
        <v>59.000429784</v>
      </c>
      <c r="AJ216" s="18"/>
      <c r="AK216" s="18"/>
      <c r="AL216" s="18"/>
      <c r="AM216" s="18"/>
    </row>
    <row r="217" customFormat="false" ht="15" hidden="false" customHeight="false" outlineLevel="0" collapsed="false">
      <c r="A217" s="15" t="n">
        <f aca="false">RANK(AI217,$AI$2:$AI$755)</f>
        <v>216</v>
      </c>
      <c r="B217" s="16" t="str">
        <f aca="false">IF(T217="Y","Superseded",IF(C217&gt;=Scoring!$B$16,"Immediate",IF(C217&gt;=Scoring!$B$17,"This week",IF(C217&gt;=Scoring!$B$18,"Nurture","Low"))))</f>
        <v>This week</v>
      </c>
      <c r="C217" s="3" t="n">
        <f aca="false">SUM(AC217:AH217)</f>
        <v>59</v>
      </c>
      <c r="D217" s="15" t="str">
        <f aca="false">IF(T217="Y","Superseded record",IF(AND(U217&lt;&gt;"",AA217&lt;0),"Expired (verified)",IF(AND(U217&lt;&gt;"",AA217&lt;=Scoring!$B$5),"Expiring: notice window (verified)",IF(AND(U217&lt;&gt;"",AA217&lt;=Scoring!$B$6),"Expiring: 10-yr horizon (verified)",IF(M217="No Longer Monitored","Out of program",IF(N217="","Unknown vintage",IF(N217&lt;Scoring!$B$12,"Pre-1990, still listed",IF(AND(U217="",AA217&lt;0),"Past 30-yr mark (verify)",IF(AND(U217="",AA217&lt;=Scoring!$B$5),"30-yr mark: notice window (est.)",IF(AND(O217&gt;=Scoring!$B$7,O217&lt;=Scoring!$B$8),"Year-15 window",IF(O217&gt;=Scoring!$B$9,"Recap window",IF(O217&gt;=11,"Late compliance","Credit period"))))))))))))</f>
        <v>Year-15 window</v>
      </c>
      <c r="E217" s="15" t="s">
        <v>908</v>
      </c>
      <c r="F217" s="15" t="s">
        <v>909</v>
      </c>
      <c r="G217" s="15" t="s">
        <v>887</v>
      </c>
      <c r="H217" s="15" t="s">
        <v>888</v>
      </c>
      <c r="I217" s="15" t="s">
        <v>889</v>
      </c>
      <c r="J217" s="15" t="n">
        <v>40</v>
      </c>
      <c r="K217" s="15" t="n">
        <v>40</v>
      </c>
      <c r="L217" s="15" t="n">
        <f aca="false">IF(OR(J217="",K217=""),"",MAX(J217-K217,0))</f>
        <v>0</v>
      </c>
      <c r="M217" s="15" t="s">
        <v>99</v>
      </c>
      <c r="N217" s="17" t="n">
        <v>2009</v>
      </c>
      <c r="O217" s="15" t="n">
        <f aca="false">IF(N217="","",Scoring!$B$4-N217)</f>
        <v>17</v>
      </c>
      <c r="P217" s="15" t="n">
        <f aca="false">IF(N217="","",N217+14)</f>
        <v>2023</v>
      </c>
      <c r="Q217" s="15" t="n">
        <f aca="false">IF(N217="","",IF(N217&lt;Scoring!$B$12,"n/a (pre-1990)",N217+Scoring!$B$13))</f>
        <v>2038</v>
      </c>
      <c r="R217" s="15" t="str">
        <f aca="false">IF(J217="","Unknown",IF(J217&gt;=5,"Yes","No (under 5 units)"))</f>
        <v>Yes</v>
      </c>
      <c r="S217" s="15" t="s">
        <v>910</v>
      </c>
      <c r="T217" s="18"/>
      <c r="U217" s="19"/>
      <c r="V217" s="18"/>
      <c r="W217" s="18"/>
      <c r="X217" s="20"/>
      <c r="Y217" s="18"/>
      <c r="Z217" s="18"/>
      <c r="AA217" s="21" t="n">
        <f aca="false">IF(U217&lt;&gt;"",(U217-Scoring!$B$3)/365.25,IF(N217="","",IF(N217&lt;Scoring!$B$12,"",(DATE(N217+Scoring!$B$13,12,31)-Scoring!$B$3)/365.25)))</f>
        <v>12.2464065708419</v>
      </c>
      <c r="AB217" s="22" t="n">
        <f aca="false">IF(T217="Y",0,IF(OR(D217="Expired (verified)",D217="Expiring: notice window (verified)",D217="Expiring: 10-yr horizon (verified)",D217="Past 30-yr mark (verify)",D217="30-yr mark: notice window (est.)",D217="Year-15 window"),1,0)+IF(ISNUMBER(O217),IF(O217&gt;=Scoring!$B$10,1,0),0)+IF(AND(ISNUMBER(L217),ISNUMBER(J217)),IF(J217&gt;0,IF(L217/J217&gt;=Scoring!$B$11,1,0),0),0)+IF(ISNUMBER(Z217),MIN(Z217,3),0))</f>
        <v>1</v>
      </c>
      <c r="AC217" s="22" t="n">
        <f aca="false">IF(AB217&gt;=3,Scoring!$C$24,IF(AB217=2,Scoring!$C$23,IF(AB217=1,Scoring!$C$22,0)))</f>
        <v>10</v>
      </c>
      <c r="AD217" s="22" t="n">
        <f aca="false">IF(T217="Y",0,IF(ISNUMBER(X217),IF(X217&gt;0.7,Scoring!$C$25,IF(X217&gt;=0.5,Scoring!$C$26,IF(X217&gt;=0.3,Scoring!$C$27,Scoring!$C$28))),Scoring!$C$29))</f>
        <v>10</v>
      </c>
      <c r="AE217" s="22" t="n">
        <f aca="false">IF(D217="Expiring: notice window (verified)",Scoring!$C$30,IF(OR(D217="Expired (verified)",D217="30-yr mark: notice window (est.)",D217="Year-15 window"),Scoring!$C$31,IF(D217="Expiring: 10-yr horizon (verified)",Scoring!$C$32,IF(D217="Past 30-yr mark (verify)",Scoring!$C$33,IF(OR(D217="Credit period",D217="Superseded record"),Scoring!$C$35,Scoring!$C$34)))))</f>
        <v>14</v>
      </c>
      <c r="AF217" s="22" t="n">
        <f aca="false">IF(T217="Y",0,IF(ISNUMBER(V217),IF(Scoring!$B$4-V217&gt;15,Scoring!$C$36,IF(Scoring!$B$4-V217&gt;=10,Scoring!$C$37,IF(Scoring!$B$4-V217&gt;=5,Scoring!$C$38,Scoring!$C$39))),IF(OR(N217="",D217="Out of program"),Scoring!$C$40,IF(O217&gt;15,Scoring!$C$36,IF(O217&gt;=10,Scoring!$C$37,IF(O217&gt;=5,Scoring!$C$38,Scoring!$C$39))))))</f>
        <v>15</v>
      </c>
      <c r="AG217" s="22" t="n">
        <f aca="false">IF(T217="Y",0,IF(Y217="Y",Scoring!$C$41,IF(ISNUMBER(O217),IF(O217&gt;=25,Scoring!$C$42,IF(O217&gt;=15,Scoring!$C$43,Scoring!$C$44)),Scoring!$C$44)))</f>
        <v>5</v>
      </c>
      <c r="AH217" s="22" t="n">
        <f aca="false">IF(T217="Y",0,IF(W217="",Scoring!$C$49,IFERROR(VLOOKUP(W217,Scoring!$B$45:$C$48,2,FALSE()),Scoring!$C$49)))</f>
        <v>5</v>
      </c>
      <c r="AI217" s="23" t="n">
        <f aca="false">C217+IF(ISNUMBER(J217),J217,0)/100000+(10000-ROW())/1000000000</f>
        <v>59.000409783</v>
      </c>
      <c r="AJ217" s="18"/>
      <c r="AK217" s="18"/>
      <c r="AL217" s="18"/>
      <c r="AM217" s="18"/>
    </row>
    <row r="218" customFormat="false" ht="15" hidden="false" customHeight="false" outlineLevel="0" collapsed="false">
      <c r="A218" s="15" t="n">
        <f aca="false">RANK(AI218,$AI$2:$AI$755)</f>
        <v>217</v>
      </c>
      <c r="B218" s="16" t="str">
        <f aca="false">IF(T218="Y","Superseded",IF(C218&gt;=Scoring!$B$16,"Immediate",IF(C218&gt;=Scoring!$B$17,"This week",IF(C218&gt;=Scoring!$B$18,"Nurture","Low"))))</f>
        <v>This week</v>
      </c>
      <c r="C218" s="3" t="n">
        <f aca="false">SUM(AC218:AH218)</f>
        <v>59</v>
      </c>
      <c r="D218" s="15" t="str">
        <f aca="false">IF(T218="Y","Superseded record",IF(AND(U218&lt;&gt;"",AA218&lt;0),"Expired (verified)",IF(AND(U218&lt;&gt;"",AA218&lt;=Scoring!$B$5),"Expiring: notice window (verified)",IF(AND(U218&lt;&gt;"",AA218&lt;=Scoring!$B$6),"Expiring: 10-yr horizon (verified)",IF(M218="No Longer Monitored","Out of program",IF(N218="","Unknown vintage",IF(N218&lt;Scoring!$B$12,"Pre-1990, still listed",IF(AND(U218="",AA218&lt;0),"Past 30-yr mark (verify)",IF(AND(U218="",AA218&lt;=Scoring!$B$5),"30-yr mark: notice window (est.)",IF(AND(O218&gt;=Scoring!$B$7,O218&lt;=Scoring!$B$8),"Year-15 window",IF(O218&gt;=Scoring!$B$9,"Recap window",IF(O218&gt;=11,"Late compliance","Credit period"))))))))))))</f>
        <v>Year-15 window</v>
      </c>
      <c r="E218" s="15" t="s">
        <v>911</v>
      </c>
      <c r="F218" s="15" t="s">
        <v>912</v>
      </c>
      <c r="G218" s="15" t="s">
        <v>913</v>
      </c>
      <c r="H218" s="15" t="s">
        <v>423</v>
      </c>
      <c r="I218" s="15" t="s">
        <v>424</v>
      </c>
      <c r="J218" s="15" t="n">
        <v>40</v>
      </c>
      <c r="K218" s="15" t="n">
        <v>40</v>
      </c>
      <c r="L218" s="15" t="n">
        <f aca="false">IF(OR(J218="",K218=""),"",MAX(J218-K218,0))</f>
        <v>0</v>
      </c>
      <c r="M218" s="15" t="s">
        <v>99</v>
      </c>
      <c r="N218" s="17" t="n">
        <v>2009</v>
      </c>
      <c r="O218" s="15" t="n">
        <f aca="false">IF(N218="","",Scoring!$B$4-N218)</f>
        <v>17</v>
      </c>
      <c r="P218" s="15" t="n">
        <f aca="false">IF(N218="","",N218+14)</f>
        <v>2023</v>
      </c>
      <c r="Q218" s="15" t="n">
        <f aca="false">IF(N218="","",IF(N218&lt;Scoring!$B$12,"n/a (pre-1990)",N218+Scoring!$B$13))</f>
        <v>2038</v>
      </c>
      <c r="R218" s="15" t="str">
        <f aca="false">IF(J218="","Unknown",IF(J218&gt;=5,"Yes","No (under 5 units)"))</f>
        <v>Yes</v>
      </c>
      <c r="S218" s="15"/>
      <c r="T218" s="18"/>
      <c r="U218" s="19"/>
      <c r="V218" s="18"/>
      <c r="W218" s="18"/>
      <c r="X218" s="20"/>
      <c r="Y218" s="18"/>
      <c r="Z218" s="18"/>
      <c r="AA218" s="21" t="n">
        <f aca="false">IF(U218&lt;&gt;"",(U218-Scoring!$B$3)/365.25,IF(N218="","",IF(N218&lt;Scoring!$B$12,"",(DATE(N218+Scoring!$B$13,12,31)-Scoring!$B$3)/365.25)))</f>
        <v>12.2464065708419</v>
      </c>
      <c r="AB218" s="22" t="n">
        <f aca="false">IF(T218="Y",0,IF(OR(D218="Expired (verified)",D218="Expiring: notice window (verified)",D218="Expiring: 10-yr horizon (verified)",D218="Past 30-yr mark (verify)",D218="30-yr mark: notice window (est.)",D218="Year-15 window"),1,0)+IF(ISNUMBER(O218),IF(O218&gt;=Scoring!$B$10,1,0),0)+IF(AND(ISNUMBER(L218),ISNUMBER(J218)),IF(J218&gt;0,IF(L218/J218&gt;=Scoring!$B$11,1,0),0),0)+IF(ISNUMBER(Z218),MIN(Z218,3),0))</f>
        <v>1</v>
      </c>
      <c r="AC218" s="22" t="n">
        <f aca="false">IF(AB218&gt;=3,Scoring!$C$24,IF(AB218=2,Scoring!$C$23,IF(AB218=1,Scoring!$C$22,0)))</f>
        <v>10</v>
      </c>
      <c r="AD218" s="22" t="n">
        <f aca="false">IF(T218="Y",0,IF(ISNUMBER(X218),IF(X218&gt;0.7,Scoring!$C$25,IF(X218&gt;=0.5,Scoring!$C$26,IF(X218&gt;=0.3,Scoring!$C$27,Scoring!$C$28))),Scoring!$C$29))</f>
        <v>10</v>
      </c>
      <c r="AE218" s="22" t="n">
        <f aca="false">IF(D218="Expiring: notice window (verified)",Scoring!$C$30,IF(OR(D218="Expired (verified)",D218="30-yr mark: notice window (est.)",D218="Year-15 window"),Scoring!$C$31,IF(D218="Expiring: 10-yr horizon (verified)",Scoring!$C$32,IF(D218="Past 30-yr mark (verify)",Scoring!$C$33,IF(OR(D218="Credit period",D218="Superseded record"),Scoring!$C$35,Scoring!$C$34)))))</f>
        <v>14</v>
      </c>
      <c r="AF218" s="22" t="n">
        <f aca="false">IF(T218="Y",0,IF(ISNUMBER(V218),IF(Scoring!$B$4-V218&gt;15,Scoring!$C$36,IF(Scoring!$B$4-V218&gt;=10,Scoring!$C$37,IF(Scoring!$B$4-V218&gt;=5,Scoring!$C$38,Scoring!$C$39))),IF(OR(N218="",D218="Out of program"),Scoring!$C$40,IF(O218&gt;15,Scoring!$C$36,IF(O218&gt;=10,Scoring!$C$37,IF(O218&gt;=5,Scoring!$C$38,Scoring!$C$39))))))</f>
        <v>15</v>
      </c>
      <c r="AG218" s="22" t="n">
        <f aca="false">IF(T218="Y",0,IF(Y218="Y",Scoring!$C$41,IF(ISNUMBER(O218),IF(O218&gt;=25,Scoring!$C$42,IF(O218&gt;=15,Scoring!$C$43,Scoring!$C$44)),Scoring!$C$44)))</f>
        <v>5</v>
      </c>
      <c r="AH218" s="22" t="n">
        <f aca="false">IF(T218="Y",0,IF(W218="",Scoring!$C$49,IFERROR(VLOOKUP(W218,Scoring!$B$45:$C$48,2,FALSE()),Scoring!$C$49)))</f>
        <v>5</v>
      </c>
      <c r="AI218" s="23" t="n">
        <f aca="false">C218+IF(ISNUMBER(J218),J218,0)/100000+(10000-ROW())/1000000000</f>
        <v>59.000409782</v>
      </c>
      <c r="AJ218" s="18"/>
      <c r="AK218" s="18"/>
      <c r="AL218" s="18"/>
      <c r="AM218" s="18"/>
    </row>
    <row r="219" customFormat="false" ht="15" hidden="false" customHeight="false" outlineLevel="0" collapsed="false">
      <c r="A219" s="15" t="n">
        <f aca="false">RANK(AI219,$AI$2:$AI$755)</f>
        <v>218</v>
      </c>
      <c r="B219" s="16" t="str">
        <f aca="false">IF(T219="Y","Superseded",IF(C219&gt;=Scoring!$B$16,"Immediate",IF(C219&gt;=Scoring!$B$17,"This week",IF(C219&gt;=Scoring!$B$18,"Nurture","Low"))))</f>
        <v>This week</v>
      </c>
      <c r="C219" s="3" t="n">
        <f aca="false">SUM(AC219:AH219)</f>
        <v>59</v>
      </c>
      <c r="D219" s="15" t="str">
        <f aca="false">IF(T219="Y","Superseded record",IF(AND(U219&lt;&gt;"",AA219&lt;0),"Expired (verified)",IF(AND(U219&lt;&gt;"",AA219&lt;=Scoring!$B$5),"Expiring: notice window (verified)",IF(AND(U219&lt;&gt;"",AA219&lt;=Scoring!$B$6),"Expiring: 10-yr horizon (verified)",IF(M219="No Longer Monitored","Out of program",IF(N219="","Unknown vintage",IF(N219&lt;Scoring!$B$12,"Pre-1990, still listed",IF(AND(U219="",AA219&lt;0),"Past 30-yr mark (verify)",IF(AND(U219="",AA219&lt;=Scoring!$B$5),"30-yr mark: notice window (est.)",IF(AND(O219&gt;=Scoring!$B$7,O219&lt;=Scoring!$B$8),"Year-15 window",IF(O219&gt;=Scoring!$B$9,"Recap window",IF(O219&gt;=11,"Late compliance","Credit period"))))))))))))</f>
        <v>Year-15 window</v>
      </c>
      <c r="E219" s="15" t="s">
        <v>914</v>
      </c>
      <c r="F219" s="15" t="s">
        <v>915</v>
      </c>
      <c r="G219" s="15" t="s">
        <v>916</v>
      </c>
      <c r="H219" s="15" t="s">
        <v>303</v>
      </c>
      <c r="I219" s="15" t="s">
        <v>304</v>
      </c>
      <c r="J219" s="15" t="n">
        <v>40</v>
      </c>
      <c r="K219" s="15" t="n">
        <v>39</v>
      </c>
      <c r="L219" s="15" t="n">
        <f aca="false">IF(OR(J219="",K219=""),"",MAX(J219-K219,0))</f>
        <v>1</v>
      </c>
      <c r="M219" s="15" t="s">
        <v>99</v>
      </c>
      <c r="N219" s="17" t="n">
        <v>2010</v>
      </c>
      <c r="O219" s="15" t="n">
        <f aca="false">IF(N219="","",Scoring!$B$4-N219)</f>
        <v>16</v>
      </c>
      <c r="P219" s="15" t="n">
        <f aca="false">IF(N219="","",N219+14)</f>
        <v>2024</v>
      </c>
      <c r="Q219" s="15" t="n">
        <f aca="false">IF(N219="","",IF(N219&lt;Scoring!$B$12,"n/a (pre-1990)",N219+Scoring!$B$13))</f>
        <v>2039</v>
      </c>
      <c r="R219" s="15" t="str">
        <f aca="false">IF(J219="","Unknown",IF(J219&gt;=5,"Yes","No (under 5 units)"))</f>
        <v>Yes</v>
      </c>
      <c r="S219" s="15"/>
      <c r="T219" s="18"/>
      <c r="U219" s="19"/>
      <c r="V219" s="18"/>
      <c r="W219" s="18"/>
      <c r="X219" s="20"/>
      <c r="Y219" s="18"/>
      <c r="Z219" s="18"/>
      <c r="AA219" s="21" t="n">
        <f aca="false">IF(U219&lt;&gt;"",(U219-Scoring!$B$3)/365.25,IF(N219="","",IF(N219&lt;Scoring!$B$12,"",(DATE(N219+Scoring!$B$13,12,31)-Scoring!$B$3)/365.25)))</f>
        <v>13.2457221081451</v>
      </c>
      <c r="AB219" s="22" t="n">
        <f aca="false">IF(T219="Y",0,IF(OR(D219="Expired (verified)",D219="Expiring: notice window (verified)",D219="Expiring: 10-yr horizon (verified)",D219="Past 30-yr mark (verify)",D219="30-yr mark: notice window (est.)",D219="Year-15 window"),1,0)+IF(ISNUMBER(O219),IF(O219&gt;=Scoring!$B$10,1,0),0)+IF(AND(ISNUMBER(L219),ISNUMBER(J219)),IF(J219&gt;0,IF(L219/J219&gt;=Scoring!$B$11,1,0),0),0)+IF(ISNUMBER(Z219),MIN(Z219,3),0))</f>
        <v>1</v>
      </c>
      <c r="AC219" s="22" t="n">
        <f aca="false">IF(AB219&gt;=3,Scoring!$C$24,IF(AB219=2,Scoring!$C$23,IF(AB219=1,Scoring!$C$22,0)))</f>
        <v>10</v>
      </c>
      <c r="AD219" s="22" t="n">
        <f aca="false">IF(T219="Y",0,IF(ISNUMBER(X219),IF(X219&gt;0.7,Scoring!$C$25,IF(X219&gt;=0.5,Scoring!$C$26,IF(X219&gt;=0.3,Scoring!$C$27,Scoring!$C$28))),Scoring!$C$29))</f>
        <v>10</v>
      </c>
      <c r="AE219" s="22" t="n">
        <f aca="false">IF(D219="Expiring: notice window (verified)",Scoring!$C$30,IF(OR(D219="Expired (verified)",D219="30-yr mark: notice window (est.)",D219="Year-15 window"),Scoring!$C$31,IF(D219="Expiring: 10-yr horizon (verified)",Scoring!$C$32,IF(D219="Past 30-yr mark (verify)",Scoring!$C$33,IF(OR(D219="Credit period",D219="Superseded record"),Scoring!$C$35,Scoring!$C$34)))))</f>
        <v>14</v>
      </c>
      <c r="AF219" s="22" t="n">
        <f aca="false">IF(T219="Y",0,IF(ISNUMBER(V219),IF(Scoring!$B$4-V219&gt;15,Scoring!$C$36,IF(Scoring!$B$4-V219&gt;=10,Scoring!$C$37,IF(Scoring!$B$4-V219&gt;=5,Scoring!$C$38,Scoring!$C$39))),IF(OR(N219="",D219="Out of program"),Scoring!$C$40,IF(O219&gt;15,Scoring!$C$36,IF(O219&gt;=10,Scoring!$C$37,IF(O219&gt;=5,Scoring!$C$38,Scoring!$C$39))))))</f>
        <v>15</v>
      </c>
      <c r="AG219" s="22" t="n">
        <f aca="false">IF(T219="Y",0,IF(Y219="Y",Scoring!$C$41,IF(ISNUMBER(O219),IF(O219&gt;=25,Scoring!$C$42,IF(O219&gt;=15,Scoring!$C$43,Scoring!$C$44)),Scoring!$C$44)))</f>
        <v>5</v>
      </c>
      <c r="AH219" s="22" t="n">
        <f aca="false">IF(T219="Y",0,IF(W219="",Scoring!$C$49,IFERROR(VLOOKUP(W219,Scoring!$B$45:$C$48,2,FALSE()),Scoring!$C$49)))</f>
        <v>5</v>
      </c>
      <c r="AI219" s="23" t="n">
        <f aca="false">C219+IF(ISNUMBER(J219),J219,0)/100000+(10000-ROW())/1000000000</f>
        <v>59.000409781</v>
      </c>
      <c r="AJ219" s="18"/>
      <c r="AK219" s="18"/>
      <c r="AL219" s="18"/>
      <c r="AM219" s="18"/>
    </row>
    <row r="220" customFormat="false" ht="15" hidden="false" customHeight="false" outlineLevel="0" collapsed="false">
      <c r="A220" s="15" t="n">
        <f aca="false">RANK(AI220,$AI$2:$AI$755)</f>
        <v>219</v>
      </c>
      <c r="B220" s="16" t="str">
        <f aca="false">IF(T220="Y","Superseded",IF(C220&gt;=Scoring!$B$16,"Immediate",IF(C220&gt;=Scoring!$B$17,"This week",IF(C220&gt;=Scoring!$B$18,"Nurture","Low"))))</f>
        <v>This week</v>
      </c>
      <c r="C220" s="3" t="n">
        <f aca="false">SUM(AC220:AH220)</f>
        <v>59</v>
      </c>
      <c r="D220" s="15" t="str">
        <f aca="false">IF(T220="Y","Superseded record",IF(AND(U220&lt;&gt;"",AA220&lt;0),"Expired (verified)",IF(AND(U220&lt;&gt;"",AA220&lt;=Scoring!$B$5),"Expiring: notice window (verified)",IF(AND(U220&lt;&gt;"",AA220&lt;=Scoring!$B$6),"Expiring: 10-yr horizon (verified)",IF(M220="No Longer Monitored","Out of program",IF(N220="","Unknown vintage",IF(N220&lt;Scoring!$B$12,"Pre-1990, still listed",IF(AND(U220="",AA220&lt;0),"Past 30-yr mark (verify)",IF(AND(U220="",AA220&lt;=Scoring!$B$5),"30-yr mark: notice window (est.)",IF(AND(O220&gt;=Scoring!$B$7,O220&lt;=Scoring!$B$8),"Year-15 window",IF(O220&gt;=Scoring!$B$9,"Recap window",IF(O220&gt;=11,"Late compliance","Credit period"))))))))))))</f>
        <v>Year-15 window</v>
      </c>
      <c r="E220" s="15" t="s">
        <v>917</v>
      </c>
      <c r="F220" s="15" t="s">
        <v>918</v>
      </c>
      <c r="G220" s="15" t="s">
        <v>919</v>
      </c>
      <c r="H220" s="15" t="s">
        <v>920</v>
      </c>
      <c r="I220" s="15" t="s">
        <v>921</v>
      </c>
      <c r="J220" s="15" t="n">
        <v>40</v>
      </c>
      <c r="K220" s="15" t="n">
        <v>40</v>
      </c>
      <c r="L220" s="15" t="n">
        <f aca="false">IF(OR(J220="",K220=""),"",MAX(J220-K220,0))</f>
        <v>0</v>
      </c>
      <c r="M220" s="15" t="s">
        <v>99</v>
      </c>
      <c r="N220" s="17" t="n">
        <v>2010</v>
      </c>
      <c r="O220" s="15" t="n">
        <f aca="false">IF(N220="","",Scoring!$B$4-N220)</f>
        <v>16</v>
      </c>
      <c r="P220" s="15" t="n">
        <f aca="false">IF(N220="","",N220+14)</f>
        <v>2024</v>
      </c>
      <c r="Q220" s="15" t="n">
        <f aca="false">IF(N220="","",IF(N220&lt;Scoring!$B$12,"n/a (pre-1990)",N220+Scoring!$B$13))</f>
        <v>2039</v>
      </c>
      <c r="R220" s="15" t="str">
        <f aca="false">IF(J220="","Unknown",IF(J220&gt;=5,"Yes","No (under 5 units)"))</f>
        <v>Yes</v>
      </c>
      <c r="S220" s="15" t="s">
        <v>922</v>
      </c>
      <c r="T220" s="18"/>
      <c r="U220" s="19"/>
      <c r="V220" s="18"/>
      <c r="W220" s="18"/>
      <c r="X220" s="20"/>
      <c r="Y220" s="18"/>
      <c r="Z220" s="18"/>
      <c r="AA220" s="21" t="n">
        <f aca="false">IF(U220&lt;&gt;"",(U220-Scoring!$B$3)/365.25,IF(N220="","",IF(N220&lt;Scoring!$B$12,"",(DATE(N220+Scoring!$B$13,12,31)-Scoring!$B$3)/365.25)))</f>
        <v>13.2457221081451</v>
      </c>
      <c r="AB220" s="22" t="n">
        <f aca="false">IF(T220="Y",0,IF(OR(D220="Expired (verified)",D220="Expiring: notice window (verified)",D220="Expiring: 10-yr horizon (verified)",D220="Past 30-yr mark (verify)",D220="30-yr mark: notice window (est.)",D220="Year-15 window"),1,0)+IF(ISNUMBER(O220),IF(O220&gt;=Scoring!$B$10,1,0),0)+IF(AND(ISNUMBER(L220),ISNUMBER(J220)),IF(J220&gt;0,IF(L220/J220&gt;=Scoring!$B$11,1,0),0),0)+IF(ISNUMBER(Z220),MIN(Z220,3),0))</f>
        <v>1</v>
      </c>
      <c r="AC220" s="22" t="n">
        <f aca="false">IF(AB220&gt;=3,Scoring!$C$24,IF(AB220=2,Scoring!$C$23,IF(AB220=1,Scoring!$C$22,0)))</f>
        <v>10</v>
      </c>
      <c r="AD220" s="22" t="n">
        <f aca="false">IF(T220="Y",0,IF(ISNUMBER(X220),IF(X220&gt;0.7,Scoring!$C$25,IF(X220&gt;=0.5,Scoring!$C$26,IF(X220&gt;=0.3,Scoring!$C$27,Scoring!$C$28))),Scoring!$C$29))</f>
        <v>10</v>
      </c>
      <c r="AE220" s="22" t="n">
        <f aca="false">IF(D220="Expiring: notice window (verified)",Scoring!$C$30,IF(OR(D220="Expired (verified)",D220="30-yr mark: notice window (est.)",D220="Year-15 window"),Scoring!$C$31,IF(D220="Expiring: 10-yr horizon (verified)",Scoring!$C$32,IF(D220="Past 30-yr mark (verify)",Scoring!$C$33,IF(OR(D220="Credit period",D220="Superseded record"),Scoring!$C$35,Scoring!$C$34)))))</f>
        <v>14</v>
      </c>
      <c r="AF220" s="22" t="n">
        <f aca="false">IF(T220="Y",0,IF(ISNUMBER(V220),IF(Scoring!$B$4-V220&gt;15,Scoring!$C$36,IF(Scoring!$B$4-V220&gt;=10,Scoring!$C$37,IF(Scoring!$B$4-V220&gt;=5,Scoring!$C$38,Scoring!$C$39))),IF(OR(N220="",D220="Out of program"),Scoring!$C$40,IF(O220&gt;15,Scoring!$C$36,IF(O220&gt;=10,Scoring!$C$37,IF(O220&gt;=5,Scoring!$C$38,Scoring!$C$39))))))</f>
        <v>15</v>
      </c>
      <c r="AG220" s="22" t="n">
        <f aca="false">IF(T220="Y",0,IF(Y220="Y",Scoring!$C$41,IF(ISNUMBER(O220),IF(O220&gt;=25,Scoring!$C$42,IF(O220&gt;=15,Scoring!$C$43,Scoring!$C$44)),Scoring!$C$44)))</f>
        <v>5</v>
      </c>
      <c r="AH220" s="22" t="n">
        <f aca="false">IF(T220="Y",0,IF(W220="",Scoring!$C$49,IFERROR(VLOOKUP(W220,Scoring!$B$45:$C$48,2,FALSE()),Scoring!$C$49)))</f>
        <v>5</v>
      </c>
      <c r="AI220" s="23" t="n">
        <f aca="false">C220+IF(ISNUMBER(J220),J220,0)/100000+(10000-ROW())/1000000000</f>
        <v>59.00040978</v>
      </c>
      <c r="AJ220" s="18"/>
      <c r="AK220" s="18"/>
      <c r="AL220" s="18"/>
      <c r="AM220" s="18"/>
    </row>
    <row r="221" customFormat="false" ht="15" hidden="false" customHeight="false" outlineLevel="0" collapsed="false">
      <c r="A221" s="15" t="n">
        <f aca="false">RANK(AI221,$AI$2:$AI$755)</f>
        <v>220</v>
      </c>
      <c r="B221" s="16" t="str">
        <f aca="false">IF(T221="Y","Superseded",IF(C221&gt;=Scoring!$B$16,"Immediate",IF(C221&gt;=Scoring!$B$17,"This week",IF(C221&gt;=Scoring!$B$18,"Nurture","Low"))))</f>
        <v>This week</v>
      </c>
      <c r="C221" s="3" t="n">
        <f aca="false">SUM(AC221:AH221)</f>
        <v>59</v>
      </c>
      <c r="D221" s="15" t="str">
        <f aca="false">IF(T221="Y","Superseded record",IF(AND(U221&lt;&gt;"",AA221&lt;0),"Expired (verified)",IF(AND(U221&lt;&gt;"",AA221&lt;=Scoring!$B$5),"Expiring: notice window (verified)",IF(AND(U221&lt;&gt;"",AA221&lt;=Scoring!$B$6),"Expiring: 10-yr horizon (verified)",IF(M221="No Longer Monitored","Out of program",IF(N221="","Unknown vintage",IF(N221&lt;Scoring!$B$12,"Pre-1990, still listed",IF(AND(U221="",AA221&lt;0),"Past 30-yr mark (verify)",IF(AND(U221="",AA221&lt;=Scoring!$B$5),"30-yr mark: notice window (est.)",IF(AND(O221&gt;=Scoring!$B$7,O221&lt;=Scoring!$B$8),"Year-15 window",IF(O221&gt;=Scoring!$B$9,"Recap window",IF(O221&gt;=11,"Late compliance","Credit period"))))))))))))</f>
        <v>Year-15 window</v>
      </c>
      <c r="E221" s="15" t="s">
        <v>923</v>
      </c>
      <c r="F221" s="15" t="s">
        <v>924</v>
      </c>
      <c r="G221" s="15" t="s">
        <v>925</v>
      </c>
      <c r="H221" s="15" t="s">
        <v>447</v>
      </c>
      <c r="I221" s="15" t="s">
        <v>448</v>
      </c>
      <c r="J221" s="15" t="n">
        <v>38</v>
      </c>
      <c r="K221" s="15" t="n">
        <v>38</v>
      </c>
      <c r="L221" s="15" t="n">
        <f aca="false">IF(OR(J221="",K221=""),"",MAX(J221-K221,0))</f>
        <v>0</v>
      </c>
      <c r="M221" s="15" t="s">
        <v>99</v>
      </c>
      <c r="N221" s="17" t="n">
        <v>2009</v>
      </c>
      <c r="O221" s="15" t="n">
        <f aca="false">IF(N221="","",Scoring!$B$4-N221)</f>
        <v>17</v>
      </c>
      <c r="P221" s="15" t="n">
        <f aca="false">IF(N221="","",N221+14)</f>
        <v>2023</v>
      </c>
      <c r="Q221" s="15" t="n">
        <f aca="false">IF(N221="","",IF(N221&lt;Scoring!$B$12,"n/a (pre-1990)",N221+Scoring!$B$13))</f>
        <v>2038</v>
      </c>
      <c r="R221" s="15" t="str">
        <f aca="false">IF(J221="","Unknown",IF(J221&gt;=5,"Yes","No (under 5 units)"))</f>
        <v>Yes</v>
      </c>
      <c r="S221" s="15"/>
      <c r="T221" s="18"/>
      <c r="U221" s="19"/>
      <c r="V221" s="18"/>
      <c r="W221" s="18"/>
      <c r="X221" s="20"/>
      <c r="Y221" s="18"/>
      <c r="Z221" s="18"/>
      <c r="AA221" s="21" t="n">
        <f aca="false">IF(U221&lt;&gt;"",(U221-Scoring!$B$3)/365.25,IF(N221="","",IF(N221&lt;Scoring!$B$12,"",(DATE(N221+Scoring!$B$13,12,31)-Scoring!$B$3)/365.25)))</f>
        <v>12.2464065708419</v>
      </c>
      <c r="AB221" s="22" t="n">
        <f aca="false">IF(T221="Y",0,IF(OR(D221="Expired (verified)",D221="Expiring: notice window (verified)",D221="Expiring: 10-yr horizon (verified)",D221="Past 30-yr mark (verify)",D221="30-yr mark: notice window (est.)",D221="Year-15 window"),1,0)+IF(ISNUMBER(O221),IF(O221&gt;=Scoring!$B$10,1,0),0)+IF(AND(ISNUMBER(L221),ISNUMBER(J221)),IF(J221&gt;0,IF(L221/J221&gt;=Scoring!$B$11,1,0),0),0)+IF(ISNUMBER(Z221),MIN(Z221,3),0))</f>
        <v>1</v>
      </c>
      <c r="AC221" s="22" t="n">
        <f aca="false">IF(AB221&gt;=3,Scoring!$C$24,IF(AB221=2,Scoring!$C$23,IF(AB221=1,Scoring!$C$22,0)))</f>
        <v>10</v>
      </c>
      <c r="AD221" s="22" t="n">
        <f aca="false">IF(T221="Y",0,IF(ISNUMBER(X221),IF(X221&gt;0.7,Scoring!$C$25,IF(X221&gt;=0.5,Scoring!$C$26,IF(X221&gt;=0.3,Scoring!$C$27,Scoring!$C$28))),Scoring!$C$29))</f>
        <v>10</v>
      </c>
      <c r="AE221" s="22" t="n">
        <f aca="false">IF(D221="Expiring: notice window (verified)",Scoring!$C$30,IF(OR(D221="Expired (verified)",D221="30-yr mark: notice window (est.)",D221="Year-15 window"),Scoring!$C$31,IF(D221="Expiring: 10-yr horizon (verified)",Scoring!$C$32,IF(D221="Past 30-yr mark (verify)",Scoring!$C$33,IF(OR(D221="Credit period",D221="Superseded record"),Scoring!$C$35,Scoring!$C$34)))))</f>
        <v>14</v>
      </c>
      <c r="AF221" s="22" t="n">
        <f aca="false">IF(T221="Y",0,IF(ISNUMBER(V221),IF(Scoring!$B$4-V221&gt;15,Scoring!$C$36,IF(Scoring!$B$4-V221&gt;=10,Scoring!$C$37,IF(Scoring!$B$4-V221&gt;=5,Scoring!$C$38,Scoring!$C$39))),IF(OR(N221="",D221="Out of program"),Scoring!$C$40,IF(O221&gt;15,Scoring!$C$36,IF(O221&gt;=10,Scoring!$C$37,IF(O221&gt;=5,Scoring!$C$38,Scoring!$C$39))))))</f>
        <v>15</v>
      </c>
      <c r="AG221" s="22" t="n">
        <f aca="false">IF(T221="Y",0,IF(Y221="Y",Scoring!$C$41,IF(ISNUMBER(O221),IF(O221&gt;=25,Scoring!$C$42,IF(O221&gt;=15,Scoring!$C$43,Scoring!$C$44)),Scoring!$C$44)))</f>
        <v>5</v>
      </c>
      <c r="AH221" s="22" t="n">
        <f aca="false">IF(T221="Y",0,IF(W221="",Scoring!$C$49,IFERROR(VLOOKUP(W221,Scoring!$B$45:$C$48,2,FALSE()),Scoring!$C$49)))</f>
        <v>5</v>
      </c>
      <c r="AI221" s="23" t="n">
        <f aca="false">C221+IF(ISNUMBER(J221),J221,0)/100000+(10000-ROW())/1000000000</f>
        <v>59.000389779</v>
      </c>
      <c r="AJ221" s="18"/>
      <c r="AK221" s="18"/>
      <c r="AL221" s="18"/>
      <c r="AM221" s="18"/>
    </row>
    <row r="222" customFormat="false" ht="15" hidden="false" customHeight="false" outlineLevel="0" collapsed="false">
      <c r="A222" s="15" t="n">
        <f aca="false">RANK(AI222,$AI$2:$AI$755)</f>
        <v>221</v>
      </c>
      <c r="B222" s="16" t="str">
        <f aca="false">IF(T222="Y","Superseded",IF(C222&gt;=Scoring!$B$16,"Immediate",IF(C222&gt;=Scoring!$B$17,"This week",IF(C222&gt;=Scoring!$B$18,"Nurture","Low"))))</f>
        <v>This week</v>
      </c>
      <c r="C222" s="3" t="n">
        <f aca="false">SUM(AC222:AH222)</f>
        <v>59</v>
      </c>
      <c r="D222" s="15" t="str">
        <f aca="false">IF(T222="Y","Superseded record",IF(AND(U222&lt;&gt;"",AA222&lt;0),"Expired (verified)",IF(AND(U222&lt;&gt;"",AA222&lt;=Scoring!$B$5),"Expiring: notice window (verified)",IF(AND(U222&lt;&gt;"",AA222&lt;=Scoring!$B$6),"Expiring: 10-yr horizon (verified)",IF(M222="No Longer Monitored","Out of program",IF(N222="","Unknown vintage",IF(N222&lt;Scoring!$B$12,"Pre-1990, still listed",IF(AND(U222="",AA222&lt;0),"Past 30-yr mark (verify)",IF(AND(U222="",AA222&lt;=Scoring!$B$5),"30-yr mark: notice window (est.)",IF(AND(O222&gt;=Scoring!$B$7,O222&lt;=Scoring!$B$8),"Year-15 window",IF(O222&gt;=Scoring!$B$9,"Recap window",IF(O222&gt;=11,"Late compliance","Credit period"))))))))))))</f>
        <v>Year-15 window</v>
      </c>
      <c r="E222" s="15" t="s">
        <v>926</v>
      </c>
      <c r="F222" s="15" t="s">
        <v>927</v>
      </c>
      <c r="G222" s="15" t="s">
        <v>928</v>
      </c>
      <c r="H222" s="15" t="s">
        <v>97</v>
      </c>
      <c r="I222" s="15" t="s">
        <v>929</v>
      </c>
      <c r="J222" s="15" t="n">
        <v>38</v>
      </c>
      <c r="K222" s="15" t="n">
        <v>38</v>
      </c>
      <c r="L222" s="15" t="n">
        <f aca="false">IF(OR(J222="",K222=""),"",MAX(J222-K222,0))</f>
        <v>0</v>
      </c>
      <c r="M222" s="15" t="s">
        <v>99</v>
      </c>
      <c r="N222" s="17" t="n">
        <v>2010</v>
      </c>
      <c r="O222" s="15" t="n">
        <f aca="false">IF(N222="","",Scoring!$B$4-N222)</f>
        <v>16</v>
      </c>
      <c r="P222" s="15" t="n">
        <f aca="false">IF(N222="","",N222+14)</f>
        <v>2024</v>
      </c>
      <c r="Q222" s="15" t="n">
        <f aca="false">IF(N222="","",IF(N222&lt;Scoring!$B$12,"n/a (pre-1990)",N222+Scoring!$B$13))</f>
        <v>2039</v>
      </c>
      <c r="R222" s="15" t="str">
        <f aca="false">IF(J222="","Unknown",IF(J222&gt;=5,"Yes","No (under 5 units)"))</f>
        <v>Yes</v>
      </c>
      <c r="S222" s="15"/>
      <c r="T222" s="18"/>
      <c r="U222" s="19"/>
      <c r="V222" s="18"/>
      <c r="W222" s="18"/>
      <c r="X222" s="20"/>
      <c r="Y222" s="18"/>
      <c r="Z222" s="18"/>
      <c r="AA222" s="21" t="n">
        <f aca="false">IF(U222&lt;&gt;"",(U222-Scoring!$B$3)/365.25,IF(N222="","",IF(N222&lt;Scoring!$B$12,"",(DATE(N222+Scoring!$B$13,12,31)-Scoring!$B$3)/365.25)))</f>
        <v>13.2457221081451</v>
      </c>
      <c r="AB222" s="22" t="n">
        <f aca="false">IF(T222="Y",0,IF(OR(D222="Expired (verified)",D222="Expiring: notice window (verified)",D222="Expiring: 10-yr horizon (verified)",D222="Past 30-yr mark (verify)",D222="30-yr mark: notice window (est.)",D222="Year-15 window"),1,0)+IF(ISNUMBER(O222),IF(O222&gt;=Scoring!$B$10,1,0),0)+IF(AND(ISNUMBER(L222),ISNUMBER(J222)),IF(J222&gt;0,IF(L222/J222&gt;=Scoring!$B$11,1,0),0),0)+IF(ISNUMBER(Z222),MIN(Z222,3),0))</f>
        <v>1</v>
      </c>
      <c r="AC222" s="22" t="n">
        <f aca="false">IF(AB222&gt;=3,Scoring!$C$24,IF(AB222=2,Scoring!$C$23,IF(AB222=1,Scoring!$C$22,0)))</f>
        <v>10</v>
      </c>
      <c r="AD222" s="22" t="n">
        <f aca="false">IF(T222="Y",0,IF(ISNUMBER(X222),IF(X222&gt;0.7,Scoring!$C$25,IF(X222&gt;=0.5,Scoring!$C$26,IF(X222&gt;=0.3,Scoring!$C$27,Scoring!$C$28))),Scoring!$C$29))</f>
        <v>10</v>
      </c>
      <c r="AE222" s="22" t="n">
        <f aca="false">IF(D222="Expiring: notice window (verified)",Scoring!$C$30,IF(OR(D222="Expired (verified)",D222="30-yr mark: notice window (est.)",D222="Year-15 window"),Scoring!$C$31,IF(D222="Expiring: 10-yr horizon (verified)",Scoring!$C$32,IF(D222="Past 30-yr mark (verify)",Scoring!$C$33,IF(OR(D222="Credit period",D222="Superseded record"),Scoring!$C$35,Scoring!$C$34)))))</f>
        <v>14</v>
      </c>
      <c r="AF222" s="22" t="n">
        <f aca="false">IF(T222="Y",0,IF(ISNUMBER(V222),IF(Scoring!$B$4-V222&gt;15,Scoring!$C$36,IF(Scoring!$B$4-V222&gt;=10,Scoring!$C$37,IF(Scoring!$B$4-V222&gt;=5,Scoring!$C$38,Scoring!$C$39))),IF(OR(N222="",D222="Out of program"),Scoring!$C$40,IF(O222&gt;15,Scoring!$C$36,IF(O222&gt;=10,Scoring!$C$37,IF(O222&gt;=5,Scoring!$C$38,Scoring!$C$39))))))</f>
        <v>15</v>
      </c>
      <c r="AG222" s="22" t="n">
        <f aca="false">IF(T222="Y",0,IF(Y222="Y",Scoring!$C$41,IF(ISNUMBER(O222),IF(O222&gt;=25,Scoring!$C$42,IF(O222&gt;=15,Scoring!$C$43,Scoring!$C$44)),Scoring!$C$44)))</f>
        <v>5</v>
      </c>
      <c r="AH222" s="22" t="n">
        <f aca="false">IF(T222="Y",0,IF(W222="",Scoring!$C$49,IFERROR(VLOOKUP(W222,Scoring!$B$45:$C$48,2,FALSE()),Scoring!$C$49)))</f>
        <v>5</v>
      </c>
      <c r="AI222" s="23" t="n">
        <f aca="false">C222+IF(ISNUMBER(J222),J222,0)/100000+(10000-ROW())/1000000000</f>
        <v>59.000389778</v>
      </c>
      <c r="AJ222" s="18"/>
      <c r="AK222" s="18"/>
      <c r="AL222" s="18"/>
      <c r="AM222" s="18"/>
    </row>
    <row r="223" customFormat="false" ht="15" hidden="false" customHeight="false" outlineLevel="0" collapsed="false">
      <c r="A223" s="15" t="n">
        <f aca="false">RANK(AI223,$AI$2:$AI$755)</f>
        <v>222</v>
      </c>
      <c r="B223" s="16" t="str">
        <f aca="false">IF(T223="Y","Superseded",IF(C223&gt;=Scoring!$B$16,"Immediate",IF(C223&gt;=Scoring!$B$17,"This week",IF(C223&gt;=Scoring!$B$18,"Nurture","Low"))))</f>
        <v>This week</v>
      </c>
      <c r="C223" s="3" t="n">
        <f aca="false">SUM(AC223:AH223)</f>
        <v>59</v>
      </c>
      <c r="D223" s="15" t="str">
        <f aca="false">IF(T223="Y","Superseded record",IF(AND(U223&lt;&gt;"",AA223&lt;0),"Expired (verified)",IF(AND(U223&lt;&gt;"",AA223&lt;=Scoring!$B$5),"Expiring: notice window (verified)",IF(AND(U223&lt;&gt;"",AA223&lt;=Scoring!$B$6),"Expiring: 10-yr horizon (verified)",IF(M223="No Longer Monitored","Out of program",IF(N223="","Unknown vintage",IF(N223&lt;Scoring!$B$12,"Pre-1990, still listed",IF(AND(U223="",AA223&lt;0),"Past 30-yr mark (verify)",IF(AND(U223="",AA223&lt;=Scoring!$B$5),"30-yr mark: notice window (est.)",IF(AND(O223&gt;=Scoring!$B$7,O223&lt;=Scoring!$B$8),"Year-15 window",IF(O223&gt;=Scoring!$B$9,"Recap window",IF(O223&gt;=11,"Late compliance","Credit period"))))))))))))</f>
        <v>Year-15 window</v>
      </c>
      <c r="E223" s="15" t="s">
        <v>930</v>
      </c>
      <c r="F223" s="15" t="s">
        <v>931</v>
      </c>
      <c r="G223" s="15" t="s">
        <v>932</v>
      </c>
      <c r="H223" s="15" t="s">
        <v>97</v>
      </c>
      <c r="I223" s="15" t="s">
        <v>195</v>
      </c>
      <c r="J223" s="15" t="n">
        <v>37</v>
      </c>
      <c r="K223" s="15" t="n">
        <v>37</v>
      </c>
      <c r="L223" s="15" t="n">
        <f aca="false">IF(OR(J223="",K223=""),"",MAX(J223-K223,0))</f>
        <v>0</v>
      </c>
      <c r="M223" s="15" t="s">
        <v>99</v>
      </c>
      <c r="N223" s="17" t="n">
        <v>2010</v>
      </c>
      <c r="O223" s="15" t="n">
        <f aca="false">IF(N223="","",Scoring!$B$4-N223)</f>
        <v>16</v>
      </c>
      <c r="P223" s="15" t="n">
        <f aca="false">IF(N223="","",N223+14)</f>
        <v>2024</v>
      </c>
      <c r="Q223" s="15" t="n">
        <f aca="false">IF(N223="","",IF(N223&lt;Scoring!$B$12,"n/a (pre-1990)",N223+Scoring!$B$13))</f>
        <v>2039</v>
      </c>
      <c r="R223" s="15" t="str">
        <f aca="false">IF(J223="","Unknown",IF(J223&gt;=5,"Yes","No (under 5 units)"))</f>
        <v>Yes</v>
      </c>
      <c r="S223" s="15"/>
      <c r="T223" s="18"/>
      <c r="U223" s="19"/>
      <c r="V223" s="18"/>
      <c r="W223" s="18"/>
      <c r="X223" s="20"/>
      <c r="Y223" s="18"/>
      <c r="Z223" s="18"/>
      <c r="AA223" s="21" t="n">
        <f aca="false">IF(U223&lt;&gt;"",(U223-Scoring!$B$3)/365.25,IF(N223="","",IF(N223&lt;Scoring!$B$12,"",(DATE(N223+Scoring!$B$13,12,31)-Scoring!$B$3)/365.25)))</f>
        <v>13.2457221081451</v>
      </c>
      <c r="AB223" s="22" t="n">
        <f aca="false">IF(T223="Y",0,IF(OR(D223="Expired (verified)",D223="Expiring: notice window (verified)",D223="Expiring: 10-yr horizon (verified)",D223="Past 30-yr mark (verify)",D223="30-yr mark: notice window (est.)",D223="Year-15 window"),1,0)+IF(ISNUMBER(O223),IF(O223&gt;=Scoring!$B$10,1,0),0)+IF(AND(ISNUMBER(L223),ISNUMBER(J223)),IF(J223&gt;0,IF(L223/J223&gt;=Scoring!$B$11,1,0),0),0)+IF(ISNUMBER(Z223),MIN(Z223,3),0))</f>
        <v>1</v>
      </c>
      <c r="AC223" s="22" t="n">
        <f aca="false">IF(AB223&gt;=3,Scoring!$C$24,IF(AB223=2,Scoring!$C$23,IF(AB223=1,Scoring!$C$22,0)))</f>
        <v>10</v>
      </c>
      <c r="AD223" s="22" t="n">
        <f aca="false">IF(T223="Y",0,IF(ISNUMBER(X223),IF(X223&gt;0.7,Scoring!$C$25,IF(X223&gt;=0.5,Scoring!$C$26,IF(X223&gt;=0.3,Scoring!$C$27,Scoring!$C$28))),Scoring!$C$29))</f>
        <v>10</v>
      </c>
      <c r="AE223" s="22" t="n">
        <f aca="false">IF(D223="Expiring: notice window (verified)",Scoring!$C$30,IF(OR(D223="Expired (verified)",D223="30-yr mark: notice window (est.)",D223="Year-15 window"),Scoring!$C$31,IF(D223="Expiring: 10-yr horizon (verified)",Scoring!$C$32,IF(D223="Past 30-yr mark (verify)",Scoring!$C$33,IF(OR(D223="Credit period",D223="Superseded record"),Scoring!$C$35,Scoring!$C$34)))))</f>
        <v>14</v>
      </c>
      <c r="AF223" s="22" t="n">
        <f aca="false">IF(T223="Y",0,IF(ISNUMBER(V223),IF(Scoring!$B$4-V223&gt;15,Scoring!$C$36,IF(Scoring!$B$4-V223&gt;=10,Scoring!$C$37,IF(Scoring!$B$4-V223&gt;=5,Scoring!$C$38,Scoring!$C$39))),IF(OR(N223="",D223="Out of program"),Scoring!$C$40,IF(O223&gt;15,Scoring!$C$36,IF(O223&gt;=10,Scoring!$C$37,IF(O223&gt;=5,Scoring!$C$38,Scoring!$C$39))))))</f>
        <v>15</v>
      </c>
      <c r="AG223" s="22" t="n">
        <f aca="false">IF(T223="Y",0,IF(Y223="Y",Scoring!$C$41,IF(ISNUMBER(O223),IF(O223&gt;=25,Scoring!$C$42,IF(O223&gt;=15,Scoring!$C$43,Scoring!$C$44)),Scoring!$C$44)))</f>
        <v>5</v>
      </c>
      <c r="AH223" s="22" t="n">
        <f aca="false">IF(T223="Y",0,IF(W223="",Scoring!$C$49,IFERROR(VLOOKUP(W223,Scoring!$B$45:$C$48,2,FALSE()),Scoring!$C$49)))</f>
        <v>5</v>
      </c>
      <c r="AI223" s="23" t="n">
        <f aca="false">C223+IF(ISNUMBER(J223),J223,0)/100000+(10000-ROW())/1000000000</f>
        <v>59.000379777</v>
      </c>
      <c r="AJ223" s="18"/>
      <c r="AK223" s="18"/>
      <c r="AL223" s="18"/>
      <c r="AM223" s="18"/>
    </row>
    <row r="224" customFormat="false" ht="15" hidden="false" customHeight="false" outlineLevel="0" collapsed="false">
      <c r="A224" s="15" t="n">
        <f aca="false">RANK(AI224,$AI$2:$AI$755)</f>
        <v>223</v>
      </c>
      <c r="B224" s="16" t="str">
        <f aca="false">IF(T224="Y","Superseded",IF(C224&gt;=Scoring!$B$16,"Immediate",IF(C224&gt;=Scoring!$B$17,"This week",IF(C224&gt;=Scoring!$B$18,"Nurture","Low"))))</f>
        <v>This week</v>
      </c>
      <c r="C224" s="3" t="n">
        <f aca="false">SUM(AC224:AH224)</f>
        <v>59</v>
      </c>
      <c r="D224" s="15" t="str">
        <f aca="false">IF(T224="Y","Superseded record",IF(AND(U224&lt;&gt;"",AA224&lt;0),"Expired (verified)",IF(AND(U224&lt;&gt;"",AA224&lt;=Scoring!$B$5),"Expiring: notice window (verified)",IF(AND(U224&lt;&gt;"",AA224&lt;=Scoring!$B$6),"Expiring: 10-yr horizon (verified)",IF(M224="No Longer Monitored","Out of program",IF(N224="","Unknown vintage",IF(N224&lt;Scoring!$B$12,"Pre-1990, still listed",IF(AND(U224="",AA224&lt;0),"Past 30-yr mark (verify)",IF(AND(U224="",AA224&lt;=Scoring!$B$5),"30-yr mark: notice window (est.)",IF(AND(O224&gt;=Scoring!$B$7,O224&lt;=Scoring!$B$8),"Year-15 window",IF(O224&gt;=Scoring!$B$9,"Recap window",IF(O224&gt;=11,"Late compliance","Credit period"))))))))))))</f>
        <v>Year-15 window</v>
      </c>
      <c r="E224" s="15" t="s">
        <v>933</v>
      </c>
      <c r="F224" s="15" t="s">
        <v>934</v>
      </c>
      <c r="G224" s="15" t="s">
        <v>935</v>
      </c>
      <c r="H224" s="15" t="s">
        <v>598</v>
      </c>
      <c r="I224" s="15" t="s">
        <v>936</v>
      </c>
      <c r="J224" s="15" t="n">
        <v>37</v>
      </c>
      <c r="K224" s="15" t="n">
        <v>37</v>
      </c>
      <c r="L224" s="15" t="n">
        <f aca="false">IF(OR(J224="",K224=""),"",MAX(J224-K224,0))</f>
        <v>0</v>
      </c>
      <c r="M224" s="15" t="s">
        <v>99</v>
      </c>
      <c r="N224" s="17" t="n">
        <v>2010</v>
      </c>
      <c r="O224" s="15" t="n">
        <f aca="false">IF(N224="","",Scoring!$B$4-N224)</f>
        <v>16</v>
      </c>
      <c r="P224" s="15" t="n">
        <f aca="false">IF(N224="","",N224+14)</f>
        <v>2024</v>
      </c>
      <c r="Q224" s="15" t="n">
        <f aca="false">IF(N224="","",IF(N224&lt;Scoring!$B$12,"n/a (pre-1990)",N224+Scoring!$B$13))</f>
        <v>2039</v>
      </c>
      <c r="R224" s="15" t="str">
        <f aca="false">IF(J224="","Unknown",IF(J224&gt;=5,"Yes","No (under 5 units)"))</f>
        <v>Yes</v>
      </c>
      <c r="S224" s="15"/>
      <c r="T224" s="18"/>
      <c r="U224" s="19"/>
      <c r="V224" s="18"/>
      <c r="W224" s="18"/>
      <c r="X224" s="20"/>
      <c r="Y224" s="18"/>
      <c r="Z224" s="18"/>
      <c r="AA224" s="21" t="n">
        <f aca="false">IF(U224&lt;&gt;"",(U224-Scoring!$B$3)/365.25,IF(N224="","",IF(N224&lt;Scoring!$B$12,"",(DATE(N224+Scoring!$B$13,12,31)-Scoring!$B$3)/365.25)))</f>
        <v>13.2457221081451</v>
      </c>
      <c r="AB224" s="22" t="n">
        <f aca="false">IF(T224="Y",0,IF(OR(D224="Expired (verified)",D224="Expiring: notice window (verified)",D224="Expiring: 10-yr horizon (verified)",D224="Past 30-yr mark (verify)",D224="30-yr mark: notice window (est.)",D224="Year-15 window"),1,0)+IF(ISNUMBER(O224),IF(O224&gt;=Scoring!$B$10,1,0),0)+IF(AND(ISNUMBER(L224),ISNUMBER(J224)),IF(J224&gt;0,IF(L224/J224&gt;=Scoring!$B$11,1,0),0),0)+IF(ISNUMBER(Z224),MIN(Z224,3),0))</f>
        <v>1</v>
      </c>
      <c r="AC224" s="22" t="n">
        <f aca="false">IF(AB224&gt;=3,Scoring!$C$24,IF(AB224=2,Scoring!$C$23,IF(AB224=1,Scoring!$C$22,0)))</f>
        <v>10</v>
      </c>
      <c r="AD224" s="22" t="n">
        <f aca="false">IF(T224="Y",0,IF(ISNUMBER(X224),IF(X224&gt;0.7,Scoring!$C$25,IF(X224&gt;=0.5,Scoring!$C$26,IF(X224&gt;=0.3,Scoring!$C$27,Scoring!$C$28))),Scoring!$C$29))</f>
        <v>10</v>
      </c>
      <c r="AE224" s="22" t="n">
        <f aca="false">IF(D224="Expiring: notice window (verified)",Scoring!$C$30,IF(OR(D224="Expired (verified)",D224="30-yr mark: notice window (est.)",D224="Year-15 window"),Scoring!$C$31,IF(D224="Expiring: 10-yr horizon (verified)",Scoring!$C$32,IF(D224="Past 30-yr mark (verify)",Scoring!$C$33,IF(OR(D224="Credit period",D224="Superseded record"),Scoring!$C$35,Scoring!$C$34)))))</f>
        <v>14</v>
      </c>
      <c r="AF224" s="22" t="n">
        <f aca="false">IF(T224="Y",0,IF(ISNUMBER(V224),IF(Scoring!$B$4-V224&gt;15,Scoring!$C$36,IF(Scoring!$B$4-V224&gt;=10,Scoring!$C$37,IF(Scoring!$B$4-V224&gt;=5,Scoring!$C$38,Scoring!$C$39))),IF(OR(N224="",D224="Out of program"),Scoring!$C$40,IF(O224&gt;15,Scoring!$C$36,IF(O224&gt;=10,Scoring!$C$37,IF(O224&gt;=5,Scoring!$C$38,Scoring!$C$39))))))</f>
        <v>15</v>
      </c>
      <c r="AG224" s="22" t="n">
        <f aca="false">IF(T224="Y",0,IF(Y224="Y",Scoring!$C$41,IF(ISNUMBER(O224),IF(O224&gt;=25,Scoring!$C$42,IF(O224&gt;=15,Scoring!$C$43,Scoring!$C$44)),Scoring!$C$44)))</f>
        <v>5</v>
      </c>
      <c r="AH224" s="22" t="n">
        <f aca="false">IF(T224="Y",0,IF(W224="",Scoring!$C$49,IFERROR(VLOOKUP(W224,Scoring!$B$45:$C$48,2,FALSE()),Scoring!$C$49)))</f>
        <v>5</v>
      </c>
      <c r="AI224" s="23" t="n">
        <f aca="false">C224+IF(ISNUMBER(J224),J224,0)/100000+(10000-ROW())/1000000000</f>
        <v>59.000379776</v>
      </c>
      <c r="AJ224" s="18"/>
      <c r="AK224" s="18"/>
      <c r="AL224" s="18"/>
      <c r="AM224" s="18"/>
    </row>
    <row r="225" customFormat="false" ht="15" hidden="false" customHeight="false" outlineLevel="0" collapsed="false">
      <c r="A225" s="15" t="n">
        <f aca="false">RANK(AI225,$AI$2:$AI$755)</f>
        <v>224</v>
      </c>
      <c r="B225" s="16" t="str">
        <f aca="false">IF(T225="Y","Superseded",IF(C225&gt;=Scoring!$B$16,"Immediate",IF(C225&gt;=Scoring!$B$17,"This week",IF(C225&gt;=Scoring!$B$18,"Nurture","Low"))))</f>
        <v>This week</v>
      </c>
      <c r="C225" s="3" t="n">
        <f aca="false">SUM(AC225:AH225)</f>
        <v>59</v>
      </c>
      <c r="D225" s="15" t="str">
        <f aca="false">IF(T225="Y","Superseded record",IF(AND(U225&lt;&gt;"",AA225&lt;0),"Expired (verified)",IF(AND(U225&lt;&gt;"",AA225&lt;=Scoring!$B$5),"Expiring: notice window (verified)",IF(AND(U225&lt;&gt;"",AA225&lt;=Scoring!$B$6),"Expiring: 10-yr horizon (verified)",IF(M225="No Longer Monitored","Out of program",IF(N225="","Unknown vintage",IF(N225&lt;Scoring!$B$12,"Pre-1990, still listed",IF(AND(U225="",AA225&lt;0),"Past 30-yr mark (verify)",IF(AND(U225="",AA225&lt;=Scoring!$B$5),"30-yr mark: notice window (est.)",IF(AND(O225&gt;=Scoring!$B$7,O225&lt;=Scoring!$B$8),"Year-15 window",IF(O225&gt;=Scoring!$B$9,"Recap window",IF(O225&gt;=11,"Late compliance","Credit period"))))))))))))</f>
        <v>Year-15 window</v>
      </c>
      <c r="E225" s="15" t="s">
        <v>937</v>
      </c>
      <c r="F225" s="15" t="s">
        <v>938</v>
      </c>
      <c r="G225" s="15" t="s">
        <v>939</v>
      </c>
      <c r="H225" s="15" t="s">
        <v>232</v>
      </c>
      <c r="I225" s="15" t="s">
        <v>233</v>
      </c>
      <c r="J225" s="15" t="n">
        <v>35</v>
      </c>
      <c r="K225" s="15" t="n">
        <v>34</v>
      </c>
      <c r="L225" s="15" t="n">
        <f aca="false">IF(OR(J225="",K225=""),"",MAX(J225-K225,0))</f>
        <v>1</v>
      </c>
      <c r="M225" s="15" t="s">
        <v>99</v>
      </c>
      <c r="N225" s="17" t="n">
        <v>2010</v>
      </c>
      <c r="O225" s="15" t="n">
        <f aca="false">IF(N225="","",Scoring!$B$4-N225)</f>
        <v>16</v>
      </c>
      <c r="P225" s="15" t="n">
        <f aca="false">IF(N225="","",N225+14)</f>
        <v>2024</v>
      </c>
      <c r="Q225" s="15" t="n">
        <f aca="false">IF(N225="","",IF(N225&lt;Scoring!$B$12,"n/a (pre-1990)",N225+Scoring!$B$13))</f>
        <v>2039</v>
      </c>
      <c r="R225" s="15" t="str">
        <f aca="false">IF(J225="","Unknown",IF(J225&gt;=5,"Yes","No (under 5 units)"))</f>
        <v>Yes</v>
      </c>
      <c r="S225" s="15"/>
      <c r="T225" s="18"/>
      <c r="U225" s="19"/>
      <c r="V225" s="18"/>
      <c r="W225" s="18"/>
      <c r="X225" s="20"/>
      <c r="Y225" s="18"/>
      <c r="Z225" s="18"/>
      <c r="AA225" s="21" t="n">
        <f aca="false">IF(U225&lt;&gt;"",(U225-Scoring!$B$3)/365.25,IF(N225="","",IF(N225&lt;Scoring!$B$12,"",(DATE(N225+Scoring!$B$13,12,31)-Scoring!$B$3)/365.25)))</f>
        <v>13.2457221081451</v>
      </c>
      <c r="AB225" s="22" t="n">
        <f aca="false">IF(T225="Y",0,IF(OR(D225="Expired (verified)",D225="Expiring: notice window (verified)",D225="Expiring: 10-yr horizon (verified)",D225="Past 30-yr mark (verify)",D225="30-yr mark: notice window (est.)",D225="Year-15 window"),1,0)+IF(ISNUMBER(O225),IF(O225&gt;=Scoring!$B$10,1,0),0)+IF(AND(ISNUMBER(L225),ISNUMBER(J225)),IF(J225&gt;0,IF(L225/J225&gt;=Scoring!$B$11,1,0),0),0)+IF(ISNUMBER(Z225),MIN(Z225,3),0))</f>
        <v>1</v>
      </c>
      <c r="AC225" s="22" t="n">
        <f aca="false">IF(AB225&gt;=3,Scoring!$C$24,IF(AB225=2,Scoring!$C$23,IF(AB225=1,Scoring!$C$22,0)))</f>
        <v>10</v>
      </c>
      <c r="AD225" s="22" t="n">
        <f aca="false">IF(T225="Y",0,IF(ISNUMBER(X225),IF(X225&gt;0.7,Scoring!$C$25,IF(X225&gt;=0.5,Scoring!$C$26,IF(X225&gt;=0.3,Scoring!$C$27,Scoring!$C$28))),Scoring!$C$29))</f>
        <v>10</v>
      </c>
      <c r="AE225" s="22" t="n">
        <f aca="false">IF(D225="Expiring: notice window (verified)",Scoring!$C$30,IF(OR(D225="Expired (verified)",D225="30-yr mark: notice window (est.)",D225="Year-15 window"),Scoring!$C$31,IF(D225="Expiring: 10-yr horizon (verified)",Scoring!$C$32,IF(D225="Past 30-yr mark (verify)",Scoring!$C$33,IF(OR(D225="Credit period",D225="Superseded record"),Scoring!$C$35,Scoring!$C$34)))))</f>
        <v>14</v>
      </c>
      <c r="AF225" s="22" t="n">
        <f aca="false">IF(T225="Y",0,IF(ISNUMBER(V225),IF(Scoring!$B$4-V225&gt;15,Scoring!$C$36,IF(Scoring!$B$4-V225&gt;=10,Scoring!$C$37,IF(Scoring!$B$4-V225&gt;=5,Scoring!$C$38,Scoring!$C$39))),IF(OR(N225="",D225="Out of program"),Scoring!$C$40,IF(O225&gt;15,Scoring!$C$36,IF(O225&gt;=10,Scoring!$C$37,IF(O225&gt;=5,Scoring!$C$38,Scoring!$C$39))))))</f>
        <v>15</v>
      </c>
      <c r="AG225" s="22" t="n">
        <f aca="false">IF(T225="Y",0,IF(Y225="Y",Scoring!$C$41,IF(ISNUMBER(O225),IF(O225&gt;=25,Scoring!$C$42,IF(O225&gt;=15,Scoring!$C$43,Scoring!$C$44)),Scoring!$C$44)))</f>
        <v>5</v>
      </c>
      <c r="AH225" s="22" t="n">
        <f aca="false">IF(T225="Y",0,IF(W225="",Scoring!$C$49,IFERROR(VLOOKUP(W225,Scoring!$B$45:$C$48,2,FALSE()),Scoring!$C$49)))</f>
        <v>5</v>
      </c>
      <c r="AI225" s="23" t="n">
        <f aca="false">C225+IF(ISNUMBER(J225),J225,0)/100000+(10000-ROW())/1000000000</f>
        <v>59.000359775</v>
      </c>
      <c r="AJ225" s="18"/>
      <c r="AK225" s="18"/>
      <c r="AL225" s="18"/>
      <c r="AM225" s="18"/>
    </row>
    <row r="226" customFormat="false" ht="15" hidden="false" customHeight="false" outlineLevel="0" collapsed="false">
      <c r="A226" s="15" t="n">
        <f aca="false">RANK(AI226,$AI$2:$AI$755)</f>
        <v>225</v>
      </c>
      <c r="B226" s="16" t="str">
        <f aca="false">IF(T226="Y","Superseded",IF(C226&gt;=Scoring!$B$16,"Immediate",IF(C226&gt;=Scoring!$B$17,"This week",IF(C226&gt;=Scoring!$B$18,"Nurture","Low"))))</f>
        <v>This week</v>
      </c>
      <c r="C226" s="3" t="n">
        <f aca="false">SUM(AC226:AH226)</f>
        <v>59</v>
      </c>
      <c r="D226" s="15" t="str">
        <f aca="false">IF(T226="Y","Superseded record",IF(AND(U226&lt;&gt;"",AA226&lt;0),"Expired (verified)",IF(AND(U226&lt;&gt;"",AA226&lt;=Scoring!$B$5),"Expiring: notice window (verified)",IF(AND(U226&lt;&gt;"",AA226&lt;=Scoring!$B$6),"Expiring: 10-yr horizon (verified)",IF(M226="No Longer Monitored","Out of program",IF(N226="","Unknown vintage",IF(N226&lt;Scoring!$B$12,"Pre-1990, still listed",IF(AND(U226="",AA226&lt;0),"Past 30-yr mark (verify)",IF(AND(U226="",AA226&lt;=Scoring!$B$5),"30-yr mark: notice window (est.)",IF(AND(O226&gt;=Scoring!$B$7,O226&lt;=Scoring!$B$8),"Year-15 window",IF(O226&gt;=Scoring!$B$9,"Recap window",IF(O226&gt;=11,"Late compliance","Credit period"))))))))))))</f>
        <v>Year-15 window</v>
      </c>
      <c r="E226" s="15" t="s">
        <v>940</v>
      </c>
      <c r="F226" s="15" t="s">
        <v>941</v>
      </c>
      <c r="G226" s="15" t="s">
        <v>942</v>
      </c>
      <c r="H226" s="15" t="s">
        <v>906</v>
      </c>
      <c r="I226" s="15" t="s">
        <v>907</v>
      </c>
      <c r="J226" s="15" t="n">
        <v>33</v>
      </c>
      <c r="K226" s="15" t="n">
        <v>33</v>
      </c>
      <c r="L226" s="15" t="n">
        <f aca="false">IF(OR(J226="",K226=""),"",MAX(J226-K226,0))</f>
        <v>0</v>
      </c>
      <c r="M226" s="15" t="s">
        <v>99</v>
      </c>
      <c r="N226" s="17" t="n">
        <v>2009</v>
      </c>
      <c r="O226" s="15" t="n">
        <f aca="false">IF(N226="","",Scoring!$B$4-N226)</f>
        <v>17</v>
      </c>
      <c r="P226" s="15" t="n">
        <f aca="false">IF(N226="","",N226+14)</f>
        <v>2023</v>
      </c>
      <c r="Q226" s="15" t="n">
        <f aca="false">IF(N226="","",IF(N226&lt;Scoring!$B$12,"n/a (pre-1990)",N226+Scoring!$B$13))</f>
        <v>2038</v>
      </c>
      <c r="R226" s="15" t="str">
        <f aca="false">IF(J226="","Unknown",IF(J226&gt;=5,"Yes","No (under 5 units)"))</f>
        <v>Yes</v>
      </c>
      <c r="S226" s="15"/>
      <c r="T226" s="18"/>
      <c r="U226" s="19"/>
      <c r="V226" s="18"/>
      <c r="W226" s="18"/>
      <c r="X226" s="20"/>
      <c r="Y226" s="18"/>
      <c r="Z226" s="18"/>
      <c r="AA226" s="21" t="n">
        <f aca="false">IF(U226&lt;&gt;"",(U226-Scoring!$B$3)/365.25,IF(N226="","",IF(N226&lt;Scoring!$B$12,"",(DATE(N226+Scoring!$B$13,12,31)-Scoring!$B$3)/365.25)))</f>
        <v>12.2464065708419</v>
      </c>
      <c r="AB226" s="22" t="n">
        <f aca="false">IF(T226="Y",0,IF(OR(D226="Expired (verified)",D226="Expiring: notice window (verified)",D226="Expiring: 10-yr horizon (verified)",D226="Past 30-yr mark (verify)",D226="30-yr mark: notice window (est.)",D226="Year-15 window"),1,0)+IF(ISNUMBER(O226),IF(O226&gt;=Scoring!$B$10,1,0),0)+IF(AND(ISNUMBER(L226),ISNUMBER(J226)),IF(J226&gt;0,IF(L226/J226&gt;=Scoring!$B$11,1,0),0),0)+IF(ISNUMBER(Z226),MIN(Z226,3),0))</f>
        <v>1</v>
      </c>
      <c r="AC226" s="22" t="n">
        <f aca="false">IF(AB226&gt;=3,Scoring!$C$24,IF(AB226=2,Scoring!$C$23,IF(AB226=1,Scoring!$C$22,0)))</f>
        <v>10</v>
      </c>
      <c r="AD226" s="22" t="n">
        <f aca="false">IF(T226="Y",0,IF(ISNUMBER(X226),IF(X226&gt;0.7,Scoring!$C$25,IF(X226&gt;=0.5,Scoring!$C$26,IF(X226&gt;=0.3,Scoring!$C$27,Scoring!$C$28))),Scoring!$C$29))</f>
        <v>10</v>
      </c>
      <c r="AE226" s="22" t="n">
        <f aca="false">IF(D226="Expiring: notice window (verified)",Scoring!$C$30,IF(OR(D226="Expired (verified)",D226="30-yr mark: notice window (est.)",D226="Year-15 window"),Scoring!$C$31,IF(D226="Expiring: 10-yr horizon (verified)",Scoring!$C$32,IF(D226="Past 30-yr mark (verify)",Scoring!$C$33,IF(OR(D226="Credit period",D226="Superseded record"),Scoring!$C$35,Scoring!$C$34)))))</f>
        <v>14</v>
      </c>
      <c r="AF226" s="22" t="n">
        <f aca="false">IF(T226="Y",0,IF(ISNUMBER(V226),IF(Scoring!$B$4-V226&gt;15,Scoring!$C$36,IF(Scoring!$B$4-V226&gt;=10,Scoring!$C$37,IF(Scoring!$B$4-V226&gt;=5,Scoring!$C$38,Scoring!$C$39))),IF(OR(N226="",D226="Out of program"),Scoring!$C$40,IF(O226&gt;15,Scoring!$C$36,IF(O226&gt;=10,Scoring!$C$37,IF(O226&gt;=5,Scoring!$C$38,Scoring!$C$39))))))</f>
        <v>15</v>
      </c>
      <c r="AG226" s="22" t="n">
        <f aca="false">IF(T226="Y",0,IF(Y226="Y",Scoring!$C$41,IF(ISNUMBER(O226),IF(O226&gt;=25,Scoring!$C$42,IF(O226&gt;=15,Scoring!$C$43,Scoring!$C$44)),Scoring!$C$44)))</f>
        <v>5</v>
      </c>
      <c r="AH226" s="22" t="n">
        <f aca="false">IF(T226="Y",0,IF(W226="",Scoring!$C$49,IFERROR(VLOOKUP(W226,Scoring!$B$45:$C$48,2,FALSE()),Scoring!$C$49)))</f>
        <v>5</v>
      </c>
      <c r="AI226" s="23" t="n">
        <f aca="false">C226+IF(ISNUMBER(J226),J226,0)/100000+(10000-ROW())/1000000000</f>
        <v>59.000339774</v>
      </c>
      <c r="AJ226" s="18"/>
      <c r="AK226" s="18"/>
      <c r="AL226" s="18"/>
      <c r="AM226" s="18"/>
    </row>
    <row r="227" customFormat="false" ht="15" hidden="false" customHeight="false" outlineLevel="0" collapsed="false">
      <c r="A227" s="15" t="n">
        <f aca="false">RANK(AI227,$AI$2:$AI$755)</f>
        <v>226</v>
      </c>
      <c r="B227" s="16" t="str">
        <f aca="false">IF(T227="Y","Superseded",IF(C227&gt;=Scoring!$B$16,"Immediate",IF(C227&gt;=Scoring!$B$17,"This week",IF(C227&gt;=Scoring!$B$18,"Nurture","Low"))))</f>
        <v>This week</v>
      </c>
      <c r="C227" s="3" t="n">
        <f aca="false">SUM(AC227:AH227)</f>
        <v>59</v>
      </c>
      <c r="D227" s="15" t="str">
        <f aca="false">IF(T227="Y","Superseded record",IF(AND(U227&lt;&gt;"",AA227&lt;0),"Expired (verified)",IF(AND(U227&lt;&gt;"",AA227&lt;=Scoring!$B$5),"Expiring: notice window (verified)",IF(AND(U227&lt;&gt;"",AA227&lt;=Scoring!$B$6),"Expiring: 10-yr horizon (verified)",IF(M227="No Longer Monitored","Out of program",IF(N227="","Unknown vintage",IF(N227&lt;Scoring!$B$12,"Pre-1990, still listed",IF(AND(U227="",AA227&lt;0),"Past 30-yr mark (verify)",IF(AND(U227="",AA227&lt;=Scoring!$B$5),"30-yr mark: notice window (est.)",IF(AND(O227&gt;=Scoring!$B$7,O227&lt;=Scoring!$B$8),"Year-15 window",IF(O227&gt;=Scoring!$B$9,"Recap window",IF(O227&gt;=11,"Late compliance","Credit period"))))))))))))</f>
        <v>Year-15 window</v>
      </c>
      <c r="E227" s="15" t="s">
        <v>943</v>
      </c>
      <c r="F227" s="15" t="s">
        <v>944</v>
      </c>
      <c r="G227" s="15" t="s">
        <v>945</v>
      </c>
      <c r="H227" s="15" t="s">
        <v>185</v>
      </c>
      <c r="I227" s="15" t="s">
        <v>867</v>
      </c>
      <c r="J227" s="15" t="n">
        <v>33</v>
      </c>
      <c r="K227" s="15" t="n">
        <v>33</v>
      </c>
      <c r="L227" s="15" t="n">
        <f aca="false">IF(OR(J227="",K227=""),"",MAX(J227-K227,0))</f>
        <v>0</v>
      </c>
      <c r="M227" s="15" t="s">
        <v>99</v>
      </c>
      <c r="N227" s="17" t="n">
        <v>2009</v>
      </c>
      <c r="O227" s="15" t="n">
        <f aca="false">IF(N227="","",Scoring!$B$4-N227)</f>
        <v>17</v>
      </c>
      <c r="P227" s="15" t="n">
        <f aca="false">IF(N227="","",N227+14)</f>
        <v>2023</v>
      </c>
      <c r="Q227" s="15" t="n">
        <f aca="false">IF(N227="","",IF(N227&lt;Scoring!$B$12,"n/a (pre-1990)",N227+Scoring!$B$13))</f>
        <v>2038</v>
      </c>
      <c r="R227" s="15" t="str">
        <f aca="false">IF(J227="","Unknown",IF(J227&gt;=5,"Yes","No (under 5 units)"))</f>
        <v>Yes</v>
      </c>
      <c r="S227" s="15" t="s">
        <v>946</v>
      </c>
      <c r="T227" s="18"/>
      <c r="U227" s="19"/>
      <c r="V227" s="18"/>
      <c r="W227" s="18"/>
      <c r="X227" s="20"/>
      <c r="Y227" s="18"/>
      <c r="Z227" s="18"/>
      <c r="AA227" s="21" t="n">
        <f aca="false">IF(U227&lt;&gt;"",(U227-Scoring!$B$3)/365.25,IF(N227="","",IF(N227&lt;Scoring!$B$12,"",(DATE(N227+Scoring!$B$13,12,31)-Scoring!$B$3)/365.25)))</f>
        <v>12.2464065708419</v>
      </c>
      <c r="AB227" s="22" t="n">
        <f aca="false">IF(T227="Y",0,IF(OR(D227="Expired (verified)",D227="Expiring: notice window (verified)",D227="Expiring: 10-yr horizon (verified)",D227="Past 30-yr mark (verify)",D227="30-yr mark: notice window (est.)",D227="Year-15 window"),1,0)+IF(ISNUMBER(O227),IF(O227&gt;=Scoring!$B$10,1,0),0)+IF(AND(ISNUMBER(L227),ISNUMBER(J227)),IF(J227&gt;0,IF(L227/J227&gt;=Scoring!$B$11,1,0),0),0)+IF(ISNUMBER(Z227),MIN(Z227,3),0))</f>
        <v>1</v>
      </c>
      <c r="AC227" s="22" t="n">
        <f aca="false">IF(AB227&gt;=3,Scoring!$C$24,IF(AB227=2,Scoring!$C$23,IF(AB227=1,Scoring!$C$22,0)))</f>
        <v>10</v>
      </c>
      <c r="AD227" s="22" t="n">
        <f aca="false">IF(T227="Y",0,IF(ISNUMBER(X227),IF(X227&gt;0.7,Scoring!$C$25,IF(X227&gt;=0.5,Scoring!$C$26,IF(X227&gt;=0.3,Scoring!$C$27,Scoring!$C$28))),Scoring!$C$29))</f>
        <v>10</v>
      </c>
      <c r="AE227" s="22" t="n">
        <f aca="false">IF(D227="Expiring: notice window (verified)",Scoring!$C$30,IF(OR(D227="Expired (verified)",D227="30-yr mark: notice window (est.)",D227="Year-15 window"),Scoring!$C$31,IF(D227="Expiring: 10-yr horizon (verified)",Scoring!$C$32,IF(D227="Past 30-yr mark (verify)",Scoring!$C$33,IF(OR(D227="Credit period",D227="Superseded record"),Scoring!$C$35,Scoring!$C$34)))))</f>
        <v>14</v>
      </c>
      <c r="AF227" s="22" t="n">
        <f aca="false">IF(T227="Y",0,IF(ISNUMBER(V227),IF(Scoring!$B$4-V227&gt;15,Scoring!$C$36,IF(Scoring!$B$4-V227&gt;=10,Scoring!$C$37,IF(Scoring!$B$4-V227&gt;=5,Scoring!$C$38,Scoring!$C$39))),IF(OR(N227="",D227="Out of program"),Scoring!$C$40,IF(O227&gt;15,Scoring!$C$36,IF(O227&gt;=10,Scoring!$C$37,IF(O227&gt;=5,Scoring!$C$38,Scoring!$C$39))))))</f>
        <v>15</v>
      </c>
      <c r="AG227" s="22" t="n">
        <f aca="false">IF(T227="Y",0,IF(Y227="Y",Scoring!$C$41,IF(ISNUMBER(O227),IF(O227&gt;=25,Scoring!$C$42,IF(O227&gt;=15,Scoring!$C$43,Scoring!$C$44)),Scoring!$C$44)))</f>
        <v>5</v>
      </c>
      <c r="AH227" s="22" t="n">
        <f aca="false">IF(T227="Y",0,IF(W227="",Scoring!$C$49,IFERROR(VLOOKUP(W227,Scoring!$B$45:$C$48,2,FALSE()),Scoring!$C$49)))</f>
        <v>5</v>
      </c>
      <c r="AI227" s="23" t="n">
        <f aca="false">C227+IF(ISNUMBER(J227),J227,0)/100000+(10000-ROW())/1000000000</f>
        <v>59.000339773</v>
      </c>
      <c r="AJ227" s="18"/>
      <c r="AK227" s="18"/>
      <c r="AL227" s="18"/>
      <c r="AM227" s="18"/>
    </row>
    <row r="228" customFormat="false" ht="15" hidden="false" customHeight="false" outlineLevel="0" collapsed="false">
      <c r="A228" s="15" t="n">
        <f aca="false">RANK(AI228,$AI$2:$AI$755)</f>
        <v>227</v>
      </c>
      <c r="B228" s="16" t="str">
        <f aca="false">IF(T228="Y","Superseded",IF(C228&gt;=Scoring!$B$16,"Immediate",IF(C228&gt;=Scoring!$B$17,"This week",IF(C228&gt;=Scoring!$B$18,"Nurture","Low"))))</f>
        <v>This week</v>
      </c>
      <c r="C228" s="3" t="n">
        <f aca="false">SUM(AC228:AH228)</f>
        <v>59</v>
      </c>
      <c r="D228" s="15" t="str">
        <f aca="false">IF(T228="Y","Superseded record",IF(AND(U228&lt;&gt;"",AA228&lt;0),"Expired (verified)",IF(AND(U228&lt;&gt;"",AA228&lt;=Scoring!$B$5),"Expiring: notice window (verified)",IF(AND(U228&lt;&gt;"",AA228&lt;=Scoring!$B$6),"Expiring: 10-yr horizon (verified)",IF(M228="No Longer Monitored","Out of program",IF(N228="","Unknown vintage",IF(N228&lt;Scoring!$B$12,"Pre-1990, still listed",IF(AND(U228="",AA228&lt;0),"Past 30-yr mark (verify)",IF(AND(U228="",AA228&lt;=Scoring!$B$5),"30-yr mark: notice window (est.)",IF(AND(O228&gt;=Scoring!$B$7,O228&lt;=Scoring!$B$8),"Year-15 window",IF(O228&gt;=Scoring!$B$9,"Recap window",IF(O228&gt;=11,"Late compliance","Credit period"))))))))))))</f>
        <v>Year-15 window</v>
      </c>
      <c r="E228" s="15" t="s">
        <v>947</v>
      </c>
      <c r="F228" s="15" t="s">
        <v>948</v>
      </c>
      <c r="G228" s="15" t="s">
        <v>949</v>
      </c>
      <c r="H228" s="15" t="s">
        <v>97</v>
      </c>
      <c r="I228" s="15" t="s">
        <v>164</v>
      </c>
      <c r="J228" s="15" t="n">
        <v>32</v>
      </c>
      <c r="K228" s="15" t="n">
        <v>32</v>
      </c>
      <c r="L228" s="15" t="n">
        <f aca="false">IF(OR(J228="",K228=""),"",MAX(J228-K228,0))</f>
        <v>0</v>
      </c>
      <c r="M228" s="15" t="s">
        <v>99</v>
      </c>
      <c r="N228" s="17" t="n">
        <v>2009</v>
      </c>
      <c r="O228" s="15" t="n">
        <f aca="false">IF(N228="","",Scoring!$B$4-N228)</f>
        <v>17</v>
      </c>
      <c r="P228" s="15" t="n">
        <f aca="false">IF(N228="","",N228+14)</f>
        <v>2023</v>
      </c>
      <c r="Q228" s="15" t="n">
        <f aca="false">IF(N228="","",IF(N228&lt;Scoring!$B$12,"n/a (pre-1990)",N228+Scoring!$B$13))</f>
        <v>2038</v>
      </c>
      <c r="R228" s="15" t="str">
        <f aca="false">IF(J228="","Unknown",IF(J228&gt;=5,"Yes","No (under 5 units)"))</f>
        <v>Yes</v>
      </c>
      <c r="S228" s="15"/>
      <c r="T228" s="18"/>
      <c r="U228" s="19"/>
      <c r="V228" s="18"/>
      <c r="W228" s="18"/>
      <c r="X228" s="20"/>
      <c r="Y228" s="18"/>
      <c r="Z228" s="18"/>
      <c r="AA228" s="21" t="n">
        <f aca="false">IF(U228&lt;&gt;"",(U228-Scoring!$B$3)/365.25,IF(N228="","",IF(N228&lt;Scoring!$B$12,"",(DATE(N228+Scoring!$B$13,12,31)-Scoring!$B$3)/365.25)))</f>
        <v>12.2464065708419</v>
      </c>
      <c r="AB228" s="22" t="n">
        <f aca="false">IF(T228="Y",0,IF(OR(D228="Expired (verified)",D228="Expiring: notice window (verified)",D228="Expiring: 10-yr horizon (verified)",D228="Past 30-yr mark (verify)",D228="30-yr mark: notice window (est.)",D228="Year-15 window"),1,0)+IF(ISNUMBER(O228),IF(O228&gt;=Scoring!$B$10,1,0),0)+IF(AND(ISNUMBER(L228),ISNUMBER(J228)),IF(J228&gt;0,IF(L228/J228&gt;=Scoring!$B$11,1,0),0),0)+IF(ISNUMBER(Z228),MIN(Z228,3),0))</f>
        <v>1</v>
      </c>
      <c r="AC228" s="22" t="n">
        <f aca="false">IF(AB228&gt;=3,Scoring!$C$24,IF(AB228=2,Scoring!$C$23,IF(AB228=1,Scoring!$C$22,0)))</f>
        <v>10</v>
      </c>
      <c r="AD228" s="22" t="n">
        <f aca="false">IF(T228="Y",0,IF(ISNUMBER(X228),IF(X228&gt;0.7,Scoring!$C$25,IF(X228&gt;=0.5,Scoring!$C$26,IF(X228&gt;=0.3,Scoring!$C$27,Scoring!$C$28))),Scoring!$C$29))</f>
        <v>10</v>
      </c>
      <c r="AE228" s="22" t="n">
        <f aca="false">IF(D228="Expiring: notice window (verified)",Scoring!$C$30,IF(OR(D228="Expired (verified)",D228="30-yr mark: notice window (est.)",D228="Year-15 window"),Scoring!$C$31,IF(D228="Expiring: 10-yr horizon (verified)",Scoring!$C$32,IF(D228="Past 30-yr mark (verify)",Scoring!$C$33,IF(OR(D228="Credit period",D228="Superseded record"),Scoring!$C$35,Scoring!$C$34)))))</f>
        <v>14</v>
      </c>
      <c r="AF228" s="22" t="n">
        <f aca="false">IF(T228="Y",0,IF(ISNUMBER(V228),IF(Scoring!$B$4-V228&gt;15,Scoring!$C$36,IF(Scoring!$B$4-V228&gt;=10,Scoring!$C$37,IF(Scoring!$B$4-V228&gt;=5,Scoring!$C$38,Scoring!$C$39))),IF(OR(N228="",D228="Out of program"),Scoring!$C$40,IF(O228&gt;15,Scoring!$C$36,IF(O228&gt;=10,Scoring!$C$37,IF(O228&gt;=5,Scoring!$C$38,Scoring!$C$39))))))</f>
        <v>15</v>
      </c>
      <c r="AG228" s="22" t="n">
        <f aca="false">IF(T228="Y",0,IF(Y228="Y",Scoring!$C$41,IF(ISNUMBER(O228),IF(O228&gt;=25,Scoring!$C$42,IF(O228&gt;=15,Scoring!$C$43,Scoring!$C$44)),Scoring!$C$44)))</f>
        <v>5</v>
      </c>
      <c r="AH228" s="22" t="n">
        <f aca="false">IF(T228="Y",0,IF(W228="",Scoring!$C$49,IFERROR(VLOOKUP(W228,Scoring!$B$45:$C$48,2,FALSE()),Scoring!$C$49)))</f>
        <v>5</v>
      </c>
      <c r="AI228" s="23" t="n">
        <f aca="false">C228+IF(ISNUMBER(J228),J228,0)/100000+(10000-ROW())/1000000000</f>
        <v>59.000329772</v>
      </c>
      <c r="AJ228" s="18"/>
      <c r="AK228" s="18"/>
      <c r="AL228" s="18"/>
      <c r="AM228" s="18"/>
    </row>
    <row r="229" customFormat="false" ht="15" hidden="false" customHeight="false" outlineLevel="0" collapsed="false">
      <c r="A229" s="15" t="n">
        <f aca="false">RANK(AI229,$AI$2:$AI$755)</f>
        <v>228</v>
      </c>
      <c r="B229" s="16" t="str">
        <f aca="false">IF(T229="Y","Superseded",IF(C229&gt;=Scoring!$B$16,"Immediate",IF(C229&gt;=Scoring!$B$17,"This week",IF(C229&gt;=Scoring!$B$18,"Nurture","Low"))))</f>
        <v>This week</v>
      </c>
      <c r="C229" s="3" t="n">
        <f aca="false">SUM(AC229:AH229)</f>
        <v>59</v>
      </c>
      <c r="D229" s="15" t="str">
        <f aca="false">IF(T229="Y","Superseded record",IF(AND(U229&lt;&gt;"",AA229&lt;0),"Expired (verified)",IF(AND(U229&lt;&gt;"",AA229&lt;=Scoring!$B$5),"Expiring: notice window (verified)",IF(AND(U229&lt;&gt;"",AA229&lt;=Scoring!$B$6),"Expiring: 10-yr horizon (verified)",IF(M229="No Longer Monitored","Out of program",IF(N229="","Unknown vintage",IF(N229&lt;Scoring!$B$12,"Pre-1990, still listed",IF(AND(U229="",AA229&lt;0),"Past 30-yr mark (verify)",IF(AND(U229="",AA229&lt;=Scoring!$B$5),"30-yr mark: notice window (est.)",IF(AND(O229&gt;=Scoring!$B$7,O229&lt;=Scoring!$B$8),"Year-15 window",IF(O229&gt;=Scoring!$B$9,"Recap window",IF(O229&gt;=11,"Late compliance","Credit period"))))))))))))</f>
        <v>Year-15 window</v>
      </c>
      <c r="E229" s="15" t="s">
        <v>950</v>
      </c>
      <c r="F229" s="15" t="s">
        <v>951</v>
      </c>
      <c r="G229" s="15" t="s">
        <v>952</v>
      </c>
      <c r="H229" s="15" t="s">
        <v>353</v>
      </c>
      <c r="I229" s="15" t="s">
        <v>354</v>
      </c>
      <c r="J229" s="15" t="n">
        <v>32</v>
      </c>
      <c r="K229" s="15" t="n">
        <v>32</v>
      </c>
      <c r="L229" s="15" t="n">
        <f aca="false">IF(OR(J229="",K229=""),"",MAX(J229-K229,0))</f>
        <v>0</v>
      </c>
      <c r="M229" s="15" t="s">
        <v>99</v>
      </c>
      <c r="N229" s="17" t="n">
        <v>2010</v>
      </c>
      <c r="O229" s="15" t="n">
        <f aca="false">IF(N229="","",Scoring!$B$4-N229)</f>
        <v>16</v>
      </c>
      <c r="P229" s="15" t="n">
        <f aca="false">IF(N229="","",N229+14)</f>
        <v>2024</v>
      </c>
      <c r="Q229" s="15" t="n">
        <f aca="false">IF(N229="","",IF(N229&lt;Scoring!$B$12,"n/a (pre-1990)",N229+Scoring!$B$13))</f>
        <v>2039</v>
      </c>
      <c r="R229" s="15" t="str">
        <f aca="false">IF(J229="","Unknown",IF(J229&gt;=5,"Yes","No (under 5 units)"))</f>
        <v>Yes</v>
      </c>
      <c r="S229" s="15"/>
      <c r="T229" s="18"/>
      <c r="U229" s="19"/>
      <c r="V229" s="18"/>
      <c r="W229" s="18"/>
      <c r="X229" s="20"/>
      <c r="Y229" s="18"/>
      <c r="Z229" s="18"/>
      <c r="AA229" s="21" t="n">
        <f aca="false">IF(U229&lt;&gt;"",(U229-Scoring!$B$3)/365.25,IF(N229="","",IF(N229&lt;Scoring!$B$12,"",(DATE(N229+Scoring!$B$13,12,31)-Scoring!$B$3)/365.25)))</f>
        <v>13.2457221081451</v>
      </c>
      <c r="AB229" s="22" t="n">
        <f aca="false">IF(T229="Y",0,IF(OR(D229="Expired (verified)",D229="Expiring: notice window (verified)",D229="Expiring: 10-yr horizon (verified)",D229="Past 30-yr mark (verify)",D229="30-yr mark: notice window (est.)",D229="Year-15 window"),1,0)+IF(ISNUMBER(O229),IF(O229&gt;=Scoring!$B$10,1,0),0)+IF(AND(ISNUMBER(L229),ISNUMBER(J229)),IF(J229&gt;0,IF(L229/J229&gt;=Scoring!$B$11,1,0),0),0)+IF(ISNUMBER(Z229),MIN(Z229,3),0))</f>
        <v>1</v>
      </c>
      <c r="AC229" s="22" t="n">
        <f aca="false">IF(AB229&gt;=3,Scoring!$C$24,IF(AB229=2,Scoring!$C$23,IF(AB229=1,Scoring!$C$22,0)))</f>
        <v>10</v>
      </c>
      <c r="AD229" s="22" t="n">
        <f aca="false">IF(T229="Y",0,IF(ISNUMBER(X229),IF(X229&gt;0.7,Scoring!$C$25,IF(X229&gt;=0.5,Scoring!$C$26,IF(X229&gt;=0.3,Scoring!$C$27,Scoring!$C$28))),Scoring!$C$29))</f>
        <v>10</v>
      </c>
      <c r="AE229" s="22" t="n">
        <f aca="false">IF(D229="Expiring: notice window (verified)",Scoring!$C$30,IF(OR(D229="Expired (verified)",D229="30-yr mark: notice window (est.)",D229="Year-15 window"),Scoring!$C$31,IF(D229="Expiring: 10-yr horizon (verified)",Scoring!$C$32,IF(D229="Past 30-yr mark (verify)",Scoring!$C$33,IF(OR(D229="Credit period",D229="Superseded record"),Scoring!$C$35,Scoring!$C$34)))))</f>
        <v>14</v>
      </c>
      <c r="AF229" s="22" t="n">
        <f aca="false">IF(T229="Y",0,IF(ISNUMBER(V229),IF(Scoring!$B$4-V229&gt;15,Scoring!$C$36,IF(Scoring!$B$4-V229&gt;=10,Scoring!$C$37,IF(Scoring!$B$4-V229&gt;=5,Scoring!$C$38,Scoring!$C$39))),IF(OR(N229="",D229="Out of program"),Scoring!$C$40,IF(O229&gt;15,Scoring!$C$36,IF(O229&gt;=10,Scoring!$C$37,IF(O229&gt;=5,Scoring!$C$38,Scoring!$C$39))))))</f>
        <v>15</v>
      </c>
      <c r="AG229" s="22" t="n">
        <f aca="false">IF(T229="Y",0,IF(Y229="Y",Scoring!$C$41,IF(ISNUMBER(O229),IF(O229&gt;=25,Scoring!$C$42,IF(O229&gt;=15,Scoring!$C$43,Scoring!$C$44)),Scoring!$C$44)))</f>
        <v>5</v>
      </c>
      <c r="AH229" s="22" t="n">
        <f aca="false">IF(T229="Y",0,IF(W229="",Scoring!$C$49,IFERROR(VLOOKUP(W229,Scoring!$B$45:$C$48,2,FALSE()),Scoring!$C$49)))</f>
        <v>5</v>
      </c>
      <c r="AI229" s="23" t="n">
        <f aca="false">C229+IF(ISNUMBER(J229),J229,0)/100000+(10000-ROW())/1000000000</f>
        <v>59.000329771</v>
      </c>
      <c r="AJ229" s="18"/>
      <c r="AK229" s="18"/>
      <c r="AL229" s="18"/>
      <c r="AM229" s="18"/>
    </row>
    <row r="230" customFormat="false" ht="15" hidden="false" customHeight="false" outlineLevel="0" collapsed="false">
      <c r="A230" s="15" t="n">
        <f aca="false">RANK(AI230,$AI$2:$AI$755)</f>
        <v>229</v>
      </c>
      <c r="B230" s="16" t="str">
        <f aca="false">IF(T230="Y","Superseded",IF(C230&gt;=Scoring!$B$16,"Immediate",IF(C230&gt;=Scoring!$B$17,"This week",IF(C230&gt;=Scoring!$B$18,"Nurture","Low"))))</f>
        <v>This week</v>
      </c>
      <c r="C230" s="3" t="n">
        <f aca="false">SUM(AC230:AH230)</f>
        <v>59</v>
      </c>
      <c r="D230" s="15" t="str">
        <f aca="false">IF(T230="Y","Superseded record",IF(AND(U230&lt;&gt;"",AA230&lt;0),"Expired (verified)",IF(AND(U230&lt;&gt;"",AA230&lt;=Scoring!$B$5),"Expiring: notice window (verified)",IF(AND(U230&lt;&gt;"",AA230&lt;=Scoring!$B$6),"Expiring: 10-yr horizon (verified)",IF(M230="No Longer Monitored","Out of program",IF(N230="","Unknown vintage",IF(N230&lt;Scoring!$B$12,"Pre-1990, still listed",IF(AND(U230="",AA230&lt;0),"Past 30-yr mark (verify)",IF(AND(U230="",AA230&lt;=Scoring!$B$5),"30-yr mark: notice window (est.)",IF(AND(O230&gt;=Scoring!$B$7,O230&lt;=Scoring!$B$8),"Year-15 window",IF(O230&gt;=Scoring!$B$9,"Recap window",IF(O230&gt;=11,"Late compliance","Credit period"))))))))))))</f>
        <v>Year-15 window</v>
      </c>
      <c r="E230" s="15" t="s">
        <v>953</v>
      </c>
      <c r="F230" s="15" t="s">
        <v>954</v>
      </c>
      <c r="G230" s="15" t="s">
        <v>955</v>
      </c>
      <c r="H230" s="15" t="s">
        <v>956</v>
      </c>
      <c r="I230" s="15" t="s">
        <v>957</v>
      </c>
      <c r="J230" s="15" t="n">
        <v>32</v>
      </c>
      <c r="K230" s="15" t="n">
        <v>32</v>
      </c>
      <c r="L230" s="15" t="n">
        <f aca="false">IF(OR(J230="",K230=""),"",MAX(J230-K230,0))</f>
        <v>0</v>
      </c>
      <c r="M230" s="15" t="s">
        <v>99</v>
      </c>
      <c r="N230" s="17" t="n">
        <v>2010</v>
      </c>
      <c r="O230" s="15" t="n">
        <f aca="false">IF(N230="","",Scoring!$B$4-N230)</f>
        <v>16</v>
      </c>
      <c r="P230" s="15" t="n">
        <f aca="false">IF(N230="","",N230+14)</f>
        <v>2024</v>
      </c>
      <c r="Q230" s="15" t="n">
        <f aca="false">IF(N230="","",IF(N230&lt;Scoring!$B$12,"n/a (pre-1990)",N230+Scoring!$B$13))</f>
        <v>2039</v>
      </c>
      <c r="R230" s="15" t="str">
        <f aca="false">IF(J230="","Unknown",IF(J230&gt;=5,"Yes","No (under 5 units)"))</f>
        <v>Yes</v>
      </c>
      <c r="S230" s="15"/>
      <c r="T230" s="18"/>
      <c r="U230" s="19"/>
      <c r="V230" s="18"/>
      <c r="W230" s="18"/>
      <c r="X230" s="20"/>
      <c r="Y230" s="18"/>
      <c r="Z230" s="18"/>
      <c r="AA230" s="21" t="n">
        <f aca="false">IF(U230&lt;&gt;"",(U230-Scoring!$B$3)/365.25,IF(N230="","",IF(N230&lt;Scoring!$B$12,"",(DATE(N230+Scoring!$B$13,12,31)-Scoring!$B$3)/365.25)))</f>
        <v>13.2457221081451</v>
      </c>
      <c r="AB230" s="22" t="n">
        <f aca="false">IF(T230="Y",0,IF(OR(D230="Expired (verified)",D230="Expiring: notice window (verified)",D230="Expiring: 10-yr horizon (verified)",D230="Past 30-yr mark (verify)",D230="30-yr mark: notice window (est.)",D230="Year-15 window"),1,0)+IF(ISNUMBER(O230),IF(O230&gt;=Scoring!$B$10,1,0),0)+IF(AND(ISNUMBER(L230),ISNUMBER(J230)),IF(J230&gt;0,IF(L230/J230&gt;=Scoring!$B$11,1,0),0),0)+IF(ISNUMBER(Z230),MIN(Z230,3),0))</f>
        <v>1</v>
      </c>
      <c r="AC230" s="22" t="n">
        <f aca="false">IF(AB230&gt;=3,Scoring!$C$24,IF(AB230=2,Scoring!$C$23,IF(AB230=1,Scoring!$C$22,0)))</f>
        <v>10</v>
      </c>
      <c r="AD230" s="22" t="n">
        <f aca="false">IF(T230="Y",0,IF(ISNUMBER(X230),IF(X230&gt;0.7,Scoring!$C$25,IF(X230&gt;=0.5,Scoring!$C$26,IF(X230&gt;=0.3,Scoring!$C$27,Scoring!$C$28))),Scoring!$C$29))</f>
        <v>10</v>
      </c>
      <c r="AE230" s="22" t="n">
        <f aca="false">IF(D230="Expiring: notice window (verified)",Scoring!$C$30,IF(OR(D230="Expired (verified)",D230="30-yr mark: notice window (est.)",D230="Year-15 window"),Scoring!$C$31,IF(D230="Expiring: 10-yr horizon (verified)",Scoring!$C$32,IF(D230="Past 30-yr mark (verify)",Scoring!$C$33,IF(OR(D230="Credit period",D230="Superseded record"),Scoring!$C$35,Scoring!$C$34)))))</f>
        <v>14</v>
      </c>
      <c r="AF230" s="22" t="n">
        <f aca="false">IF(T230="Y",0,IF(ISNUMBER(V230),IF(Scoring!$B$4-V230&gt;15,Scoring!$C$36,IF(Scoring!$B$4-V230&gt;=10,Scoring!$C$37,IF(Scoring!$B$4-V230&gt;=5,Scoring!$C$38,Scoring!$C$39))),IF(OR(N230="",D230="Out of program"),Scoring!$C$40,IF(O230&gt;15,Scoring!$C$36,IF(O230&gt;=10,Scoring!$C$37,IF(O230&gt;=5,Scoring!$C$38,Scoring!$C$39))))))</f>
        <v>15</v>
      </c>
      <c r="AG230" s="22" t="n">
        <f aca="false">IF(T230="Y",0,IF(Y230="Y",Scoring!$C$41,IF(ISNUMBER(O230),IF(O230&gt;=25,Scoring!$C$42,IF(O230&gt;=15,Scoring!$C$43,Scoring!$C$44)),Scoring!$C$44)))</f>
        <v>5</v>
      </c>
      <c r="AH230" s="22" t="n">
        <f aca="false">IF(T230="Y",0,IF(W230="",Scoring!$C$49,IFERROR(VLOOKUP(W230,Scoring!$B$45:$C$48,2,FALSE()),Scoring!$C$49)))</f>
        <v>5</v>
      </c>
      <c r="AI230" s="23" t="n">
        <f aca="false">C230+IF(ISNUMBER(J230),J230,0)/100000+(10000-ROW())/1000000000</f>
        <v>59.00032977</v>
      </c>
      <c r="AJ230" s="18"/>
      <c r="AK230" s="18"/>
      <c r="AL230" s="18"/>
      <c r="AM230" s="18"/>
    </row>
    <row r="231" customFormat="false" ht="15" hidden="false" customHeight="false" outlineLevel="0" collapsed="false">
      <c r="A231" s="15" t="n">
        <f aca="false">RANK(AI231,$AI$2:$AI$755)</f>
        <v>230</v>
      </c>
      <c r="B231" s="16" t="str">
        <f aca="false">IF(T231="Y","Superseded",IF(C231&gt;=Scoring!$B$16,"Immediate",IF(C231&gt;=Scoring!$B$17,"This week",IF(C231&gt;=Scoring!$B$18,"Nurture","Low"))))</f>
        <v>This week</v>
      </c>
      <c r="C231" s="3" t="n">
        <f aca="false">SUM(AC231:AH231)</f>
        <v>59</v>
      </c>
      <c r="D231" s="15" t="str">
        <f aca="false">IF(T231="Y","Superseded record",IF(AND(U231&lt;&gt;"",AA231&lt;0),"Expired (verified)",IF(AND(U231&lt;&gt;"",AA231&lt;=Scoring!$B$5),"Expiring: notice window (verified)",IF(AND(U231&lt;&gt;"",AA231&lt;=Scoring!$B$6),"Expiring: 10-yr horizon (verified)",IF(M231="No Longer Monitored","Out of program",IF(N231="","Unknown vintage",IF(N231&lt;Scoring!$B$12,"Pre-1990, still listed",IF(AND(U231="",AA231&lt;0),"Past 30-yr mark (verify)",IF(AND(U231="",AA231&lt;=Scoring!$B$5),"30-yr mark: notice window (est.)",IF(AND(O231&gt;=Scoring!$B$7,O231&lt;=Scoring!$B$8),"Year-15 window",IF(O231&gt;=Scoring!$B$9,"Recap window",IF(O231&gt;=11,"Late compliance","Credit period"))))))))))))</f>
        <v>Year-15 window</v>
      </c>
      <c r="E231" s="15" t="s">
        <v>958</v>
      </c>
      <c r="F231" s="15" t="s">
        <v>959</v>
      </c>
      <c r="G231" s="15" t="s">
        <v>960</v>
      </c>
      <c r="H231" s="15" t="s">
        <v>107</v>
      </c>
      <c r="I231" s="15" t="s">
        <v>594</v>
      </c>
      <c r="J231" s="15" t="n">
        <v>31</v>
      </c>
      <c r="K231" s="15" t="n">
        <v>31</v>
      </c>
      <c r="L231" s="15" t="n">
        <f aca="false">IF(OR(J231="",K231=""),"",MAX(J231-K231,0))</f>
        <v>0</v>
      </c>
      <c r="M231" s="15" t="s">
        <v>99</v>
      </c>
      <c r="N231" s="17" t="n">
        <v>2009</v>
      </c>
      <c r="O231" s="15" t="n">
        <f aca="false">IF(N231="","",Scoring!$B$4-N231)</f>
        <v>17</v>
      </c>
      <c r="P231" s="15" t="n">
        <f aca="false">IF(N231="","",N231+14)</f>
        <v>2023</v>
      </c>
      <c r="Q231" s="15" t="n">
        <f aca="false">IF(N231="","",IF(N231&lt;Scoring!$B$12,"n/a (pre-1990)",N231+Scoring!$B$13))</f>
        <v>2038</v>
      </c>
      <c r="R231" s="15" t="str">
        <f aca="false">IF(J231="","Unknown",IF(J231&gt;=5,"Yes","No (under 5 units)"))</f>
        <v>Yes</v>
      </c>
      <c r="S231" s="15"/>
      <c r="T231" s="18"/>
      <c r="U231" s="19"/>
      <c r="V231" s="18"/>
      <c r="W231" s="18"/>
      <c r="X231" s="20"/>
      <c r="Y231" s="18"/>
      <c r="Z231" s="18"/>
      <c r="AA231" s="21" t="n">
        <f aca="false">IF(U231&lt;&gt;"",(U231-Scoring!$B$3)/365.25,IF(N231="","",IF(N231&lt;Scoring!$B$12,"",(DATE(N231+Scoring!$B$13,12,31)-Scoring!$B$3)/365.25)))</f>
        <v>12.2464065708419</v>
      </c>
      <c r="AB231" s="22" t="n">
        <f aca="false">IF(T231="Y",0,IF(OR(D231="Expired (verified)",D231="Expiring: notice window (verified)",D231="Expiring: 10-yr horizon (verified)",D231="Past 30-yr mark (verify)",D231="30-yr mark: notice window (est.)",D231="Year-15 window"),1,0)+IF(ISNUMBER(O231),IF(O231&gt;=Scoring!$B$10,1,0),0)+IF(AND(ISNUMBER(L231),ISNUMBER(J231)),IF(J231&gt;0,IF(L231/J231&gt;=Scoring!$B$11,1,0),0),0)+IF(ISNUMBER(Z231),MIN(Z231,3),0))</f>
        <v>1</v>
      </c>
      <c r="AC231" s="22" t="n">
        <f aca="false">IF(AB231&gt;=3,Scoring!$C$24,IF(AB231=2,Scoring!$C$23,IF(AB231=1,Scoring!$C$22,0)))</f>
        <v>10</v>
      </c>
      <c r="AD231" s="22" t="n">
        <f aca="false">IF(T231="Y",0,IF(ISNUMBER(X231),IF(X231&gt;0.7,Scoring!$C$25,IF(X231&gt;=0.5,Scoring!$C$26,IF(X231&gt;=0.3,Scoring!$C$27,Scoring!$C$28))),Scoring!$C$29))</f>
        <v>10</v>
      </c>
      <c r="AE231" s="22" t="n">
        <f aca="false">IF(D231="Expiring: notice window (verified)",Scoring!$C$30,IF(OR(D231="Expired (verified)",D231="30-yr mark: notice window (est.)",D231="Year-15 window"),Scoring!$C$31,IF(D231="Expiring: 10-yr horizon (verified)",Scoring!$C$32,IF(D231="Past 30-yr mark (verify)",Scoring!$C$33,IF(OR(D231="Credit period",D231="Superseded record"),Scoring!$C$35,Scoring!$C$34)))))</f>
        <v>14</v>
      </c>
      <c r="AF231" s="22" t="n">
        <f aca="false">IF(T231="Y",0,IF(ISNUMBER(V231),IF(Scoring!$B$4-V231&gt;15,Scoring!$C$36,IF(Scoring!$B$4-V231&gt;=10,Scoring!$C$37,IF(Scoring!$B$4-V231&gt;=5,Scoring!$C$38,Scoring!$C$39))),IF(OR(N231="",D231="Out of program"),Scoring!$C$40,IF(O231&gt;15,Scoring!$C$36,IF(O231&gt;=10,Scoring!$C$37,IF(O231&gt;=5,Scoring!$C$38,Scoring!$C$39))))))</f>
        <v>15</v>
      </c>
      <c r="AG231" s="22" t="n">
        <f aca="false">IF(T231="Y",0,IF(Y231="Y",Scoring!$C$41,IF(ISNUMBER(O231),IF(O231&gt;=25,Scoring!$C$42,IF(O231&gt;=15,Scoring!$C$43,Scoring!$C$44)),Scoring!$C$44)))</f>
        <v>5</v>
      </c>
      <c r="AH231" s="22" t="n">
        <f aca="false">IF(T231="Y",0,IF(W231="",Scoring!$C$49,IFERROR(VLOOKUP(W231,Scoring!$B$45:$C$48,2,FALSE()),Scoring!$C$49)))</f>
        <v>5</v>
      </c>
      <c r="AI231" s="23" t="n">
        <f aca="false">C231+IF(ISNUMBER(J231),J231,0)/100000+(10000-ROW())/1000000000</f>
        <v>59.000319769</v>
      </c>
      <c r="AJ231" s="18"/>
      <c r="AK231" s="18"/>
      <c r="AL231" s="18"/>
      <c r="AM231" s="18"/>
    </row>
    <row r="232" customFormat="false" ht="15" hidden="false" customHeight="false" outlineLevel="0" collapsed="false">
      <c r="A232" s="15" t="n">
        <f aca="false">RANK(AI232,$AI$2:$AI$755)</f>
        <v>231</v>
      </c>
      <c r="B232" s="16" t="str">
        <f aca="false">IF(T232="Y","Superseded",IF(C232&gt;=Scoring!$B$16,"Immediate",IF(C232&gt;=Scoring!$B$17,"This week",IF(C232&gt;=Scoring!$B$18,"Nurture","Low"))))</f>
        <v>This week</v>
      </c>
      <c r="C232" s="3" t="n">
        <f aca="false">SUM(AC232:AH232)</f>
        <v>59</v>
      </c>
      <c r="D232" s="15" t="str">
        <f aca="false">IF(T232="Y","Superseded record",IF(AND(U232&lt;&gt;"",AA232&lt;0),"Expired (verified)",IF(AND(U232&lt;&gt;"",AA232&lt;=Scoring!$B$5),"Expiring: notice window (verified)",IF(AND(U232&lt;&gt;"",AA232&lt;=Scoring!$B$6),"Expiring: 10-yr horizon (verified)",IF(M232="No Longer Monitored","Out of program",IF(N232="","Unknown vintage",IF(N232&lt;Scoring!$B$12,"Pre-1990, still listed",IF(AND(U232="",AA232&lt;0),"Past 30-yr mark (verify)",IF(AND(U232="",AA232&lt;=Scoring!$B$5),"30-yr mark: notice window (est.)",IF(AND(O232&gt;=Scoring!$B$7,O232&lt;=Scoring!$B$8),"Year-15 window",IF(O232&gt;=Scoring!$B$9,"Recap window",IF(O232&gt;=11,"Late compliance","Credit period"))))))))))))</f>
        <v>Year-15 window</v>
      </c>
      <c r="E232" s="15" t="s">
        <v>961</v>
      </c>
      <c r="F232" s="15" t="s">
        <v>962</v>
      </c>
      <c r="G232" s="15" t="s">
        <v>963</v>
      </c>
      <c r="H232" s="15" t="s">
        <v>97</v>
      </c>
      <c r="I232" s="15" t="s">
        <v>160</v>
      </c>
      <c r="J232" s="15" t="n">
        <v>31</v>
      </c>
      <c r="K232" s="15" t="n">
        <v>31</v>
      </c>
      <c r="L232" s="15" t="n">
        <f aca="false">IF(OR(J232="",K232=""),"",MAX(J232-K232,0))</f>
        <v>0</v>
      </c>
      <c r="M232" s="15" t="s">
        <v>99</v>
      </c>
      <c r="N232" s="17" t="n">
        <v>2010</v>
      </c>
      <c r="O232" s="15" t="n">
        <f aca="false">IF(N232="","",Scoring!$B$4-N232)</f>
        <v>16</v>
      </c>
      <c r="P232" s="15" t="n">
        <f aca="false">IF(N232="","",N232+14)</f>
        <v>2024</v>
      </c>
      <c r="Q232" s="15" t="n">
        <f aca="false">IF(N232="","",IF(N232&lt;Scoring!$B$12,"n/a (pre-1990)",N232+Scoring!$B$13))</f>
        <v>2039</v>
      </c>
      <c r="R232" s="15" t="str">
        <f aca="false">IF(J232="","Unknown",IF(J232&gt;=5,"Yes","No (under 5 units)"))</f>
        <v>Yes</v>
      </c>
      <c r="S232" s="15"/>
      <c r="T232" s="18"/>
      <c r="U232" s="19"/>
      <c r="V232" s="18"/>
      <c r="W232" s="18"/>
      <c r="X232" s="20"/>
      <c r="Y232" s="18"/>
      <c r="Z232" s="18"/>
      <c r="AA232" s="21" t="n">
        <f aca="false">IF(U232&lt;&gt;"",(U232-Scoring!$B$3)/365.25,IF(N232="","",IF(N232&lt;Scoring!$B$12,"",(DATE(N232+Scoring!$B$13,12,31)-Scoring!$B$3)/365.25)))</f>
        <v>13.2457221081451</v>
      </c>
      <c r="AB232" s="22" t="n">
        <f aca="false">IF(T232="Y",0,IF(OR(D232="Expired (verified)",D232="Expiring: notice window (verified)",D232="Expiring: 10-yr horizon (verified)",D232="Past 30-yr mark (verify)",D232="30-yr mark: notice window (est.)",D232="Year-15 window"),1,0)+IF(ISNUMBER(O232),IF(O232&gt;=Scoring!$B$10,1,0),0)+IF(AND(ISNUMBER(L232),ISNUMBER(J232)),IF(J232&gt;0,IF(L232/J232&gt;=Scoring!$B$11,1,0),0),0)+IF(ISNUMBER(Z232),MIN(Z232,3),0))</f>
        <v>1</v>
      </c>
      <c r="AC232" s="22" t="n">
        <f aca="false">IF(AB232&gt;=3,Scoring!$C$24,IF(AB232=2,Scoring!$C$23,IF(AB232=1,Scoring!$C$22,0)))</f>
        <v>10</v>
      </c>
      <c r="AD232" s="22" t="n">
        <f aca="false">IF(T232="Y",0,IF(ISNUMBER(X232),IF(X232&gt;0.7,Scoring!$C$25,IF(X232&gt;=0.5,Scoring!$C$26,IF(X232&gt;=0.3,Scoring!$C$27,Scoring!$C$28))),Scoring!$C$29))</f>
        <v>10</v>
      </c>
      <c r="AE232" s="22" t="n">
        <f aca="false">IF(D232="Expiring: notice window (verified)",Scoring!$C$30,IF(OR(D232="Expired (verified)",D232="30-yr mark: notice window (est.)",D232="Year-15 window"),Scoring!$C$31,IF(D232="Expiring: 10-yr horizon (verified)",Scoring!$C$32,IF(D232="Past 30-yr mark (verify)",Scoring!$C$33,IF(OR(D232="Credit period",D232="Superseded record"),Scoring!$C$35,Scoring!$C$34)))))</f>
        <v>14</v>
      </c>
      <c r="AF232" s="22" t="n">
        <f aca="false">IF(T232="Y",0,IF(ISNUMBER(V232),IF(Scoring!$B$4-V232&gt;15,Scoring!$C$36,IF(Scoring!$B$4-V232&gt;=10,Scoring!$C$37,IF(Scoring!$B$4-V232&gt;=5,Scoring!$C$38,Scoring!$C$39))),IF(OR(N232="",D232="Out of program"),Scoring!$C$40,IF(O232&gt;15,Scoring!$C$36,IF(O232&gt;=10,Scoring!$C$37,IF(O232&gt;=5,Scoring!$C$38,Scoring!$C$39))))))</f>
        <v>15</v>
      </c>
      <c r="AG232" s="22" t="n">
        <f aca="false">IF(T232="Y",0,IF(Y232="Y",Scoring!$C$41,IF(ISNUMBER(O232),IF(O232&gt;=25,Scoring!$C$42,IF(O232&gt;=15,Scoring!$C$43,Scoring!$C$44)),Scoring!$C$44)))</f>
        <v>5</v>
      </c>
      <c r="AH232" s="22" t="n">
        <f aca="false">IF(T232="Y",0,IF(W232="",Scoring!$C$49,IFERROR(VLOOKUP(W232,Scoring!$B$45:$C$48,2,FALSE()),Scoring!$C$49)))</f>
        <v>5</v>
      </c>
      <c r="AI232" s="23" t="n">
        <f aca="false">C232+IF(ISNUMBER(J232),J232,0)/100000+(10000-ROW())/1000000000</f>
        <v>59.000319768</v>
      </c>
      <c r="AJ232" s="18"/>
      <c r="AK232" s="18"/>
      <c r="AL232" s="18"/>
      <c r="AM232" s="18"/>
    </row>
    <row r="233" customFormat="false" ht="15" hidden="false" customHeight="false" outlineLevel="0" collapsed="false">
      <c r="A233" s="15" t="n">
        <f aca="false">RANK(AI233,$AI$2:$AI$755)</f>
        <v>232</v>
      </c>
      <c r="B233" s="16" t="str">
        <f aca="false">IF(T233="Y","Superseded",IF(C233&gt;=Scoring!$B$16,"Immediate",IF(C233&gt;=Scoring!$B$17,"This week",IF(C233&gt;=Scoring!$B$18,"Nurture","Low"))))</f>
        <v>This week</v>
      </c>
      <c r="C233" s="3" t="n">
        <f aca="false">SUM(AC233:AH233)</f>
        <v>59</v>
      </c>
      <c r="D233" s="15" t="str">
        <f aca="false">IF(T233="Y","Superseded record",IF(AND(U233&lt;&gt;"",AA233&lt;0),"Expired (verified)",IF(AND(U233&lt;&gt;"",AA233&lt;=Scoring!$B$5),"Expiring: notice window (verified)",IF(AND(U233&lt;&gt;"",AA233&lt;=Scoring!$B$6),"Expiring: 10-yr horizon (verified)",IF(M233="No Longer Monitored","Out of program",IF(N233="","Unknown vintage",IF(N233&lt;Scoring!$B$12,"Pre-1990, still listed",IF(AND(U233="",AA233&lt;0),"Past 30-yr mark (verify)",IF(AND(U233="",AA233&lt;=Scoring!$B$5),"30-yr mark: notice window (est.)",IF(AND(O233&gt;=Scoring!$B$7,O233&lt;=Scoring!$B$8),"Year-15 window",IF(O233&gt;=Scoring!$B$9,"Recap window",IF(O233&gt;=11,"Late compliance","Credit period"))))))))))))</f>
        <v>Year-15 window</v>
      </c>
      <c r="E233" s="15" t="s">
        <v>964</v>
      </c>
      <c r="F233" s="15" t="s">
        <v>965</v>
      </c>
      <c r="G233" s="15" t="s">
        <v>966</v>
      </c>
      <c r="H233" s="15" t="s">
        <v>212</v>
      </c>
      <c r="I233" s="15" t="s">
        <v>213</v>
      </c>
      <c r="J233" s="15" t="n">
        <v>30</v>
      </c>
      <c r="K233" s="15" t="n">
        <v>30</v>
      </c>
      <c r="L233" s="15" t="n">
        <f aca="false">IF(OR(J233="",K233=""),"",MAX(J233-K233,0))</f>
        <v>0</v>
      </c>
      <c r="M233" s="15" t="s">
        <v>99</v>
      </c>
      <c r="N233" s="17" t="n">
        <v>2009</v>
      </c>
      <c r="O233" s="15" t="n">
        <f aca="false">IF(N233="","",Scoring!$B$4-N233)</f>
        <v>17</v>
      </c>
      <c r="P233" s="15" t="n">
        <f aca="false">IF(N233="","",N233+14)</f>
        <v>2023</v>
      </c>
      <c r="Q233" s="15" t="n">
        <f aca="false">IF(N233="","",IF(N233&lt;Scoring!$B$12,"n/a (pre-1990)",N233+Scoring!$B$13))</f>
        <v>2038</v>
      </c>
      <c r="R233" s="15" t="str">
        <f aca="false">IF(J233="","Unknown",IF(J233&gt;=5,"Yes","No (under 5 units)"))</f>
        <v>Yes</v>
      </c>
      <c r="S233" s="15"/>
      <c r="T233" s="18"/>
      <c r="U233" s="19"/>
      <c r="V233" s="18"/>
      <c r="W233" s="18"/>
      <c r="X233" s="20"/>
      <c r="Y233" s="18"/>
      <c r="Z233" s="18"/>
      <c r="AA233" s="21" t="n">
        <f aca="false">IF(U233&lt;&gt;"",(U233-Scoring!$B$3)/365.25,IF(N233="","",IF(N233&lt;Scoring!$B$12,"",(DATE(N233+Scoring!$B$13,12,31)-Scoring!$B$3)/365.25)))</f>
        <v>12.2464065708419</v>
      </c>
      <c r="AB233" s="22" t="n">
        <f aca="false">IF(T233="Y",0,IF(OR(D233="Expired (verified)",D233="Expiring: notice window (verified)",D233="Expiring: 10-yr horizon (verified)",D233="Past 30-yr mark (verify)",D233="30-yr mark: notice window (est.)",D233="Year-15 window"),1,0)+IF(ISNUMBER(O233),IF(O233&gt;=Scoring!$B$10,1,0),0)+IF(AND(ISNUMBER(L233),ISNUMBER(J233)),IF(J233&gt;0,IF(L233/J233&gt;=Scoring!$B$11,1,0),0),0)+IF(ISNUMBER(Z233),MIN(Z233,3),0))</f>
        <v>1</v>
      </c>
      <c r="AC233" s="22" t="n">
        <f aca="false">IF(AB233&gt;=3,Scoring!$C$24,IF(AB233=2,Scoring!$C$23,IF(AB233=1,Scoring!$C$22,0)))</f>
        <v>10</v>
      </c>
      <c r="AD233" s="22" t="n">
        <f aca="false">IF(T233="Y",0,IF(ISNUMBER(X233),IF(X233&gt;0.7,Scoring!$C$25,IF(X233&gt;=0.5,Scoring!$C$26,IF(X233&gt;=0.3,Scoring!$C$27,Scoring!$C$28))),Scoring!$C$29))</f>
        <v>10</v>
      </c>
      <c r="AE233" s="22" t="n">
        <f aca="false">IF(D233="Expiring: notice window (verified)",Scoring!$C$30,IF(OR(D233="Expired (verified)",D233="30-yr mark: notice window (est.)",D233="Year-15 window"),Scoring!$C$31,IF(D233="Expiring: 10-yr horizon (verified)",Scoring!$C$32,IF(D233="Past 30-yr mark (verify)",Scoring!$C$33,IF(OR(D233="Credit period",D233="Superseded record"),Scoring!$C$35,Scoring!$C$34)))))</f>
        <v>14</v>
      </c>
      <c r="AF233" s="22" t="n">
        <f aca="false">IF(T233="Y",0,IF(ISNUMBER(V233),IF(Scoring!$B$4-V233&gt;15,Scoring!$C$36,IF(Scoring!$B$4-V233&gt;=10,Scoring!$C$37,IF(Scoring!$B$4-V233&gt;=5,Scoring!$C$38,Scoring!$C$39))),IF(OR(N233="",D233="Out of program"),Scoring!$C$40,IF(O233&gt;15,Scoring!$C$36,IF(O233&gt;=10,Scoring!$C$37,IF(O233&gt;=5,Scoring!$C$38,Scoring!$C$39))))))</f>
        <v>15</v>
      </c>
      <c r="AG233" s="22" t="n">
        <f aca="false">IF(T233="Y",0,IF(Y233="Y",Scoring!$C$41,IF(ISNUMBER(O233),IF(O233&gt;=25,Scoring!$C$42,IF(O233&gt;=15,Scoring!$C$43,Scoring!$C$44)),Scoring!$C$44)))</f>
        <v>5</v>
      </c>
      <c r="AH233" s="22" t="n">
        <f aca="false">IF(T233="Y",0,IF(W233="",Scoring!$C$49,IFERROR(VLOOKUP(W233,Scoring!$B$45:$C$48,2,FALSE()),Scoring!$C$49)))</f>
        <v>5</v>
      </c>
      <c r="AI233" s="23" t="n">
        <f aca="false">C233+IF(ISNUMBER(J233),J233,0)/100000+(10000-ROW())/1000000000</f>
        <v>59.000309767</v>
      </c>
      <c r="AJ233" s="18"/>
      <c r="AK233" s="18"/>
      <c r="AL233" s="18"/>
      <c r="AM233" s="18"/>
    </row>
    <row r="234" customFormat="false" ht="15" hidden="false" customHeight="false" outlineLevel="0" collapsed="false">
      <c r="A234" s="15" t="n">
        <f aca="false">RANK(AI234,$AI$2:$AI$755)</f>
        <v>233</v>
      </c>
      <c r="B234" s="16" t="str">
        <f aca="false">IF(T234="Y","Superseded",IF(C234&gt;=Scoring!$B$16,"Immediate",IF(C234&gt;=Scoring!$B$17,"This week",IF(C234&gt;=Scoring!$B$18,"Nurture","Low"))))</f>
        <v>This week</v>
      </c>
      <c r="C234" s="3" t="n">
        <f aca="false">SUM(AC234:AH234)</f>
        <v>59</v>
      </c>
      <c r="D234" s="15" t="str">
        <f aca="false">IF(T234="Y","Superseded record",IF(AND(U234&lt;&gt;"",AA234&lt;0),"Expired (verified)",IF(AND(U234&lt;&gt;"",AA234&lt;=Scoring!$B$5),"Expiring: notice window (verified)",IF(AND(U234&lt;&gt;"",AA234&lt;=Scoring!$B$6),"Expiring: 10-yr horizon (verified)",IF(M234="No Longer Monitored","Out of program",IF(N234="","Unknown vintage",IF(N234&lt;Scoring!$B$12,"Pre-1990, still listed",IF(AND(U234="",AA234&lt;0),"Past 30-yr mark (verify)",IF(AND(U234="",AA234&lt;=Scoring!$B$5),"30-yr mark: notice window (est.)",IF(AND(O234&gt;=Scoring!$B$7,O234&lt;=Scoring!$B$8),"Year-15 window",IF(O234&gt;=Scoring!$B$9,"Recap window",IF(O234&gt;=11,"Late compliance","Credit period"))))))))))))</f>
        <v>Year-15 window</v>
      </c>
      <c r="E234" s="15" t="s">
        <v>967</v>
      </c>
      <c r="F234" s="15" t="s">
        <v>968</v>
      </c>
      <c r="G234" s="15" t="s">
        <v>969</v>
      </c>
      <c r="H234" s="15" t="s">
        <v>851</v>
      </c>
      <c r="I234" s="15" t="s">
        <v>852</v>
      </c>
      <c r="J234" s="15" t="n">
        <v>30</v>
      </c>
      <c r="K234" s="15" t="n">
        <v>30</v>
      </c>
      <c r="L234" s="15" t="n">
        <f aca="false">IF(OR(J234="",K234=""),"",MAX(J234-K234,0))</f>
        <v>0</v>
      </c>
      <c r="M234" s="15" t="s">
        <v>99</v>
      </c>
      <c r="N234" s="17" t="n">
        <v>2009</v>
      </c>
      <c r="O234" s="15" t="n">
        <f aca="false">IF(N234="","",Scoring!$B$4-N234)</f>
        <v>17</v>
      </c>
      <c r="P234" s="15" t="n">
        <f aca="false">IF(N234="","",N234+14)</f>
        <v>2023</v>
      </c>
      <c r="Q234" s="15" t="n">
        <f aca="false">IF(N234="","",IF(N234&lt;Scoring!$B$12,"n/a (pre-1990)",N234+Scoring!$B$13))</f>
        <v>2038</v>
      </c>
      <c r="R234" s="15" t="str">
        <f aca="false">IF(J234="","Unknown",IF(J234&gt;=5,"Yes","No (under 5 units)"))</f>
        <v>Yes</v>
      </c>
      <c r="S234" s="15"/>
      <c r="T234" s="18"/>
      <c r="U234" s="19"/>
      <c r="V234" s="18"/>
      <c r="W234" s="18"/>
      <c r="X234" s="20"/>
      <c r="Y234" s="18"/>
      <c r="Z234" s="18"/>
      <c r="AA234" s="21" t="n">
        <f aca="false">IF(U234&lt;&gt;"",(U234-Scoring!$B$3)/365.25,IF(N234="","",IF(N234&lt;Scoring!$B$12,"",(DATE(N234+Scoring!$B$13,12,31)-Scoring!$B$3)/365.25)))</f>
        <v>12.2464065708419</v>
      </c>
      <c r="AB234" s="22" t="n">
        <f aca="false">IF(T234="Y",0,IF(OR(D234="Expired (verified)",D234="Expiring: notice window (verified)",D234="Expiring: 10-yr horizon (verified)",D234="Past 30-yr mark (verify)",D234="30-yr mark: notice window (est.)",D234="Year-15 window"),1,0)+IF(ISNUMBER(O234),IF(O234&gt;=Scoring!$B$10,1,0),0)+IF(AND(ISNUMBER(L234),ISNUMBER(J234)),IF(J234&gt;0,IF(L234/J234&gt;=Scoring!$B$11,1,0),0),0)+IF(ISNUMBER(Z234),MIN(Z234,3),0))</f>
        <v>1</v>
      </c>
      <c r="AC234" s="22" t="n">
        <f aca="false">IF(AB234&gt;=3,Scoring!$C$24,IF(AB234=2,Scoring!$C$23,IF(AB234=1,Scoring!$C$22,0)))</f>
        <v>10</v>
      </c>
      <c r="AD234" s="22" t="n">
        <f aca="false">IF(T234="Y",0,IF(ISNUMBER(X234),IF(X234&gt;0.7,Scoring!$C$25,IF(X234&gt;=0.5,Scoring!$C$26,IF(X234&gt;=0.3,Scoring!$C$27,Scoring!$C$28))),Scoring!$C$29))</f>
        <v>10</v>
      </c>
      <c r="AE234" s="22" t="n">
        <f aca="false">IF(D234="Expiring: notice window (verified)",Scoring!$C$30,IF(OR(D234="Expired (verified)",D234="30-yr mark: notice window (est.)",D234="Year-15 window"),Scoring!$C$31,IF(D234="Expiring: 10-yr horizon (verified)",Scoring!$C$32,IF(D234="Past 30-yr mark (verify)",Scoring!$C$33,IF(OR(D234="Credit period",D234="Superseded record"),Scoring!$C$35,Scoring!$C$34)))))</f>
        <v>14</v>
      </c>
      <c r="AF234" s="22" t="n">
        <f aca="false">IF(T234="Y",0,IF(ISNUMBER(V234),IF(Scoring!$B$4-V234&gt;15,Scoring!$C$36,IF(Scoring!$B$4-V234&gt;=10,Scoring!$C$37,IF(Scoring!$B$4-V234&gt;=5,Scoring!$C$38,Scoring!$C$39))),IF(OR(N234="",D234="Out of program"),Scoring!$C$40,IF(O234&gt;15,Scoring!$C$36,IF(O234&gt;=10,Scoring!$C$37,IF(O234&gt;=5,Scoring!$C$38,Scoring!$C$39))))))</f>
        <v>15</v>
      </c>
      <c r="AG234" s="22" t="n">
        <f aca="false">IF(T234="Y",0,IF(Y234="Y",Scoring!$C$41,IF(ISNUMBER(O234),IF(O234&gt;=25,Scoring!$C$42,IF(O234&gt;=15,Scoring!$C$43,Scoring!$C$44)),Scoring!$C$44)))</f>
        <v>5</v>
      </c>
      <c r="AH234" s="22" t="n">
        <f aca="false">IF(T234="Y",0,IF(W234="",Scoring!$C$49,IFERROR(VLOOKUP(W234,Scoring!$B$45:$C$48,2,FALSE()),Scoring!$C$49)))</f>
        <v>5</v>
      </c>
      <c r="AI234" s="23" t="n">
        <f aca="false">C234+IF(ISNUMBER(J234),J234,0)/100000+(10000-ROW())/1000000000</f>
        <v>59.000309766</v>
      </c>
      <c r="AJ234" s="18"/>
      <c r="AK234" s="18"/>
      <c r="AL234" s="18"/>
      <c r="AM234" s="18"/>
    </row>
    <row r="235" customFormat="false" ht="15" hidden="false" customHeight="false" outlineLevel="0" collapsed="false">
      <c r="A235" s="15" t="n">
        <f aca="false">RANK(AI235,$AI$2:$AI$755)</f>
        <v>234</v>
      </c>
      <c r="B235" s="16" t="str">
        <f aca="false">IF(T235="Y","Superseded",IF(C235&gt;=Scoring!$B$16,"Immediate",IF(C235&gt;=Scoring!$B$17,"This week",IF(C235&gt;=Scoring!$B$18,"Nurture","Low"))))</f>
        <v>This week</v>
      </c>
      <c r="C235" s="3" t="n">
        <f aca="false">SUM(AC235:AH235)</f>
        <v>59</v>
      </c>
      <c r="D235" s="15" t="str">
        <f aca="false">IF(T235="Y","Superseded record",IF(AND(U235&lt;&gt;"",AA235&lt;0),"Expired (verified)",IF(AND(U235&lt;&gt;"",AA235&lt;=Scoring!$B$5),"Expiring: notice window (verified)",IF(AND(U235&lt;&gt;"",AA235&lt;=Scoring!$B$6),"Expiring: 10-yr horizon (verified)",IF(M235="No Longer Monitored","Out of program",IF(N235="","Unknown vintage",IF(N235&lt;Scoring!$B$12,"Pre-1990, still listed",IF(AND(U235="",AA235&lt;0),"Past 30-yr mark (verify)",IF(AND(U235="",AA235&lt;=Scoring!$B$5),"30-yr mark: notice window (est.)",IF(AND(O235&gt;=Scoring!$B$7,O235&lt;=Scoring!$B$8),"Year-15 window",IF(O235&gt;=Scoring!$B$9,"Recap window",IF(O235&gt;=11,"Late compliance","Credit period"))))))))))))</f>
        <v>Year-15 window</v>
      </c>
      <c r="E235" s="15" t="s">
        <v>970</v>
      </c>
      <c r="F235" s="15" t="s">
        <v>971</v>
      </c>
      <c r="G235" s="15" t="s">
        <v>972</v>
      </c>
      <c r="H235" s="15" t="s">
        <v>97</v>
      </c>
      <c r="I235" s="15" t="s">
        <v>973</v>
      </c>
      <c r="J235" s="15" t="n">
        <v>30</v>
      </c>
      <c r="K235" s="15" t="n">
        <v>29</v>
      </c>
      <c r="L235" s="15" t="n">
        <f aca="false">IF(OR(J235="",K235=""),"",MAX(J235-K235,0))</f>
        <v>1</v>
      </c>
      <c r="M235" s="15" t="s">
        <v>99</v>
      </c>
      <c r="N235" s="17" t="n">
        <v>2010</v>
      </c>
      <c r="O235" s="15" t="n">
        <f aca="false">IF(N235="","",Scoring!$B$4-N235)</f>
        <v>16</v>
      </c>
      <c r="P235" s="15" t="n">
        <f aca="false">IF(N235="","",N235+14)</f>
        <v>2024</v>
      </c>
      <c r="Q235" s="15" t="n">
        <f aca="false">IF(N235="","",IF(N235&lt;Scoring!$B$12,"n/a (pre-1990)",N235+Scoring!$B$13))</f>
        <v>2039</v>
      </c>
      <c r="R235" s="15" t="str">
        <f aca="false">IF(J235="","Unknown",IF(J235&gt;=5,"Yes","No (under 5 units)"))</f>
        <v>Yes</v>
      </c>
      <c r="S235" s="15"/>
      <c r="T235" s="18"/>
      <c r="U235" s="19"/>
      <c r="V235" s="18"/>
      <c r="W235" s="18"/>
      <c r="X235" s="20"/>
      <c r="Y235" s="18"/>
      <c r="Z235" s="18"/>
      <c r="AA235" s="21" t="n">
        <f aca="false">IF(U235&lt;&gt;"",(U235-Scoring!$B$3)/365.25,IF(N235="","",IF(N235&lt;Scoring!$B$12,"",(DATE(N235+Scoring!$B$13,12,31)-Scoring!$B$3)/365.25)))</f>
        <v>13.2457221081451</v>
      </c>
      <c r="AB235" s="22" t="n">
        <f aca="false">IF(T235="Y",0,IF(OR(D235="Expired (verified)",D235="Expiring: notice window (verified)",D235="Expiring: 10-yr horizon (verified)",D235="Past 30-yr mark (verify)",D235="30-yr mark: notice window (est.)",D235="Year-15 window"),1,0)+IF(ISNUMBER(O235),IF(O235&gt;=Scoring!$B$10,1,0),0)+IF(AND(ISNUMBER(L235),ISNUMBER(J235)),IF(J235&gt;0,IF(L235/J235&gt;=Scoring!$B$11,1,0),0),0)+IF(ISNUMBER(Z235),MIN(Z235,3),0))</f>
        <v>1</v>
      </c>
      <c r="AC235" s="22" t="n">
        <f aca="false">IF(AB235&gt;=3,Scoring!$C$24,IF(AB235=2,Scoring!$C$23,IF(AB235=1,Scoring!$C$22,0)))</f>
        <v>10</v>
      </c>
      <c r="AD235" s="22" t="n">
        <f aca="false">IF(T235="Y",0,IF(ISNUMBER(X235),IF(X235&gt;0.7,Scoring!$C$25,IF(X235&gt;=0.5,Scoring!$C$26,IF(X235&gt;=0.3,Scoring!$C$27,Scoring!$C$28))),Scoring!$C$29))</f>
        <v>10</v>
      </c>
      <c r="AE235" s="22" t="n">
        <f aca="false">IF(D235="Expiring: notice window (verified)",Scoring!$C$30,IF(OR(D235="Expired (verified)",D235="30-yr mark: notice window (est.)",D235="Year-15 window"),Scoring!$C$31,IF(D235="Expiring: 10-yr horizon (verified)",Scoring!$C$32,IF(D235="Past 30-yr mark (verify)",Scoring!$C$33,IF(OR(D235="Credit period",D235="Superseded record"),Scoring!$C$35,Scoring!$C$34)))))</f>
        <v>14</v>
      </c>
      <c r="AF235" s="22" t="n">
        <f aca="false">IF(T235="Y",0,IF(ISNUMBER(V235),IF(Scoring!$B$4-V235&gt;15,Scoring!$C$36,IF(Scoring!$B$4-V235&gt;=10,Scoring!$C$37,IF(Scoring!$B$4-V235&gt;=5,Scoring!$C$38,Scoring!$C$39))),IF(OR(N235="",D235="Out of program"),Scoring!$C$40,IF(O235&gt;15,Scoring!$C$36,IF(O235&gt;=10,Scoring!$C$37,IF(O235&gt;=5,Scoring!$C$38,Scoring!$C$39))))))</f>
        <v>15</v>
      </c>
      <c r="AG235" s="22" t="n">
        <f aca="false">IF(T235="Y",0,IF(Y235="Y",Scoring!$C$41,IF(ISNUMBER(O235),IF(O235&gt;=25,Scoring!$C$42,IF(O235&gt;=15,Scoring!$C$43,Scoring!$C$44)),Scoring!$C$44)))</f>
        <v>5</v>
      </c>
      <c r="AH235" s="22" t="n">
        <f aca="false">IF(T235="Y",0,IF(W235="",Scoring!$C$49,IFERROR(VLOOKUP(W235,Scoring!$B$45:$C$48,2,FALSE()),Scoring!$C$49)))</f>
        <v>5</v>
      </c>
      <c r="AI235" s="23" t="n">
        <f aca="false">C235+IF(ISNUMBER(J235),J235,0)/100000+(10000-ROW())/1000000000</f>
        <v>59.000309765</v>
      </c>
      <c r="AJ235" s="18"/>
      <c r="AK235" s="18"/>
      <c r="AL235" s="18"/>
      <c r="AM235" s="18"/>
    </row>
    <row r="236" customFormat="false" ht="15" hidden="false" customHeight="false" outlineLevel="0" collapsed="false">
      <c r="A236" s="15" t="n">
        <f aca="false">RANK(AI236,$AI$2:$AI$755)</f>
        <v>235</v>
      </c>
      <c r="B236" s="16" t="str">
        <f aca="false">IF(T236="Y","Superseded",IF(C236&gt;=Scoring!$B$16,"Immediate",IF(C236&gt;=Scoring!$B$17,"This week",IF(C236&gt;=Scoring!$B$18,"Nurture","Low"))))</f>
        <v>This week</v>
      </c>
      <c r="C236" s="3" t="n">
        <f aca="false">SUM(AC236:AH236)</f>
        <v>59</v>
      </c>
      <c r="D236" s="15" t="str">
        <f aca="false">IF(T236="Y","Superseded record",IF(AND(U236&lt;&gt;"",AA236&lt;0),"Expired (verified)",IF(AND(U236&lt;&gt;"",AA236&lt;=Scoring!$B$5),"Expiring: notice window (verified)",IF(AND(U236&lt;&gt;"",AA236&lt;=Scoring!$B$6),"Expiring: 10-yr horizon (verified)",IF(M236="No Longer Monitored","Out of program",IF(N236="","Unknown vintage",IF(N236&lt;Scoring!$B$12,"Pre-1990, still listed",IF(AND(U236="",AA236&lt;0),"Past 30-yr mark (verify)",IF(AND(U236="",AA236&lt;=Scoring!$B$5),"30-yr mark: notice window (est.)",IF(AND(O236&gt;=Scoring!$B$7,O236&lt;=Scoring!$B$8),"Year-15 window",IF(O236&gt;=Scoring!$B$9,"Recap window",IF(O236&gt;=11,"Late compliance","Credit period"))))))))))))</f>
        <v>Year-15 window</v>
      </c>
      <c r="E236" s="15" t="s">
        <v>974</v>
      </c>
      <c r="F236" s="15" t="s">
        <v>975</v>
      </c>
      <c r="G236" s="15" t="s">
        <v>976</v>
      </c>
      <c r="H236" s="15" t="s">
        <v>977</v>
      </c>
      <c r="I236" s="15" t="s">
        <v>978</v>
      </c>
      <c r="J236" s="15" t="n">
        <v>27</v>
      </c>
      <c r="K236" s="15" t="n">
        <v>27</v>
      </c>
      <c r="L236" s="15" t="n">
        <f aca="false">IF(OR(J236="",K236=""),"",MAX(J236-K236,0))</f>
        <v>0</v>
      </c>
      <c r="M236" s="15" t="s">
        <v>99</v>
      </c>
      <c r="N236" s="17" t="n">
        <v>2009</v>
      </c>
      <c r="O236" s="15" t="n">
        <f aca="false">IF(N236="","",Scoring!$B$4-N236)</f>
        <v>17</v>
      </c>
      <c r="P236" s="15" t="n">
        <f aca="false">IF(N236="","",N236+14)</f>
        <v>2023</v>
      </c>
      <c r="Q236" s="15" t="n">
        <f aca="false">IF(N236="","",IF(N236&lt;Scoring!$B$12,"n/a (pre-1990)",N236+Scoring!$B$13))</f>
        <v>2038</v>
      </c>
      <c r="R236" s="15" t="str">
        <f aca="false">IF(J236="","Unknown",IF(J236&gt;=5,"Yes","No (under 5 units)"))</f>
        <v>Yes</v>
      </c>
      <c r="S236" s="15"/>
      <c r="T236" s="18"/>
      <c r="U236" s="19"/>
      <c r="V236" s="18"/>
      <c r="W236" s="18"/>
      <c r="X236" s="20"/>
      <c r="Y236" s="18"/>
      <c r="Z236" s="18"/>
      <c r="AA236" s="21" t="n">
        <f aca="false">IF(U236&lt;&gt;"",(U236-Scoring!$B$3)/365.25,IF(N236="","",IF(N236&lt;Scoring!$B$12,"",(DATE(N236+Scoring!$B$13,12,31)-Scoring!$B$3)/365.25)))</f>
        <v>12.2464065708419</v>
      </c>
      <c r="AB236" s="22" t="n">
        <f aca="false">IF(T236="Y",0,IF(OR(D236="Expired (verified)",D236="Expiring: notice window (verified)",D236="Expiring: 10-yr horizon (verified)",D236="Past 30-yr mark (verify)",D236="30-yr mark: notice window (est.)",D236="Year-15 window"),1,0)+IF(ISNUMBER(O236),IF(O236&gt;=Scoring!$B$10,1,0),0)+IF(AND(ISNUMBER(L236),ISNUMBER(J236)),IF(J236&gt;0,IF(L236/J236&gt;=Scoring!$B$11,1,0),0),0)+IF(ISNUMBER(Z236),MIN(Z236,3),0))</f>
        <v>1</v>
      </c>
      <c r="AC236" s="22" t="n">
        <f aca="false">IF(AB236&gt;=3,Scoring!$C$24,IF(AB236=2,Scoring!$C$23,IF(AB236=1,Scoring!$C$22,0)))</f>
        <v>10</v>
      </c>
      <c r="AD236" s="22" t="n">
        <f aca="false">IF(T236="Y",0,IF(ISNUMBER(X236),IF(X236&gt;0.7,Scoring!$C$25,IF(X236&gt;=0.5,Scoring!$C$26,IF(X236&gt;=0.3,Scoring!$C$27,Scoring!$C$28))),Scoring!$C$29))</f>
        <v>10</v>
      </c>
      <c r="AE236" s="22" t="n">
        <f aca="false">IF(D236="Expiring: notice window (verified)",Scoring!$C$30,IF(OR(D236="Expired (verified)",D236="30-yr mark: notice window (est.)",D236="Year-15 window"),Scoring!$C$31,IF(D236="Expiring: 10-yr horizon (verified)",Scoring!$C$32,IF(D236="Past 30-yr mark (verify)",Scoring!$C$33,IF(OR(D236="Credit period",D236="Superseded record"),Scoring!$C$35,Scoring!$C$34)))))</f>
        <v>14</v>
      </c>
      <c r="AF236" s="22" t="n">
        <f aca="false">IF(T236="Y",0,IF(ISNUMBER(V236),IF(Scoring!$B$4-V236&gt;15,Scoring!$C$36,IF(Scoring!$B$4-V236&gt;=10,Scoring!$C$37,IF(Scoring!$B$4-V236&gt;=5,Scoring!$C$38,Scoring!$C$39))),IF(OR(N236="",D236="Out of program"),Scoring!$C$40,IF(O236&gt;15,Scoring!$C$36,IF(O236&gt;=10,Scoring!$C$37,IF(O236&gt;=5,Scoring!$C$38,Scoring!$C$39))))))</f>
        <v>15</v>
      </c>
      <c r="AG236" s="22" t="n">
        <f aca="false">IF(T236="Y",0,IF(Y236="Y",Scoring!$C$41,IF(ISNUMBER(O236),IF(O236&gt;=25,Scoring!$C$42,IF(O236&gt;=15,Scoring!$C$43,Scoring!$C$44)),Scoring!$C$44)))</f>
        <v>5</v>
      </c>
      <c r="AH236" s="22" t="n">
        <f aca="false">IF(T236="Y",0,IF(W236="",Scoring!$C$49,IFERROR(VLOOKUP(W236,Scoring!$B$45:$C$48,2,FALSE()),Scoring!$C$49)))</f>
        <v>5</v>
      </c>
      <c r="AI236" s="23" t="n">
        <f aca="false">C236+IF(ISNUMBER(J236),J236,0)/100000+(10000-ROW())/1000000000</f>
        <v>59.000279764</v>
      </c>
      <c r="AJ236" s="18"/>
      <c r="AK236" s="18"/>
      <c r="AL236" s="18"/>
      <c r="AM236" s="18"/>
    </row>
    <row r="237" customFormat="false" ht="15" hidden="false" customHeight="false" outlineLevel="0" collapsed="false">
      <c r="A237" s="15" t="n">
        <f aca="false">RANK(AI237,$AI$2:$AI$755)</f>
        <v>236</v>
      </c>
      <c r="B237" s="16" t="str">
        <f aca="false">IF(T237="Y","Superseded",IF(C237&gt;=Scoring!$B$16,"Immediate",IF(C237&gt;=Scoring!$B$17,"This week",IF(C237&gt;=Scoring!$B$18,"Nurture","Low"))))</f>
        <v>This week</v>
      </c>
      <c r="C237" s="3" t="n">
        <f aca="false">SUM(AC237:AH237)</f>
        <v>59</v>
      </c>
      <c r="D237" s="15" t="str">
        <f aca="false">IF(T237="Y","Superseded record",IF(AND(U237&lt;&gt;"",AA237&lt;0),"Expired (verified)",IF(AND(U237&lt;&gt;"",AA237&lt;=Scoring!$B$5),"Expiring: notice window (verified)",IF(AND(U237&lt;&gt;"",AA237&lt;=Scoring!$B$6),"Expiring: 10-yr horizon (verified)",IF(M237="No Longer Monitored","Out of program",IF(N237="","Unknown vintage",IF(N237&lt;Scoring!$B$12,"Pre-1990, still listed",IF(AND(U237="",AA237&lt;0),"Past 30-yr mark (verify)",IF(AND(U237="",AA237&lt;=Scoring!$B$5),"30-yr mark: notice window (est.)",IF(AND(O237&gt;=Scoring!$B$7,O237&lt;=Scoring!$B$8),"Year-15 window",IF(O237&gt;=Scoring!$B$9,"Recap window",IF(O237&gt;=11,"Late compliance","Credit period"))))))))))))</f>
        <v>Year-15 window</v>
      </c>
      <c r="E237" s="15" t="s">
        <v>979</v>
      </c>
      <c r="F237" s="15" t="s">
        <v>980</v>
      </c>
      <c r="G237" s="15" t="s">
        <v>981</v>
      </c>
      <c r="H237" s="15" t="s">
        <v>888</v>
      </c>
      <c r="I237" s="15" t="s">
        <v>889</v>
      </c>
      <c r="J237" s="15" t="n">
        <v>26</v>
      </c>
      <c r="K237" s="15" t="n">
        <v>26</v>
      </c>
      <c r="L237" s="15" t="n">
        <f aca="false">IF(OR(J237="",K237=""),"",MAX(J237-K237,0))</f>
        <v>0</v>
      </c>
      <c r="M237" s="15" t="s">
        <v>99</v>
      </c>
      <c r="N237" s="17" t="n">
        <v>2009</v>
      </c>
      <c r="O237" s="15" t="n">
        <f aca="false">IF(N237="","",Scoring!$B$4-N237)</f>
        <v>17</v>
      </c>
      <c r="P237" s="15" t="n">
        <f aca="false">IF(N237="","",N237+14)</f>
        <v>2023</v>
      </c>
      <c r="Q237" s="15" t="n">
        <f aca="false">IF(N237="","",IF(N237&lt;Scoring!$B$12,"n/a (pre-1990)",N237+Scoring!$B$13))</f>
        <v>2038</v>
      </c>
      <c r="R237" s="15" t="str">
        <f aca="false">IF(J237="","Unknown",IF(J237&gt;=5,"Yes","No (under 5 units)"))</f>
        <v>Yes</v>
      </c>
      <c r="S237" s="15"/>
      <c r="T237" s="18"/>
      <c r="U237" s="19"/>
      <c r="V237" s="18"/>
      <c r="W237" s="18"/>
      <c r="X237" s="20"/>
      <c r="Y237" s="18"/>
      <c r="Z237" s="18"/>
      <c r="AA237" s="21" t="n">
        <f aca="false">IF(U237&lt;&gt;"",(U237-Scoring!$B$3)/365.25,IF(N237="","",IF(N237&lt;Scoring!$B$12,"",(DATE(N237+Scoring!$B$13,12,31)-Scoring!$B$3)/365.25)))</f>
        <v>12.2464065708419</v>
      </c>
      <c r="AB237" s="22" t="n">
        <f aca="false">IF(T237="Y",0,IF(OR(D237="Expired (verified)",D237="Expiring: notice window (verified)",D237="Expiring: 10-yr horizon (verified)",D237="Past 30-yr mark (verify)",D237="30-yr mark: notice window (est.)",D237="Year-15 window"),1,0)+IF(ISNUMBER(O237),IF(O237&gt;=Scoring!$B$10,1,0),0)+IF(AND(ISNUMBER(L237),ISNUMBER(J237)),IF(J237&gt;0,IF(L237/J237&gt;=Scoring!$B$11,1,0),0),0)+IF(ISNUMBER(Z237),MIN(Z237,3),0))</f>
        <v>1</v>
      </c>
      <c r="AC237" s="22" t="n">
        <f aca="false">IF(AB237&gt;=3,Scoring!$C$24,IF(AB237=2,Scoring!$C$23,IF(AB237=1,Scoring!$C$22,0)))</f>
        <v>10</v>
      </c>
      <c r="AD237" s="22" t="n">
        <f aca="false">IF(T237="Y",0,IF(ISNUMBER(X237),IF(X237&gt;0.7,Scoring!$C$25,IF(X237&gt;=0.5,Scoring!$C$26,IF(X237&gt;=0.3,Scoring!$C$27,Scoring!$C$28))),Scoring!$C$29))</f>
        <v>10</v>
      </c>
      <c r="AE237" s="22" t="n">
        <f aca="false">IF(D237="Expiring: notice window (verified)",Scoring!$C$30,IF(OR(D237="Expired (verified)",D237="30-yr mark: notice window (est.)",D237="Year-15 window"),Scoring!$C$31,IF(D237="Expiring: 10-yr horizon (verified)",Scoring!$C$32,IF(D237="Past 30-yr mark (verify)",Scoring!$C$33,IF(OR(D237="Credit period",D237="Superseded record"),Scoring!$C$35,Scoring!$C$34)))))</f>
        <v>14</v>
      </c>
      <c r="AF237" s="22" t="n">
        <f aca="false">IF(T237="Y",0,IF(ISNUMBER(V237),IF(Scoring!$B$4-V237&gt;15,Scoring!$C$36,IF(Scoring!$B$4-V237&gt;=10,Scoring!$C$37,IF(Scoring!$B$4-V237&gt;=5,Scoring!$C$38,Scoring!$C$39))),IF(OR(N237="",D237="Out of program"),Scoring!$C$40,IF(O237&gt;15,Scoring!$C$36,IF(O237&gt;=10,Scoring!$C$37,IF(O237&gt;=5,Scoring!$C$38,Scoring!$C$39))))))</f>
        <v>15</v>
      </c>
      <c r="AG237" s="22" t="n">
        <f aca="false">IF(T237="Y",0,IF(Y237="Y",Scoring!$C$41,IF(ISNUMBER(O237),IF(O237&gt;=25,Scoring!$C$42,IF(O237&gt;=15,Scoring!$C$43,Scoring!$C$44)),Scoring!$C$44)))</f>
        <v>5</v>
      </c>
      <c r="AH237" s="22" t="n">
        <f aca="false">IF(T237="Y",0,IF(W237="",Scoring!$C$49,IFERROR(VLOOKUP(W237,Scoring!$B$45:$C$48,2,FALSE()),Scoring!$C$49)))</f>
        <v>5</v>
      </c>
      <c r="AI237" s="23" t="n">
        <f aca="false">C237+IF(ISNUMBER(J237),J237,0)/100000+(10000-ROW())/1000000000</f>
        <v>59.000269763</v>
      </c>
      <c r="AJ237" s="18"/>
      <c r="AK237" s="18"/>
      <c r="AL237" s="18"/>
      <c r="AM237" s="18"/>
    </row>
    <row r="238" customFormat="false" ht="15" hidden="false" customHeight="false" outlineLevel="0" collapsed="false">
      <c r="A238" s="15" t="n">
        <f aca="false">RANK(AI238,$AI$2:$AI$755)</f>
        <v>237</v>
      </c>
      <c r="B238" s="16" t="str">
        <f aca="false">IF(T238="Y","Superseded",IF(C238&gt;=Scoring!$B$16,"Immediate",IF(C238&gt;=Scoring!$B$17,"This week",IF(C238&gt;=Scoring!$B$18,"Nurture","Low"))))</f>
        <v>This week</v>
      </c>
      <c r="C238" s="3" t="n">
        <f aca="false">SUM(AC238:AH238)</f>
        <v>59</v>
      </c>
      <c r="D238" s="15" t="str">
        <f aca="false">IF(T238="Y","Superseded record",IF(AND(U238&lt;&gt;"",AA238&lt;0),"Expired (verified)",IF(AND(U238&lt;&gt;"",AA238&lt;=Scoring!$B$5),"Expiring: notice window (verified)",IF(AND(U238&lt;&gt;"",AA238&lt;=Scoring!$B$6),"Expiring: 10-yr horizon (verified)",IF(M238="No Longer Monitored","Out of program",IF(N238="","Unknown vintage",IF(N238&lt;Scoring!$B$12,"Pre-1990, still listed",IF(AND(U238="",AA238&lt;0),"Past 30-yr mark (verify)",IF(AND(U238="",AA238&lt;=Scoring!$B$5),"30-yr mark: notice window (est.)",IF(AND(O238&gt;=Scoring!$B$7,O238&lt;=Scoring!$B$8),"Year-15 window",IF(O238&gt;=Scoring!$B$9,"Recap window",IF(O238&gt;=11,"Late compliance","Credit period"))))))))))))</f>
        <v>Year-15 window</v>
      </c>
      <c r="E238" s="15" t="s">
        <v>982</v>
      </c>
      <c r="F238" s="15" t="s">
        <v>983</v>
      </c>
      <c r="G238" s="15" t="s">
        <v>984</v>
      </c>
      <c r="H238" s="15" t="s">
        <v>985</v>
      </c>
      <c r="I238" s="15"/>
      <c r="J238" s="15" t="n">
        <v>26</v>
      </c>
      <c r="K238" s="15" t="n">
        <v>26</v>
      </c>
      <c r="L238" s="15" t="n">
        <f aca="false">IF(OR(J238="",K238=""),"",MAX(J238-K238,0))</f>
        <v>0</v>
      </c>
      <c r="M238" s="15" t="s">
        <v>99</v>
      </c>
      <c r="N238" s="17" t="n">
        <v>2010</v>
      </c>
      <c r="O238" s="15" t="n">
        <f aca="false">IF(N238="","",Scoring!$B$4-N238)</f>
        <v>16</v>
      </c>
      <c r="P238" s="15" t="n">
        <f aca="false">IF(N238="","",N238+14)</f>
        <v>2024</v>
      </c>
      <c r="Q238" s="15" t="n">
        <f aca="false">IF(N238="","",IF(N238&lt;Scoring!$B$12,"n/a (pre-1990)",N238+Scoring!$B$13))</f>
        <v>2039</v>
      </c>
      <c r="R238" s="15" t="str">
        <f aca="false">IF(J238="","Unknown",IF(J238&gt;=5,"Yes","No (under 5 units)"))</f>
        <v>Yes</v>
      </c>
      <c r="S238" s="15"/>
      <c r="T238" s="18"/>
      <c r="U238" s="19"/>
      <c r="V238" s="18"/>
      <c r="W238" s="18"/>
      <c r="X238" s="20"/>
      <c r="Y238" s="18"/>
      <c r="Z238" s="18"/>
      <c r="AA238" s="21" t="n">
        <f aca="false">IF(U238&lt;&gt;"",(U238-Scoring!$B$3)/365.25,IF(N238="","",IF(N238&lt;Scoring!$B$12,"",(DATE(N238+Scoring!$B$13,12,31)-Scoring!$B$3)/365.25)))</f>
        <v>13.2457221081451</v>
      </c>
      <c r="AB238" s="22" t="n">
        <f aca="false">IF(T238="Y",0,IF(OR(D238="Expired (verified)",D238="Expiring: notice window (verified)",D238="Expiring: 10-yr horizon (verified)",D238="Past 30-yr mark (verify)",D238="30-yr mark: notice window (est.)",D238="Year-15 window"),1,0)+IF(ISNUMBER(O238),IF(O238&gt;=Scoring!$B$10,1,0),0)+IF(AND(ISNUMBER(L238),ISNUMBER(J238)),IF(J238&gt;0,IF(L238/J238&gt;=Scoring!$B$11,1,0),0),0)+IF(ISNUMBER(Z238),MIN(Z238,3),0))</f>
        <v>1</v>
      </c>
      <c r="AC238" s="22" t="n">
        <f aca="false">IF(AB238&gt;=3,Scoring!$C$24,IF(AB238=2,Scoring!$C$23,IF(AB238=1,Scoring!$C$22,0)))</f>
        <v>10</v>
      </c>
      <c r="AD238" s="22" t="n">
        <f aca="false">IF(T238="Y",0,IF(ISNUMBER(X238),IF(X238&gt;0.7,Scoring!$C$25,IF(X238&gt;=0.5,Scoring!$C$26,IF(X238&gt;=0.3,Scoring!$C$27,Scoring!$C$28))),Scoring!$C$29))</f>
        <v>10</v>
      </c>
      <c r="AE238" s="22" t="n">
        <f aca="false">IF(D238="Expiring: notice window (verified)",Scoring!$C$30,IF(OR(D238="Expired (verified)",D238="30-yr mark: notice window (est.)",D238="Year-15 window"),Scoring!$C$31,IF(D238="Expiring: 10-yr horizon (verified)",Scoring!$C$32,IF(D238="Past 30-yr mark (verify)",Scoring!$C$33,IF(OR(D238="Credit period",D238="Superseded record"),Scoring!$C$35,Scoring!$C$34)))))</f>
        <v>14</v>
      </c>
      <c r="AF238" s="22" t="n">
        <f aca="false">IF(T238="Y",0,IF(ISNUMBER(V238),IF(Scoring!$B$4-V238&gt;15,Scoring!$C$36,IF(Scoring!$B$4-V238&gt;=10,Scoring!$C$37,IF(Scoring!$B$4-V238&gt;=5,Scoring!$C$38,Scoring!$C$39))),IF(OR(N238="",D238="Out of program"),Scoring!$C$40,IF(O238&gt;15,Scoring!$C$36,IF(O238&gt;=10,Scoring!$C$37,IF(O238&gt;=5,Scoring!$C$38,Scoring!$C$39))))))</f>
        <v>15</v>
      </c>
      <c r="AG238" s="22" t="n">
        <f aca="false">IF(T238="Y",0,IF(Y238="Y",Scoring!$C$41,IF(ISNUMBER(O238),IF(O238&gt;=25,Scoring!$C$42,IF(O238&gt;=15,Scoring!$C$43,Scoring!$C$44)),Scoring!$C$44)))</f>
        <v>5</v>
      </c>
      <c r="AH238" s="22" t="n">
        <f aca="false">IF(T238="Y",0,IF(W238="",Scoring!$C$49,IFERROR(VLOOKUP(W238,Scoring!$B$45:$C$48,2,FALSE()),Scoring!$C$49)))</f>
        <v>5</v>
      </c>
      <c r="AI238" s="23" t="n">
        <f aca="false">C238+IF(ISNUMBER(J238),J238,0)/100000+(10000-ROW())/1000000000</f>
        <v>59.000269762</v>
      </c>
      <c r="AJ238" s="18"/>
      <c r="AK238" s="18"/>
      <c r="AL238" s="18"/>
      <c r="AM238" s="18"/>
    </row>
    <row r="239" customFormat="false" ht="15" hidden="false" customHeight="false" outlineLevel="0" collapsed="false">
      <c r="A239" s="15" t="n">
        <f aca="false">RANK(AI239,$AI$2:$AI$755)</f>
        <v>238</v>
      </c>
      <c r="B239" s="16" t="str">
        <f aca="false">IF(T239="Y","Superseded",IF(C239&gt;=Scoring!$B$16,"Immediate",IF(C239&gt;=Scoring!$B$17,"This week",IF(C239&gt;=Scoring!$B$18,"Nurture","Low"))))</f>
        <v>This week</v>
      </c>
      <c r="C239" s="3" t="n">
        <f aca="false">SUM(AC239:AH239)</f>
        <v>59</v>
      </c>
      <c r="D239" s="15" t="str">
        <f aca="false">IF(T239="Y","Superseded record",IF(AND(U239&lt;&gt;"",AA239&lt;0),"Expired (verified)",IF(AND(U239&lt;&gt;"",AA239&lt;=Scoring!$B$5),"Expiring: notice window (verified)",IF(AND(U239&lt;&gt;"",AA239&lt;=Scoring!$B$6),"Expiring: 10-yr horizon (verified)",IF(M239="No Longer Monitored","Out of program",IF(N239="","Unknown vintage",IF(N239&lt;Scoring!$B$12,"Pre-1990, still listed",IF(AND(U239="",AA239&lt;0),"Past 30-yr mark (verify)",IF(AND(U239="",AA239&lt;=Scoring!$B$5),"30-yr mark: notice window (est.)",IF(AND(O239&gt;=Scoring!$B$7,O239&lt;=Scoring!$B$8),"Year-15 window",IF(O239&gt;=Scoring!$B$9,"Recap window",IF(O239&gt;=11,"Late compliance","Credit period"))))))))))))</f>
        <v>Year-15 window</v>
      </c>
      <c r="E239" s="15" t="s">
        <v>986</v>
      </c>
      <c r="F239" s="15" t="s">
        <v>987</v>
      </c>
      <c r="G239" s="15" t="s">
        <v>988</v>
      </c>
      <c r="H239" s="15" t="s">
        <v>989</v>
      </c>
      <c r="I239" s="15"/>
      <c r="J239" s="15" t="n">
        <v>25</v>
      </c>
      <c r="K239" s="15" t="n">
        <v>25</v>
      </c>
      <c r="L239" s="15" t="n">
        <f aca="false">IF(OR(J239="",K239=""),"",MAX(J239-K239,0))</f>
        <v>0</v>
      </c>
      <c r="M239" s="15" t="s">
        <v>99</v>
      </c>
      <c r="N239" s="17" t="n">
        <v>2009</v>
      </c>
      <c r="O239" s="15" t="n">
        <f aca="false">IF(N239="","",Scoring!$B$4-N239)</f>
        <v>17</v>
      </c>
      <c r="P239" s="15" t="n">
        <f aca="false">IF(N239="","",N239+14)</f>
        <v>2023</v>
      </c>
      <c r="Q239" s="15" t="n">
        <f aca="false">IF(N239="","",IF(N239&lt;Scoring!$B$12,"n/a (pre-1990)",N239+Scoring!$B$13))</f>
        <v>2038</v>
      </c>
      <c r="R239" s="15" t="str">
        <f aca="false">IF(J239="","Unknown",IF(J239&gt;=5,"Yes","No (under 5 units)"))</f>
        <v>Yes</v>
      </c>
      <c r="S239" s="15"/>
      <c r="T239" s="18"/>
      <c r="U239" s="19"/>
      <c r="V239" s="18"/>
      <c r="W239" s="18"/>
      <c r="X239" s="20"/>
      <c r="Y239" s="18"/>
      <c r="Z239" s="18"/>
      <c r="AA239" s="21" t="n">
        <f aca="false">IF(U239&lt;&gt;"",(U239-Scoring!$B$3)/365.25,IF(N239="","",IF(N239&lt;Scoring!$B$12,"",(DATE(N239+Scoring!$B$13,12,31)-Scoring!$B$3)/365.25)))</f>
        <v>12.2464065708419</v>
      </c>
      <c r="AB239" s="22" t="n">
        <f aca="false">IF(T239="Y",0,IF(OR(D239="Expired (verified)",D239="Expiring: notice window (verified)",D239="Expiring: 10-yr horizon (verified)",D239="Past 30-yr mark (verify)",D239="30-yr mark: notice window (est.)",D239="Year-15 window"),1,0)+IF(ISNUMBER(O239),IF(O239&gt;=Scoring!$B$10,1,0),0)+IF(AND(ISNUMBER(L239),ISNUMBER(J239)),IF(J239&gt;0,IF(L239/J239&gt;=Scoring!$B$11,1,0),0),0)+IF(ISNUMBER(Z239),MIN(Z239,3),0))</f>
        <v>1</v>
      </c>
      <c r="AC239" s="22" t="n">
        <f aca="false">IF(AB239&gt;=3,Scoring!$C$24,IF(AB239=2,Scoring!$C$23,IF(AB239=1,Scoring!$C$22,0)))</f>
        <v>10</v>
      </c>
      <c r="AD239" s="22" t="n">
        <f aca="false">IF(T239="Y",0,IF(ISNUMBER(X239),IF(X239&gt;0.7,Scoring!$C$25,IF(X239&gt;=0.5,Scoring!$C$26,IF(X239&gt;=0.3,Scoring!$C$27,Scoring!$C$28))),Scoring!$C$29))</f>
        <v>10</v>
      </c>
      <c r="AE239" s="22" t="n">
        <f aca="false">IF(D239="Expiring: notice window (verified)",Scoring!$C$30,IF(OR(D239="Expired (verified)",D239="30-yr mark: notice window (est.)",D239="Year-15 window"),Scoring!$C$31,IF(D239="Expiring: 10-yr horizon (verified)",Scoring!$C$32,IF(D239="Past 30-yr mark (verify)",Scoring!$C$33,IF(OR(D239="Credit period",D239="Superseded record"),Scoring!$C$35,Scoring!$C$34)))))</f>
        <v>14</v>
      </c>
      <c r="AF239" s="22" t="n">
        <f aca="false">IF(T239="Y",0,IF(ISNUMBER(V239),IF(Scoring!$B$4-V239&gt;15,Scoring!$C$36,IF(Scoring!$B$4-V239&gt;=10,Scoring!$C$37,IF(Scoring!$B$4-V239&gt;=5,Scoring!$C$38,Scoring!$C$39))),IF(OR(N239="",D239="Out of program"),Scoring!$C$40,IF(O239&gt;15,Scoring!$C$36,IF(O239&gt;=10,Scoring!$C$37,IF(O239&gt;=5,Scoring!$C$38,Scoring!$C$39))))))</f>
        <v>15</v>
      </c>
      <c r="AG239" s="22" t="n">
        <f aca="false">IF(T239="Y",0,IF(Y239="Y",Scoring!$C$41,IF(ISNUMBER(O239),IF(O239&gt;=25,Scoring!$C$42,IF(O239&gt;=15,Scoring!$C$43,Scoring!$C$44)),Scoring!$C$44)))</f>
        <v>5</v>
      </c>
      <c r="AH239" s="22" t="n">
        <f aca="false">IF(T239="Y",0,IF(W239="",Scoring!$C$49,IFERROR(VLOOKUP(W239,Scoring!$B$45:$C$48,2,FALSE()),Scoring!$C$49)))</f>
        <v>5</v>
      </c>
      <c r="AI239" s="23" t="n">
        <f aca="false">C239+IF(ISNUMBER(J239),J239,0)/100000+(10000-ROW())/1000000000</f>
        <v>59.000259761</v>
      </c>
      <c r="AJ239" s="18"/>
      <c r="AK239" s="18"/>
      <c r="AL239" s="18"/>
      <c r="AM239" s="18"/>
    </row>
    <row r="240" customFormat="false" ht="15" hidden="false" customHeight="false" outlineLevel="0" collapsed="false">
      <c r="A240" s="15" t="n">
        <f aca="false">RANK(AI240,$AI$2:$AI$755)</f>
        <v>239</v>
      </c>
      <c r="B240" s="16" t="str">
        <f aca="false">IF(T240="Y","Superseded",IF(C240&gt;=Scoring!$B$16,"Immediate",IF(C240&gt;=Scoring!$B$17,"This week",IF(C240&gt;=Scoring!$B$18,"Nurture","Low"))))</f>
        <v>This week</v>
      </c>
      <c r="C240" s="3" t="n">
        <f aca="false">SUM(AC240:AH240)</f>
        <v>59</v>
      </c>
      <c r="D240" s="15" t="str">
        <f aca="false">IF(T240="Y","Superseded record",IF(AND(U240&lt;&gt;"",AA240&lt;0),"Expired (verified)",IF(AND(U240&lt;&gt;"",AA240&lt;=Scoring!$B$5),"Expiring: notice window (verified)",IF(AND(U240&lt;&gt;"",AA240&lt;=Scoring!$B$6),"Expiring: 10-yr horizon (verified)",IF(M240="No Longer Monitored","Out of program",IF(N240="","Unknown vintage",IF(N240&lt;Scoring!$B$12,"Pre-1990, still listed",IF(AND(U240="",AA240&lt;0),"Past 30-yr mark (verify)",IF(AND(U240="",AA240&lt;=Scoring!$B$5),"30-yr mark: notice window (est.)",IF(AND(O240&gt;=Scoring!$B$7,O240&lt;=Scoring!$B$8),"Year-15 window",IF(O240&gt;=Scoring!$B$9,"Recap window",IF(O240&gt;=11,"Late compliance","Credit period"))))))))))))</f>
        <v>Year-15 window</v>
      </c>
      <c r="E240" s="15" t="s">
        <v>990</v>
      </c>
      <c r="F240" s="15" t="s">
        <v>991</v>
      </c>
      <c r="G240" s="15" t="s">
        <v>992</v>
      </c>
      <c r="H240" s="15" t="s">
        <v>255</v>
      </c>
      <c r="I240" s="15" t="s">
        <v>256</v>
      </c>
      <c r="J240" s="15" t="n">
        <v>24</v>
      </c>
      <c r="K240" s="15" t="n">
        <v>24</v>
      </c>
      <c r="L240" s="15" t="n">
        <f aca="false">IF(OR(J240="",K240=""),"",MAX(J240-K240,0))</f>
        <v>0</v>
      </c>
      <c r="M240" s="15" t="s">
        <v>99</v>
      </c>
      <c r="N240" s="17" t="n">
        <v>2010</v>
      </c>
      <c r="O240" s="15" t="n">
        <f aca="false">IF(N240="","",Scoring!$B$4-N240)</f>
        <v>16</v>
      </c>
      <c r="P240" s="15" t="n">
        <f aca="false">IF(N240="","",N240+14)</f>
        <v>2024</v>
      </c>
      <c r="Q240" s="15" t="n">
        <f aca="false">IF(N240="","",IF(N240&lt;Scoring!$B$12,"n/a (pre-1990)",N240+Scoring!$B$13))</f>
        <v>2039</v>
      </c>
      <c r="R240" s="15" t="str">
        <f aca="false">IF(J240="","Unknown",IF(J240&gt;=5,"Yes","No (under 5 units)"))</f>
        <v>Yes</v>
      </c>
      <c r="S240" s="15"/>
      <c r="T240" s="18"/>
      <c r="U240" s="19"/>
      <c r="V240" s="18"/>
      <c r="W240" s="18"/>
      <c r="X240" s="20"/>
      <c r="Y240" s="18"/>
      <c r="Z240" s="18"/>
      <c r="AA240" s="21" t="n">
        <f aca="false">IF(U240&lt;&gt;"",(U240-Scoring!$B$3)/365.25,IF(N240="","",IF(N240&lt;Scoring!$B$12,"",(DATE(N240+Scoring!$B$13,12,31)-Scoring!$B$3)/365.25)))</f>
        <v>13.2457221081451</v>
      </c>
      <c r="AB240" s="22" t="n">
        <f aca="false">IF(T240="Y",0,IF(OR(D240="Expired (verified)",D240="Expiring: notice window (verified)",D240="Expiring: 10-yr horizon (verified)",D240="Past 30-yr mark (verify)",D240="30-yr mark: notice window (est.)",D240="Year-15 window"),1,0)+IF(ISNUMBER(O240),IF(O240&gt;=Scoring!$B$10,1,0),0)+IF(AND(ISNUMBER(L240),ISNUMBER(J240)),IF(J240&gt;0,IF(L240/J240&gt;=Scoring!$B$11,1,0),0),0)+IF(ISNUMBER(Z240),MIN(Z240,3),0))</f>
        <v>1</v>
      </c>
      <c r="AC240" s="22" t="n">
        <f aca="false">IF(AB240&gt;=3,Scoring!$C$24,IF(AB240=2,Scoring!$C$23,IF(AB240=1,Scoring!$C$22,0)))</f>
        <v>10</v>
      </c>
      <c r="AD240" s="22" t="n">
        <f aca="false">IF(T240="Y",0,IF(ISNUMBER(X240),IF(X240&gt;0.7,Scoring!$C$25,IF(X240&gt;=0.5,Scoring!$C$26,IF(X240&gt;=0.3,Scoring!$C$27,Scoring!$C$28))),Scoring!$C$29))</f>
        <v>10</v>
      </c>
      <c r="AE240" s="22" t="n">
        <f aca="false">IF(D240="Expiring: notice window (verified)",Scoring!$C$30,IF(OR(D240="Expired (verified)",D240="30-yr mark: notice window (est.)",D240="Year-15 window"),Scoring!$C$31,IF(D240="Expiring: 10-yr horizon (verified)",Scoring!$C$32,IF(D240="Past 30-yr mark (verify)",Scoring!$C$33,IF(OR(D240="Credit period",D240="Superseded record"),Scoring!$C$35,Scoring!$C$34)))))</f>
        <v>14</v>
      </c>
      <c r="AF240" s="22" t="n">
        <f aca="false">IF(T240="Y",0,IF(ISNUMBER(V240),IF(Scoring!$B$4-V240&gt;15,Scoring!$C$36,IF(Scoring!$B$4-V240&gt;=10,Scoring!$C$37,IF(Scoring!$B$4-V240&gt;=5,Scoring!$C$38,Scoring!$C$39))),IF(OR(N240="",D240="Out of program"),Scoring!$C$40,IF(O240&gt;15,Scoring!$C$36,IF(O240&gt;=10,Scoring!$C$37,IF(O240&gt;=5,Scoring!$C$38,Scoring!$C$39))))))</f>
        <v>15</v>
      </c>
      <c r="AG240" s="22" t="n">
        <f aca="false">IF(T240="Y",0,IF(Y240="Y",Scoring!$C$41,IF(ISNUMBER(O240),IF(O240&gt;=25,Scoring!$C$42,IF(O240&gt;=15,Scoring!$C$43,Scoring!$C$44)),Scoring!$C$44)))</f>
        <v>5</v>
      </c>
      <c r="AH240" s="22" t="n">
        <f aca="false">IF(T240="Y",0,IF(W240="",Scoring!$C$49,IFERROR(VLOOKUP(W240,Scoring!$B$45:$C$48,2,FALSE()),Scoring!$C$49)))</f>
        <v>5</v>
      </c>
      <c r="AI240" s="23" t="n">
        <f aca="false">C240+IF(ISNUMBER(J240),J240,0)/100000+(10000-ROW())/1000000000</f>
        <v>59.00024976</v>
      </c>
      <c r="AJ240" s="18"/>
      <c r="AK240" s="18"/>
      <c r="AL240" s="18"/>
      <c r="AM240" s="18"/>
    </row>
    <row r="241" customFormat="false" ht="15" hidden="false" customHeight="false" outlineLevel="0" collapsed="false">
      <c r="A241" s="15" t="n">
        <f aca="false">RANK(AI241,$AI$2:$AI$755)</f>
        <v>240</v>
      </c>
      <c r="B241" s="16" t="str">
        <f aca="false">IF(T241="Y","Superseded",IF(C241&gt;=Scoring!$B$16,"Immediate",IF(C241&gt;=Scoring!$B$17,"This week",IF(C241&gt;=Scoring!$B$18,"Nurture","Low"))))</f>
        <v>This week</v>
      </c>
      <c r="C241" s="3" t="n">
        <f aca="false">SUM(AC241:AH241)</f>
        <v>59</v>
      </c>
      <c r="D241" s="15" t="str">
        <f aca="false">IF(T241="Y","Superseded record",IF(AND(U241&lt;&gt;"",AA241&lt;0),"Expired (verified)",IF(AND(U241&lt;&gt;"",AA241&lt;=Scoring!$B$5),"Expiring: notice window (verified)",IF(AND(U241&lt;&gt;"",AA241&lt;=Scoring!$B$6),"Expiring: 10-yr horizon (verified)",IF(M241="No Longer Monitored","Out of program",IF(N241="","Unknown vintage",IF(N241&lt;Scoring!$B$12,"Pre-1990, still listed",IF(AND(U241="",AA241&lt;0),"Past 30-yr mark (verify)",IF(AND(U241="",AA241&lt;=Scoring!$B$5),"30-yr mark: notice window (est.)",IF(AND(O241&gt;=Scoring!$B$7,O241&lt;=Scoring!$B$8),"Year-15 window",IF(O241&gt;=Scoring!$B$9,"Recap window",IF(O241&gt;=11,"Late compliance","Credit period"))))))))))))</f>
        <v>Year-15 window</v>
      </c>
      <c r="E241" s="15" t="s">
        <v>993</v>
      </c>
      <c r="F241" s="15" t="s">
        <v>994</v>
      </c>
      <c r="G241" s="15" t="s">
        <v>995</v>
      </c>
      <c r="H241" s="15" t="s">
        <v>996</v>
      </c>
      <c r="I241" s="15"/>
      <c r="J241" s="15" t="n">
        <v>24</v>
      </c>
      <c r="K241" s="15" t="n">
        <v>24</v>
      </c>
      <c r="L241" s="15" t="n">
        <f aca="false">IF(OR(J241="",K241=""),"",MAX(J241-K241,0))</f>
        <v>0</v>
      </c>
      <c r="M241" s="15" t="s">
        <v>99</v>
      </c>
      <c r="N241" s="17" t="n">
        <v>2010</v>
      </c>
      <c r="O241" s="15" t="n">
        <f aca="false">IF(N241="","",Scoring!$B$4-N241)</f>
        <v>16</v>
      </c>
      <c r="P241" s="15" t="n">
        <f aca="false">IF(N241="","",N241+14)</f>
        <v>2024</v>
      </c>
      <c r="Q241" s="15" t="n">
        <f aca="false">IF(N241="","",IF(N241&lt;Scoring!$B$12,"n/a (pre-1990)",N241+Scoring!$B$13))</f>
        <v>2039</v>
      </c>
      <c r="R241" s="15" t="str">
        <f aca="false">IF(J241="","Unknown",IF(J241&gt;=5,"Yes","No (under 5 units)"))</f>
        <v>Yes</v>
      </c>
      <c r="S241" s="15"/>
      <c r="T241" s="18"/>
      <c r="U241" s="19"/>
      <c r="V241" s="18"/>
      <c r="W241" s="18"/>
      <c r="X241" s="20"/>
      <c r="Y241" s="18"/>
      <c r="Z241" s="18"/>
      <c r="AA241" s="21" t="n">
        <f aca="false">IF(U241&lt;&gt;"",(U241-Scoring!$B$3)/365.25,IF(N241="","",IF(N241&lt;Scoring!$B$12,"",(DATE(N241+Scoring!$B$13,12,31)-Scoring!$B$3)/365.25)))</f>
        <v>13.2457221081451</v>
      </c>
      <c r="AB241" s="22" t="n">
        <f aca="false">IF(T241="Y",0,IF(OR(D241="Expired (verified)",D241="Expiring: notice window (verified)",D241="Expiring: 10-yr horizon (verified)",D241="Past 30-yr mark (verify)",D241="30-yr mark: notice window (est.)",D241="Year-15 window"),1,0)+IF(ISNUMBER(O241),IF(O241&gt;=Scoring!$B$10,1,0),0)+IF(AND(ISNUMBER(L241),ISNUMBER(J241)),IF(J241&gt;0,IF(L241/J241&gt;=Scoring!$B$11,1,0),0),0)+IF(ISNUMBER(Z241),MIN(Z241,3),0))</f>
        <v>1</v>
      </c>
      <c r="AC241" s="22" t="n">
        <f aca="false">IF(AB241&gt;=3,Scoring!$C$24,IF(AB241=2,Scoring!$C$23,IF(AB241=1,Scoring!$C$22,0)))</f>
        <v>10</v>
      </c>
      <c r="AD241" s="22" t="n">
        <f aca="false">IF(T241="Y",0,IF(ISNUMBER(X241),IF(X241&gt;0.7,Scoring!$C$25,IF(X241&gt;=0.5,Scoring!$C$26,IF(X241&gt;=0.3,Scoring!$C$27,Scoring!$C$28))),Scoring!$C$29))</f>
        <v>10</v>
      </c>
      <c r="AE241" s="22" t="n">
        <f aca="false">IF(D241="Expiring: notice window (verified)",Scoring!$C$30,IF(OR(D241="Expired (verified)",D241="30-yr mark: notice window (est.)",D241="Year-15 window"),Scoring!$C$31,IF(D241="Expiring: 10-yr horizon (verified)",Scoring!$C$32,IF(D241="Past 30-yr mark (verify)",Scoring!$C$33,IF(OR(D241="Credit period",D241="Superseded record"),Scoring!$C$35,Scoring!$C$34)))))</f>
        <v>14</v>
      </c>
      <c r="AF241" s="22" t="n">
        <f aca="false">IF(T241="Y",0,IF(ISNUMBER(V241),IF(Scoring!$B$4-V241&gt;15,Scoring!$C$36,IF(Scoring!$B$4-V241&gt;=10,Scoring!$C$37,IF(Scoring!$B$4-V241&gt;=5,Scoring!$C$38,Scoring!$C$39))),IF(OR(N241="",D241="Out of program"),Scoring!$C$40,IF(O241&gt;15,Scoring!$C$36,IF(O241&gt;=10,Scoring!$C$37,IF(O241&gt;=5,Scoring!$C$38,Scoring!$C$39))))))</f>
        <v>15</v>
      </c>
      <c r="AG241" s="22" t="n">
        <f aca="false">IF(T241="Y",0,IF(Y241="Y",Scoring!$C$41,IF(ISNUMBER(O241),IF(O241&gt;=25,Scoring!$C$42,IF(O241&gt;=15,Scoring!$C$43,Scoring!$C$44)),Scoring!$C$44)))</f>
        <v>5</v>
      </c>
      <c r="AH241" s="22" t="n">
        <f aca="false">IF(T241="Y",0,IF(W241="",Scoring!$C$49,IFERROR(VLOOKUP(W241,Scoring!$B$45:$C$48,2,FALSE()),Scoring!$C$49)))</f>
        <v>5</v>
      </c>
      <c r="AI241" s="23" t="n">
        <f aca="false">C241+IF(ISNUMBER(J241),J241,0)/100000+(10000-ROW())/1000000000</f>
        <v>59.000249759</v>
      </c>
      <c r="AJ241" s="18"/>
      <c r="AK241" s="18"/>
      <c r="AL241" s="18"/>
      <c r="AM241" s="18"/>
    </row>
    <row r="242" customFormat="false" ht="15" hidden="false" customHeight="false" outlineLevel="0" collapsed="false">
      <c r="A242" s="15" t="n">
        <f aca="false">RANK(AI242,$AI$2:$AI$755)</f>
        <v>241</v>
      </c>
      <c r="B242" s="16" t="str">
        <f aca="false">IF(T242="Y","Superseded",IF(C242&gt;=Scoring!$B$16,"Immediate",IF(C242&gt;=Scoring!$B$17,"This week",IF(C242&gt;=Scoring!$B$18,"Nurture","Low"))))</f>
        <v>This week</v>
      </c>
      <c r="C242" s="3" t="n">
        <f aca="false">SUM(AC242:AH242)</f>
        <v>59</v>
      </c>
      <c r="D242" s="15" t="str">
        <f aca="false">IF(T242="Y","Superseded record",IF(AND(U242&lt;&gt;"",AA242&lt;0),"Expired (verified)",IF(AND(U242&lt;&gt;"",AA242&lt;=Scoring!$B$5),"Expiring: notice window (verified)",IF(AND(U242&lt;&gt;"",AA242&lt;=Scoring!$B$6),"Expiring: 10-yr horizon (verified)",IF(M242="No Longer Monitored","Out of program",IF(N242="","Unknown vintage",IF(N242&lt;Scoring!$B$12,"Pre-1990, still listed",IF(AND(U242="",AA242&lt;0),"Past 30-yr mark (verify)",IF(AND(U242="",AA242&lt;=Scoring!$B$5),"30-yr mark: notice window (est.)",IF(AND(O242&gt;=Scoring!$B$7,O242&lt;=Scoring!$B$8),"Year-15 window",IF(O242&gt;=Scoring!$B$9,"Recap window",IF(O242&gt;=11,"Late compliance","Credit period"))))))))))))</f>
        <v>Year-15 window</v>
      </c>
      <c r="E242" s="15" t="s">
        <v>997</v>
      </c>
      <c r="F242" s="15" t="s">
        <v>998</v>
      </c>
      <c r="G242" s="15" t="s">
        <v>999</v>
      </c>
      <c r="H242" s="15" t="s">
        <v>255</v>
      </c>
      <c r="I242" s="15" t="s">
        <v>256</v>
      </c>
      <c r="J242" s="15" t="n">
        <v>22</v>
      </c>
      <c r="K242" s="15" t="n">
        <v>22</v>
      </c>
      <c r="L242" s="15" t="n">
        <f aca="false">IF(OR(J242="",K242=""),"",MAX(J242-K242,0))</f>
        <v>0</v>
      </c>
      <c r="M242" s="15" t="s">
        <v>99</v>
      </c>
      <c r="N242" s="17" t="n">
        <v>2010</v>
      </c>
      <c r="O242" s="15" t="n">
        <f aca="false">IF(N242="","",Scoring!$B$4-N242)</f>
        <v>16</v>
      </c>
      <c r="P242" s="15" t="n">
        <f aca="false">IF(N242="","",N242+14)</f>
        <v>2024</v>
      </c>
      <c r="Q242" s="15" t="n">
        <f aca="false">IF(N242="","",IF(N242&lt;Scoring!$B$12,"n/a (pre-1990)",N242+Scoring!$B$13))</f>
        <v>2039</v>
      </c>
      <c r="R242" s="15" t="str">
        <f aca="false">IF(J242="","Unknown",IF(J242&gt;=5,"Yes","No (under 5 units)"))</f>
        <v>Yes</v>
      </c>
      <c r="S242" s="15"/>
      <c r="T242" s="18"/>
      <c r="U242" s="19"/>
      <c r="V242" s="18"/>
      <c r="W242" s="18"/>
      <c r="X242" s="20"/>
      <c r="Y242" s="18"/>
      <c r="Z242" s="18"/>
      <c r="AA242" s="21" t="n">
        <f aca="false">IF(U242&lt;&gt;"",(U242-Scoring!$B$3)/365.25,IF(N242="","",IF(N242&lt;Scoring!$B$12,"",(DATE(N242+Scoring!$B$13,12,31)-Scoring!$B$3)/365.25)))</f>
        <v>13.2457221081451</v>
      </c>
      <c r="AB242" s="22" t="n">
        <f aca="false">IF(T242="Y",0,IF(OR(D242="Expired (verified)",D242="Expiring: notice window (verified)",D242="Expiring: 10-yr horizon (verified)",D242="Past 30-yr mark (verify)",D242="30-yr mark: notice window (est.)",D242="Year-15 window"),1,0)+IF(ISNUMBER(O242),IF(O242&gt;=Scoring!$B$10,1,0),0)+IF(AND(ISNUMBER(L242),ISNUMBER(J242)),IF(J242&gt;0,IF(L242/J242&gt;=Scoring!$B$11,1,0),0),0)+IF(ISNUMBER(Z242),MIN(Z242,3),0))</f>
        <v>1</v>
      </c>
      <c r="AC242" s="22" t="n">
        <f aca="false">IF(AB242&gt;=3,Scoring!$C$24,IF(AB242=2,Scoring!$C$23,IF(AB242=1,Scoring!$C$22,0)))</f>
        <v>10</v>
      </c>
      <c r="AD242" s="22" t="n">
        <f aca="false">IF(T242="Y",0,IF(ISNUMBER(X242),IF(X242&gt;0.7,Scoring!$C$25,IF(X242&gt;=0.5,Scoring!$C$26,IF(X242&gt;=0.3,Scoring!$C$27,Scoring!$C$28))),Scoring!$C$29))</f>
        <v>10</v>
      </c>
      <c r="AE242" s="22" t="n">
        <f aca="false">IF(D242="Expiring: notice window (verified)",Scoring!$C$30,IF(OR(D242="Expired (verified)",D242="30-yr mark: notice window (est.)",D242="Year-15 window"),Scoring!$C$31,IF(D242="Expiring: 10-yr horizon (verified)",Scoring!$C$32,IF(D242="Past 30-yr mark (verify)",Scoring!$C$33,IF(OR(D242="Credit period",D242="Superseded record"),Scoring!$C$35,Scoring!$C$34)))))</f>
        <v>14</v>
      </c>
      <c r="AF242" s="22" t="n">
        <f aca="false">IF(T242="Y",0,IF(ISNUMBER(V242),IF(Scoring!$B$4-V242&gt;15,Scoring!$C$36,IF(Scoring!$B$4-V242&gt;=10,Scoring!$C$37,IF(Scoring!$B$4-V242&gt;=5,Scoring!$C$38,Scoring!$C$39))),IF(OR(N242="",D242="Out of program"),Scoring!$C$40,IF(O242&gt;15,Scoring!$C$36,IF(O242&gt;=10,Scoring!$C$37,IF(O242&gt;=5,Scoring!$C$38,Scoring!$C$39))))))</f>
        <v>15</v>
      </c>
      <c r="AG242" s="22" t="n">
        <f aca="false">IF(T242="Y",0,IF(Y242="Y",Scoring!$C$41,IF(ISNUMBER(O242),IF(O242&gt;=25,Scoring!$C$42,IF(O242&gt;=15,Scoring!$C$43,Scoring!$C$44)),Scoring!$C$44)))</f>
        <v>5</v>
      </c>
      <c r="AH242" s="22" t="n">
        <f aca="false">IF(T242="Y",0,IF(W242="",Scoring!$C$49,IFERROR(VLOOKUP(W242,Scoring!$B$45:$C$48,2,FALSE()),Scoring!$C$49)))</f>
        <v>5</v>
      </c>
      <c r="AI242" s="23" t="n">
        <f aca="false">C242+IF(ISNUMBER(J242),J242,0)/100000+(10000-ROW())/1000000000</f>
        <v>59.000229758</v>
      </c>
      <c r="AJ242" s="18"/>
      <c r="AK242" s="18"/>
      <c r="AL242" s="18"/>
      <c r="AM242" s="18"/>
    </row>
    <row r="243" customFormat="false" ht="15" hidden="false" customHeight="false" outlineLevel="0" collapsed="false">
      <c r="A243" s="15" t="n">
        <f aca="false">RANK(AI243,$AI$2:$AI$755)</f>
        <v>242</v>
      </c>
      <c r="B243" s="16" t="str">
        <f aca="false">IF(T243="Y","Superseded",IF(C243&gt;=Scoring!$B$16,"Immediate",IF(C243&gt;=Scoring!$B$17,"This week",IF(C243&gt;=Scoring!$B$18,"Nurture","Low"))))</f>
        <v>This week</v>
      </c>
      <c r="C243" s="3" t="n">
        <f aca="false">SUM(AC243:AH243)</f>
        <v>59</v>
      </c>
      <c r="D243" s="15" t="str">
        <f aca="false">IF(T243="Y","Superseded record",IF(AND(U243&lt;&gt;"",AA243&lt;0),"Expired (verified)",IF(AND(U243&lt;&gt;"",AA243&lt;=Scoring!$B$5),"Expiring: notice window (verified)",IF(AND(U243&lt;&gt;"",AA243&lt;=Scoring!$B$6),"Expiring: 10-yr horizon (verified)",IF(M243="No Longer Monitored","Out of program",IF(N243="","Unknown vintage",IF(N243&lt;Scoring!$B$12,"Pre-1990, still listed",IF(AND(U243="",AA243&lt;0),"Past 30-yr mark (verify)",IF(AND(U243="",AA243&lt;=Scoring!$B$5),"30-yr mark: notice window (est.)",IF(AND(O243&gt;=Scoring!$B$7,O243&lt;=Scoring!$B$8),"Year-15 window",IF(O243&gt;=Scoring!$B$9,"Recap window",IF(O243&gt;=11,"Late compliance","Credit period"))))))))))))</f>
        <v>Year-15 window</v>
      </c>
      <c r="E243" s="15" t="s">
        <v>1000</v>
      </c>
      <c r="F243" s="15" t="s">
        <v>1001</v>
      </c>
      <c r="G243" s="15" t="s">
        <v>1002</v>
      </c>
      <c r="H243" s="15" t="s">
        <v>666</v>
      </c>
      <c r="I243" s="15" t="s">
        <v>667</v>
      </c>
      <c r="J243" s="15" t="n">
        <v>20</v>
      </c>
      <c r="K243" s="15" t="n">
        <v>20</v>
      </c>
      <c r="L243" s="15" t="n">
        <f aca="false">IF(OR(J243="",K243=""),"",MAX(J243-K243,0))</f>
        <v>0</v>
      </c>
      <c r="M243" s="15" t="s">
        <v>99</v>
      </c>
      <c r="N243" s="17" t="n">
        <v>2010</v>
      </c>
      <c r="O243" s="15" t="n">
        <f aca="false">IF(N243="","",Scoring!$B$4-N243)</f>
        <v>16</v>
      </c>
      <c r="P243" s="15" t="n">
        <f aca="false">IF(N243="","",N243+14)</f>
        <v>2024</v>
      </c>
      <c r="Q243" s="15" t="n">
        <f aca="false">IF(N243="","",IF(N243&lt;Scoring!$B$12,"n/a (pre-1990)",N243+Scoring!$B$13))</f>
        <v>2039</v>
      </c>
      <c r="R243" s="15" t="str">
        <f aca="false">IF(J243="","Unknown",IF(J243&gt;=5,"Yes","No (under 5 units)"))</f>
        <v>Yes</v>
      </c>
      <c r="S243" s="15"/>
      <c r="T243" s="18"/>
      <c r="U243" s="19"/>
      <c r="V243" s="18"/>
      <c r="W243" s="18"/>
      <c r="X243" s="20"/>
      <c r="Y243" s="18"/>
      <c r="Z243" s="18"/>
      <c r="AA243" s="21" t="n">
        <f aca="false">IF(U243&lt;&gt;"",(U243-Scoring!$B$3)/365.25,IF(N243="","",IF(N243&lt;Scoring!$B$12,"",(DATE(N243+Scoring!$B$13,12,31)-Scoring!$B$3)/365.25)))</f>
        <v>13.2457221081451</v>
      </c>
      <c r="AB243" s="22" t="n">
        <f aca="false">IF(T243="Y",0,IF(OR(D243="Expired (verified)",D243="Expiring: notice window (verified)",D243="Expiring: 10-yr horizon (verified)",D243="Past 30-yr mark (verify)",D243="30-yr mark: notice window (est.)",D243="Year-15 window"),1,0)+IF(ISNUMBER(O243),IF(O243&gt;=Scoring!$B$10,1,0),0)+IF(AND(ISNUMBER(L243),ISNUMBER(J243)),IF(J243&gt;0,IF(L243/J243&gt;=Scoring!$B$11,1,0),0),0)+IF(ISNUMBER(Z243),MIN(Z243,3),0))</f>
        <v>1</v>
      </c>
      <c r="AC243" s="22" t="n">
        <f aca="false">IF(AB243&gt;=3,Scoring!$C$24,IF(AB243=2,Scoring!$C$23,IF(AB243=1,Scoring!$C$22,0)))</f>
        <v>10</v>
      </c>
      <c r="AD243" s="22" t="n">
        <f aca="false">IF(T243="Y",0,IF(ISNUMBER(X243),IF(X243&gt;0.7,Scoring!$C$25,IF(X243&gt;=0.5,Scoring!$C$26,IF(X243&gt;=0.3,Scoring!$C$27,Scoring!$C$28))),Scoring!$C$29))</f>
        <v>10</v>
      </c>
      <c r="AE243" s="22" t="n">
        <f aca="false">IF(D243="Expiring: notice window (verified)",Scoring!$C$30,IF(OR(D243="Expired (verified)",D243="30-yr mark: notice window (est.)",D243="Year-15 window"),Scoring!$C$31,IF(D243="Expiring: 10-yr horizon (verified)",Scoring!$C$32,IF(D243="Past 30-yr mark (verify)",Scoring!$C$33,IF(OR(D243="Credit period",D243="Superseded record"),Scoring!$C$35,Scoring!$C$34)))))</f>
        <v>14</v>
      </c>
      <c r="AF243" s="22" t="n">
        <f aca="false">IF(T243="Y",0,IF(ISNUMBER(V243),IF(Scoring!$B$4-V243&gt;15,Scoring!$C$36,IF(Scoring!$B$4-V243&gt;=10,Scoring!$C$37,IF(Scoring!$B$4-V243&gt;=5,Scoring!$C$38,Scoring!$C$39))),IF(OR(N243="",D243="Out of program"),Scoring!$C$40,IF(O243&gt;15,Scoring!$C$36,IF(O243&gt;=10,Scoring!$C$37,IF(O243&gt;=5,Scoring!$C$38,Scoring!$C$39))))))</f>
        <v>15</v>
      </c>
      <c r="AG243" s="22" t="n">
        <f aca="false">IF(T243="Y",0,IF(Y243="Y",Scoring!$C$41,IF(ISNUMBER(O243),IF(O243&gt;=25,Scoring!$C$42,IF(O243&gt;=15,Scoring!$C$43,Scoring!$C$44)),Scoring!$C$44)))</f>
        <v>5</v>
      </c>
      <c r="AH243" s="22" t="n">
        <f aca="false">IF(T243="Y",0,IF(W243="",Scoring!$C$49,IFERROR(VLOOKUP(W243,Scoring!$B$45:$C$48,2,FALSE()),Scoring!$C$49)))</f>
        <v>5</v>
      </c>
      <c r="AI243" s="23" t="n">
        <f aca="false">C243+IF(ISNUMBER(J243),J243,0)/100000+(10000-ROW())/1000000000</f>
        <v>59.000209757</v>
      </c>
      <c r="AJ243" s="18"/>
      <c r="AK243" s="18"/>
      <c r="AL243" s="18"/>
      <c r="AM243" s="18"/>
    </row>
    <row r="244" customFormat="false" ht="15" hidden="false" customHeight="false" outlineLevel="0" collapsed="false">
      <c r="A244" s="15" t="n">
        <f aca="false">RANK(AI244,$AI$2:$AI$755)</f>
        <v>243</v>
      </c>
      <c r="B244" s="16" t="str">
        <f aca="false">IF(T244="Y","Superseded",IF(C244&gt;=Scoring!$B$16,"Immediate",IF(C244&gt;=Scoring!$B$17,"This week",IF(C244&gt;=Scoring!$B$18,"Nurture","Low"))))</f>
        <v>This week</v>
      </c>
      <c r="C244" s="3" t="n">
        <f aca="false">SUM(AC244:AH244)</f>
        <v>59</v>
      </c>
      <c r="D244" s="15" t="str">
        <f aca="false">IF(T244="Y","Superseded record",IF(AND(U244&lt;&gt;"",AA244&lt;0),"Expired (verified)",IF(AND(U244&lt;&gt;"",AA244&lt;=Scoring!$B$5),"Expiring: notice window (verified)",IF(AND(U244&lt;&gt;"",AA244&lt;=Scoring!$B$6),"Expiring: 10-yr horizon (verified)",IF(M244="No Longer Monitored","Out of program",IF(N244="","Unknown vintage",IF(N244&lt;Scoring!$B$12,"Pre-1990, still listed",IF(AND(U244="",AA244&lt;0),"Past 30-yr mark (verify)",IF(AND(U244="",AA244&lt;=Scoring!$B$5),"30-yr mark: notice window (est.)",IF(AND(O244&gt;=Scoring!$B$7,O244&lt;=Scoring!$B$8),"Year-15 window",IF(O244&gt;=Scoring!$B$9,"Recap window",IF(O244&gt;=11,"Late compliance","Credit period"))))))))))))</f>
        <v>Year-15 window</v>
      </c>
      <c r="E244" s="15" t="s">
        <v>1003</v>
      </c>
      <c r="F244" s="15" t="s">
        <v>1004</v>
      </c>
      <c r="G244" s="15" t="s">
        <v>1005</v>
      </c>
      <c r="H244" s="15" t="s">
        <v>647</v>
      </c>
      <c r="I244" s="15" t="s">
        <v>648</v>
      </c>
      <c r="J244" s="15" t="n">
        <v>12</v>
      </c>
      <c r="K244" s="15" t="n">
        <v>12</v>
      </c>
      <c r="L244" s="15" t="n">
        <f aca="false">IF(OR(J244="",K244=""),"",MAX(J244-K244,0))</f>
        <v>0</v>
      </c>
      <c r="M244" s="15" t="s">
        <v>99</v>
      </c>
      <c r="N244" s="17" t="n">
        <v>2010</v>
      </c>
      <c r="O244" s="15" t="n">
        <f aca="false">IF(N244="","",Scoring!$B$4-N244)</f>
        <v>16</v>
      </c>
      <c r="P244" s="15" t="n">
        <f aca="false">IF(N244="","",N244+14)</f>
        <v>2024</v>
      </c>
      <c r="Q244" s="15" t="n">
        <f aca="false">IF(N244="","",IF(N244&lt;Scoring!$B$12,"n/a (pre-1990)",N244+Scoring!$B$13))</f>
        <v>2039</v>
      </c>
      <c r="R244" s="15" t="str">
        <f aca="false">IF(J244="","Unknown",IF(J244&gt;=5,"Yes","No (under 5 units)"))</f>
        <v>Yes</v>
      </c>
      <c r="S244" s="15"/>
      <c r="T244" s="18"/>
      <c r="U244" s="19"/>
      <c r="V244" s="18"/>
      <c r="W244" s="18"/>
      <c r="X244" s="20"/>
      <c r="Y244" s="18"/>
      <c r="Z244" s="18"/>
      <c r="AA244" s="21" t="n">
        <f aca="false">IF(U244&lt;&gt;"",(U244-Scoring!$B$3)/365.25,IF(N244="","",IF(N244&lt;Scoring!$B$12,"",(DATE(N244+Scoring!$B$13,12,31)-Scoring!$B$3)/365.25)))</f>
        <v>13.2457221081451</v>
      </c>
      <c r="AB244" s="22" t="n">
        <f aca="false">IF(T244="Y",0,IF(OR(D244="Expired (verified)",D244="Expiring: notice window (verified)",D244="Expiring: 10-yr horizon (verified)",D244="Past 30-yr mark (verify)",D244="30-yr mark: notice window (est.)",D244="Year-15 window"),1,0)+IF(ISNUMBER(O244),IF(O244&gt;=Scoring!$B$10,1,0),0)+IF(AND(ISNUMBER(L244),ISNUMBER(J244)),IF(J244&gt;0,IF(L244/J244&gt;=Scoring!$B$11,1,0),0),0)+IF(ISNUMBER(Z244),MIN(Z244,3),0))</f>
        <v>1</v>
      </c>
      <c r="AC244" s="22" t="n">
        <f aca="false">IF(AB244&gt;=3,Scoring!$C$24,IF(AB244=2,Scoring!$C$23,IF(AB244=1,Scoring!$C$22,0)))</f>
        <v>10</v>
      </c>
      <c r="AD244" s="22" t="n">
        <f aca="false">IF(T244="Y",0,IF(ISNUMBER(X244),IF(X244&gt;0.7,Scoring!$C$25,IF(X244&gt;=0.5,Scoring!$C$26,IF(X244&gt;=0.3,Scoring!$C$27,Scoring!$C$28))),Scoring!$C$29))</f>
        <v>10</v>
      </c>
      <c r="AE244" s="22" t="n">
        <f aca="false">IF(D244="Expiring: notice window (verified)",Scoring!$C$30,IF(OR(D244="Expired (verified)",D244="30-yr mark: notice window (est.)",D244="Year-15 window"),Scoring!$C$31,IF(D244="Expiring: 10-yr horizon (verified)",Scoring!$C$32,IF(D244="Past 30-yr mark (verify)",Scoring!$C$33,IF(OR(D244="Credit period",D244="Superseded record"),Scoring!$C$35,Scoring!$C$34)))))</f>
        <v>14</v>
      </c>
      <c r="AF244" s="22" t="n">
        <f aca="false">IF(T244="Y",0,IF(ISNUMBER(V244),IF(Scoring!$B$4-V244&gt;15,Scoring!$C$36,IF(Scoring!$B$4-V244&gt;=10,Scoring!$C$37,IF(Scoring!$B$4-V244&gt;=5,Scoring!$C$38,Scoring!$C$39))),IF(OR(N244="",D244="Out of program"),Scoring!$C$40,IF(O244&gt;15,Scoring!$C$36,IF(O244&gt;=10,Scoring!$C$37,IF(O244&gt;=5,Scoring!$C$38,Scoring!$C$39))))))</f>
        <v>15</v>
      </c>
      <c r="AG244" s="22" t="n">
        <f aca="false">IF(T244="Y",0,IF(Y244="Y",Scoring!$C$41,IF(ISNUMBER(O244),IF(O244&gt;=25,Scoring!$C$42,IF(O244&gt;=15,Scoring!$C$43,Scoring!$C$44)),Scoring!$C$44)))</f>
        <v>5</v>
      </c>
      <c r="AH244" s="22" t="n">
        <f aca="false">IF(T244="Y",0,IF(W244="",Scoring!$C$49,IFERROR(VLOOKUP(W244,Scoring!$B$45:$C$48,2,FALSE()),Scoring!$C$49)))</f>
        <v>5</v>
      </c>
      <c r="AI244" s="23" t="n">
        <f aca="false">C244+IF(ISNUMBER(J244),J244,0)/100000+(10000-ROW())/1000000000</f>
        <v>59.000129756</v>
      </c>
      <c r="AJ244" s="18"/>
      <c r="AK244" s="18"/>
      <c r="AL244" s="18"/>
      <c r="AM244" s="18"/>
    </row>
    <row r="245" customFormat="false" ht="15" hidden="false" customHeight="false" outlineLevel="0" collapsed="false">
      <c r="A245" s="15" t="n">
        <f aca="false">RANK(AI245,$AI$2:$AI$755)</f>
        <v>244</v>
      </c>
      <c r="B245" s="16" t="str">
        <f aca="false">IF(T245="Y","Superseded",IF(C245&gt;=Scoring!$B$16,"Immediate",IF(C245&gt;=Scoring!$B$17,"This week",IF(C245&gt;=Scoring!$B$18,"Nurture","Low"))))</f>
        <v>This week</v>
      </c>
      <c r="C245" s="3" t="n">
        <f aca="false">SUM(AC245:AH245)</f>
        <v>59</v>
      </c>
      <c r="D245" s="15" t="str">
        <f aca="false">IF(T245="Y","Superseded record",IF(AND(U245&lt;&gt;"",AA245&lt;0),"Expired (verified)",IF(AND(U245&lt;&gt;"",AA245&lt;=Scoring!$B$5),"Expiring: notice window (verified)",IF(AND(U245&lt;&gt;"",AA245&lt;=Scoring!$B$6),"Expiring: 10-yr horizon (verified)",IF(M245="No Longer Monitored","Out of program",IF(N245="","Unknown vintage",IF(N245&lt;Scoring!$B$12,"Pre-1990, still listed",IF(AND(U245="",AA245&lt;0),"Past 30-yr mark (verify)",IF(AND(U245="",AA245&lt;=Scoring!$B$5),"30-yr mark: notice window (est.)",IF(AND(O245&gt;=Scoring!$B$7,O245&lt;=Scoring!$B$8),"Year-15 window",IF(O245&gt;=Scoring!$B$9,"Recap window",IF(O245&gt;=11,"Late compliance","Credit period"))))))))))))</f>
        <v>Year-15 window</v>
      </c>
      <c r="E245" s="15" t="s">
        <v>1006</v>
      </c>
      <c r="F245" s="15" t="s">
        <v>1007</v>
      </c>
      <c r="G245" s="15" t="s">
        <v>945</v>
      </c>
      <c r="H245" s="15" t="s">
        <v>185</v>
      </c>
      <c r="I245" s="15" t="s">
        <v>867</v>
      </c>
      <c r="J245" s="15" t="n">
        <v>10</v>
      </c>
      <c r="K245" s="15" t="n">
        <v>10</v>
      </c>
      <c r="L245" s="15" t="n">
        <f aca="false">IF(OR(J245="",K245=""),"",MAX(J245-K245,0))</f>
        <v>0</v>
      </c>
      <c r="M245" s="15" t="s">
        <v>99</v>
      </c>
      <c r="N245" s="17" t="n">
        <v>2010</v>
      </c>
      <c r="O245" s="15" t="n">
        <f aca="false">IF(N245="","",Scoring!$B$4-N245)</f>
        <v>16</v>
      </c>
      <c r="P245" s="15" t="n">
        <f aca="false">IF(N245="","",N245+14)</f>
        <v>2024</v>
      </c>
      <c r="Q245" s="15" t="n">
        <f aca="false">IF(N245="","",IF(N245&lt;Scoring!$B$12,"n/a (pre-1990)",N245+Scoring!$B$13))</f>
        <v>2039</v>
      </c>
      <c r="R245" s="15" t="str">
        <f aca="false">IF(J245="","Unknown",IF(J245&gt;=5,"Yes","No (under 5 units)"))</f>
        <v>Yes</v>
      </c>
      <c r="S245" s="15" t="s">
        <v>1008</v>
      </c>
      <c r="T245" s="18"/>
      <c r="U245" s="19"/>
      <c r="V245" s="18"/>
      <c r="W245" s="18"/>
      <c r="X245" s="20"/>
      <c r="Y245" s="18"/>
      <c r="Z245" s="18"/>
      <c r="AA245" s="21" t="n">
        <f aca="false">IF(U245&lt;&gt;"",(U245-Scoring!$B$3)/365.25,IF(N245="","",IF(N245&lt;Scoring!$B$12,"",(DATE(N245+Scoring!$B$13,12,31)-Scoring!$B$3)/365.25)))</f>
        <v>13.2457221081451</v>
      </c>
      <c r="AB245" s="22" t="n">
        <f aca="false">IF(T245="Y",0,IF(OR(D245="Expired (verified)",D245="Expiring: notice window (verified)",D245="Expiring: 10-yr horizon (verified)",D245="Past 30-yr mark (verify)",D245="30-yr mark: notice window (est.)",D245="Year-15 window"),1,0)+IF(ISNUMBER(O245),IF(O245&gt;=Scoring!$B$10,1,0),0)+IF(AND(ISNUMBER(L245),ISNUMBER(J245)),IF(J245&gt;0,IF(L245/J245&gt;=Scoring!$B$11,1,0),0),0)+IF(ISNUMBER(Z245),MIN(Z245,3),0))</f>
        <v>1</v>
      </c>
      <c r="AC245" s="22" t="n">
        <f aca="false">IF(AB245&gt;=3,Scoring!$C$24,IF(AB245=2,Scoring!$C$23,IF(AB245=1,Scoring!$C$22,0)))</f>
        <v>10</v>
      </c>
      <c r="AD245" s="22" t="n">
        <f aca="false">IF(T245="Y",0,IF(ISNUMBER(X245),IF(X245&gt;0.7,Scoring!$C$25,IF(X245&gt;=0.5,Scoring!$C$26,IF(X245&gt;=0.3,Scoring!$C$27,Scoring!$C$28))),Scoring!$C$29))</f>
        <v>10</v>
      </c>
      <c r="AE245" s="22" t="n">
        <f aca="false">IF(D245="Expiring: notice window (verified)",Scoring!$C$30,IF(OR(D245="Expired (verified)",D245="30-yr mark: notice window (est.)",D245="Year-15 window"),Scoring!$C$31,IF(D245="Expiring: 10-yr horizon (verified)",Scoring!$C$32,IF(D245="Past 30-yr mark (verify)",Scoring!$C$33,IF(OR(D245="Credit period",D245="Superseded record"),Scoring!$C$35,Scoring!$C$34)))))</f>
        <v>14</v>
      </c>
      <c r="AF245" s="22" t="n">
        <f aca="false">IF(T245="Y",0,IF(ISNUMBER(V245),IF(Scoring!$B$4-V245&gt;15,Scoring!$C$36,IF(Scoring!$B$4-V245&gt;=10,Scoring!$C$37,IF(Scoring!$B$4-V245&gt;=5,Scoring!$C$38,Scoring!$C$39))),IF(OR(N245="",D245="Out of program"),Scoring!$C$40,IF(O245&gt;15,Scoring!$C$36,IF(O245&gt;=10,Scoring!$C$37,IF(O245&gt;=5,Scoring!$C$38,Scoring!$C$39))))))</f>
        <v>15</v>
      </c>
      <c r="AG245" s="22" t="n">
        <f aca="false">IF(T245="Y",0,IF(Y245="Y",Scoring!$C$41,IF(ISNUMBER(O245),IF(O245&gt;=25,Scoring!$C$42,IF(O245&gt;=15,Scoring!$C$43,Scoring!$C$44)),Scoring!$C$44)))</f>
        <v>5</v>
      </c>
      <c r="AH245" s="22" t="n">
        <f aca="false">IF(T245="Y",0,IF(W245="",Scoring!$C$49,IFERROR(VLOOKUP(W245,Scoring!$B$45:$C$48,2,FALSE()),Scoring!$C$49)))</f>
        <v>5</v>
      </c>
      <c r="AI245" s="23" t="n">
        <f aca="false">C245+IF(ISNUMBER(J245),J245,0)/100000+(10000-ROW())/1000000000</f>
        <v>59.000109755</v>
      </c>
      <c r="AJ245" s="18"/>
      <c r="AK245" s="18"/>
      <c r="AL245" s="18"/>
      <c r="AM245" s="18"/>
    </row>
    <row r="246" customFormat="false" ht="15" hidden="false" customHeight="false" outlineLevel="0" collapsed="false">
      <c r="A246" s="15" t="n">
        <f aca="false">RANK(AI246,$AI$2:$AI$755)</f>
        <v>245</v>
      </c>
      <c r="B246" s="16" t="str">
        <f aca="false">IF(T246="Y","Superseded",IF(C246&gt;=Scoring!$B$16,"Immediate",IF(C246&gt;=Scoring!$B$17,"This week",IF(C246&gt;=Scoring!$B$18,"Nurture","Low"))))</f>
        <v>This week</v>
      </c>
      <c r="C246" s="3" t="n">
        <f aca="false">SUM(AC246:AH246)</f>
        <v>57</v>
      </c>
      <c r="D246" s="15" t="str">
        <f aca="false">IF(T246="Y","Superseded record",IF(AND(U246&lt;&gt;"",AA246&lt;0),"Expired (verified)",IF(AND(U246&lt;&gt;"",AA246&lt;=Scoring!$B$5),"Expiring: notice window (verified)",IF(AND(U246&lt;&gt;"",AA246&lt;=Scoring!$B$6),"Expiring: 10-yr horizon (verified)",IF(M246="No Longer Monitored","Out of program",IF(N246="","Unknown vintage",IF(N246&lt;Scoring!$B$12,"Pre-1990, still listed",IF(AND(U246="",AA246&lt;0),"Past 30-yr mark (verify)",IF(AND(U246="",AA246&lt;=Scoring!$B$5),"30-yr mark: notice window (est.)",IF(AND(O246&gt;=Scoring!$B$7,O246&lt;=Scoring!$B$8),"Year-15 window",IF(O246&gt;=Scoring!$B$9,"Recap window",IF(O246&gt;=11,"Late compliance","Credit period"))))))))))))</f>
        <v>Recap window</v>
      </c>
      <c r="E246" s="15" t="s">
        <v>1009</v>
      </c>
      <c r="F246" s="15" t="s">
        <v>1010</v>
      </c>
      <c r="G246" s="15" t="s">
        <v>1011</v>
      </c>
      <c r="H246" s="15" t="s">
        <v>455</v>
      </c>
      <c r="I246" s="15"/>
      <c r="J246" s="15" t="n">
        <v>396</v>
      </c>
      <c r="K246" s="15" t="n">
        <v>278</v>
      </c>
      <c r="L246" s="15" t="n">
        <f aca="false">IF(OR(J246="",K246=""),"",MAX(J246-K246,0))</f>
        <v>118</v>
      </c>
      <c r="M246" s="15" t="s">
        <v>99</v>
      </c>
      <c r="N246" s="17" t="n">
        <v>2004</v>
      </c>
      <c r="O246" s="15" t="n">
        <f aca="false">IF(N246="","",Scoring!$B$4-N246)</f>
        <v>22</v>
      </c>
      <c r="P246" s="15" t="n">
        <f aca="false">IF(N246="","",N246+14)</f>
        <v>2018</v>
      </c>
      <c r="Q246" s="15" t="n">
        <f aca="false">IF(N246="","",IF(N246&lt;Scoring!$B$12,"n/a (pre-1990)",N246+Scoring!$B$13))</f>
        <v>2033</v>
      </c>
      <c r="R246" s="15" t="str">
        <f aca="false">IF(J246="","Unknown",IF(J246&gt;=5,"Yes","No (under 5 units)"))</f>
        <v>Yes</v>
      </c>
      <c r="S246" s="15"/>
      <c r="T246" s="18"/>
      <c r="U246" s="19"/>
      <c r="V246" s="18"/>
      <c r="W246" s="18"/>
      <c r="X246" s="20"/>
      <c r="Y246" s="18"/>
      <c r="Z246" s="18"/>
      <c r="AA246" s="21" t="n">
        <f aca="false">IF(U246&lt;&gt;"",(U246-Scoring!$B$3)/365.25,IF(N246="","",IF(N246&lt;Scoring!$B$12,"",(DATE(N246+Scoring!$B$13,12,31)-Scoring!$B$3)/365.25)))</f>
        <v>7.24709103353867</v>
      </c>
      <c r="AB246" s="22" t="n">
        <f aca="false">IF(T246="Y",0,IF(OR(D246="Expired (verified)",D246="Expiring: notice window (verified)",D246="Expiring: 10-yr horizon (verified)",D246="Past 30-yr mark (verify)",D246="30-yr mark: notice window (est.)",D246="Year-15 window"),1,0)+IF(ISNUMBER(O246),IF(O246&gt;=Scoring!$B$10,1,0),0)+IF(AND(ISNUMBER(L246),ISNUMBER(J246)),IF(J246&gt;0,IF(L246/J246&gt;=Scoring!$B$11,1,0),0),0)+IF(ISNUMBER(Z246),MIN(Z246,3),0))</f>
        <v>2</v>
      </c>
      <c r="AC246" s="22" t="n">
        <f aca="false">IF(AB246&gt;=3,Scoring!$C$24,IF(AB246=2,Scoring!$C$23,IF(AB246=1,Scoring!$C$22,0)))</f>
        <v>18</v>
      </c>
      <c r="AD246" s="22" t="n">
        <f aca="false">IF(T246="Y",0,IF(ISNUMBER(X246),IF(X246&gt;0.7,Scoring!$C$25,IF(X246&gt;=0.5,Scoring!$C$26,IF(X246&gt;=0.3,Scoring!$C$27,Scoring!$C$28))),Scoring!$C$29))</f>
        <v>10</v>
      </c>
      <c r="AE246" s="22" t="n">
        <f aca="false">IF(D246="Expiring: notice window (verified)",Scoring!$C$30,IF(OR(D246="Expired (verified)",D246="30-yr mark: notice window (est.)",D246="Year-15 window"),Scoring!$C$31,IF(D246="Expiring: 10-yr horizon (verified)",Scoring!$C$32,IF(D246="Past 30-yr mark (verify)",Scoring!$C$33,IF(OR(D246="Credit period",D246="Superseded record"),Scoring!$C$35,Scoring!$C$34)))))</f>
        <v>4</v>
      </c>
      <c r="AF246" s="22" t="n">
        <f aca="false">IF(T246="Y",0,IF(ISNUMBER(V246),IF(Scoring!$B$4-V246&gt;15,Scoring!$C$36,IF(Scoring!$B$4-V246&gt;=10,Scoring!$C$37,IF(Scoring!$B$4-V246&gt;=5,Scoring!$C$38,Scoring!$C$39))),IF(OR(N246="",D246="Out of program"),Scoring!$C$40,IF(O246&gt;15,Scoring!$C$36,IF(O246&gt;=10,Scoring!$C$37,IF(O246&gt;=5,Scoring!$C$38,Scoring!$C$39))))))</f>
        <v>15</v>
      </c>
      <c r="AG246" s="22" t="n">
        <f aca="false">IF(T246="Y",0,IF(Y246="Y",Scoring!$C$41,IF(ISNUMBER(O246),IF(O246&gt;=25,Scoring!$C$42,IF(O246&gt;=15,Scoring!$C$43,Scoring!$C$44)),Scoring!$C$44)))</f>
        <v>5</v>
      </c>
      <c r="AH246" s="22" t="n">
        <f aca="false">IF(T246="Y",0,IF(W246="",Scoring!$C$49,IFERROR(VLOOKUP(W246,Scoring!$B$45:$C$48,2,FALSE()),Scoring!$C$49)))</f>
        <v>5</v>
      </c>
      <c r="AI246" s="23" t="n">
        <f aca="false">C246+IF(ISNUMBER(J246),J246,0)/100000+(10000-ROW())/1000000000</f>
        <v>57.003969754</v>
      </c>
      <c r="AJ246" s="18"/>
      <c r="AK246" s="18"/>
      <c r="AL246" s="18"/>
      <c r="AM246" s="18"/>
    </row>
    <row r="247" customFormat="false" ht="15" hidden="false" customHeight="false" outlineLevel="0" collapsed="false">
      <c r="A247" s="15" t="n">
        <f aca="false">RANK(AI247,$AI$2:$AI$755)</f>
        <v>246</v>
      </c>
      <c r="B247" s="16" t="str">
        <f aca="false">IF(T247="Y","Superseded",IF(C247&gt;=Scoring!$B$16,"Immediate",IF(C247&gt;=Scoring!$B$17,"This week",IF(C247&gt;=Scoring!$B$18,"Nurture","Low"))))</f>
        <v>This week</v>
      </c>
      <c r="C247" s="3" t="n">
        <f aca="false">SUM(AC247:AH247)</f>
        <v>57</v>
      </c>
      <c r="D247" s="15" t="str">
        <f aca="false">IF(T247="Y","Superseded record",IF(AND(U247&lt;&gt;"",AA247&lt;0),"Expired (verified)",IF(AND(U247&lt;&gt;"",AA247&lt;=Scoring!$B$5),"Expiring: notice window (verified)",IF(AND(U247&lt;&gt;"",AA247&lt;=Scoring!$B$6),"Expiring: 10-yr horizon (verified)",IF(M247="No Longer Monitored","Out of program",IF(N247="","Unknown vintage",IF(N247&lt;Scoring!$B$12,"Pre-1990, still listed",IF(AND(U247="",AA247&lt;0),"Past 30-yr mark (verify)",IF(AND(U247="",AA247&lt;=Scoring!$B$5),"30-yr mark: notice window (est.)",IF(AND(O247&gt;=Scoring!$B$7,O247&lt;=Scoring!$B$8),"Year-15 window",IF(O247&gt;=Scoring!$B$9,"Recap window",IF(O247&gt;=11,"Late compliance","Credit period"))))))))))))</f>
        <v>Recap window</v>
      </c>
      <c r="E247" s="15" t="s">
        <v>1012</v>
      </c>
      <c r="F247" s="15" t="s">
        <v>1013</v>
      </c>
      <c r="G247" s="15" t="s">
        <v>1014</v>
      </c>
      <c r="H247" s="15" t="s">
        <v>97</v>
      </c>
      <c r="I247" s="15" t="s">
        <v>160</v>
      </c>
      <c r="J247" s="15" t="n">
        <v>176</v>
      </c>
      <c r="K247" s="15" t="n">
        <v>157</v>
      </c>
      <c r="L247" s="15" t="n">
        <f aca="false">IF(OR(J247="",K247=""),"",MAX(J247-K247,0))</f>
        <v>19</v>
      </c>
      <c r="M247" s="15" t="s">
        <v>99</v>
      </c>
      <c r="N247" s="17" t="n">
        <v>2004</v>
      </c>
      <c r="O247" s="15" t="n">
        <f aca="false">IF(N247="","",Scoring!$B$4-N247)</f>
        <v>22</v>
      </c>
      <c r="P247" s="15" t="n">
        <f aca="false">IF(N247="","",N247+14)</f>
        <v>2018</v>
      </c>
      <c r="Q247" s="15" t="n">
        <f aca="false">IF(N247="","",IF(N247&lt;Scoring!$B$12,"n/a (pre-1990)",N247+Scoring!$B$13))</f>
        <v>2033</v>
      </c>
      <c r="R247" s="15" t="str">
        <f aca="false">IF(J247="","Unknown",IF(J247&gt;=5,"Yes","No (under 5 units)"))</f>
        <v>Yes</v>
      </c>
      <c r="S247" s="15"/>
      <c r="T247" s="18"/>
      <c r="U247" s="19"/>
      <c r="V247" s="18"/>
      <c r="W247" s="18"/>
      <c r="X247" s="20"/>
      <c r="Y247" s="18"/>
      <c r="Z247" s="18"/>
      <c r="AA247" s="21" t="n">
        <f aca="false">IF(U247&lt;&gt;"",(U247-Scoring!$B$3)/365.25,IF(N247="","",IF(N247&lt;Scoring!$B$12,"",(DATE(N247+Scoring!$B$13,12,31)-Scoring!$B$3)/365.25)))</f>
        <v>7.24709103353867</v>
      </c>
      <c r="AB247" s="22" t="n">
        <f aca="false">IF(T247="Y",0,IF(OR(D247="Expired (verified)",D247="Expiring: notice window (verified)",D247="Expiring: 10-yr horizon (verified)",D247="Past 30-yr mark (verify)",D247="30-yr mark: notice window (est.)",D247="Year-15 window"),1,0)+IF(ISNUMBER(O247),IF(O247&gt;=Scoring!$B$10,1,0),0)+IF(AND(ISNUMBER(L247),ISNUMBER(J247)),IF(J247&gt;0,IF(L247/J247&gt;=Scoring!$B$11,1,0),0),0)+IF(ISNUMBER(Z247),MIN(Z247,3),0))</f>
        <v>2</v>
      </c>
      <c r="AC247" s="22" t="n">
        <f aca="false">IF(AB247&gt;=3,Scoring!$C$24,IF(AB247=2,Scoring!$C$23,IF(AB247=1,Scoring!$C$22,0)))</f>
        <v>18</v>
      </c>
      <c r="AD247" s="22" t="n">
        <f aca="false">IF(T247="Y",0,IF(ISNUMBER(X247),IF(X247&gt;0.7,Scoring!$C$25,IF(X247&gt;=0.5,Scoring!$C$26,IF(X247&gt;=0.3,Scoring!$C$27,Scoring!$C$28))),Scoring!$C$29))</f>
        <v>10</v>
      </c>
      <c r="AE247" s="22" t="n">
        <f aca="false">IF(D247="Expiring: notice window (verified)",Scoring!$C$30,IF(OR(D247="Expired (verified)",D247="30-yr mark: notice window (est.)",D247="Year-15 window"),Scoring!$C$31,IF(D247="Expiring: 10-yr horizon (verified)",Scoring!$C$32,IF(D247="Past 30-yr mark (verify)",Scoring!$C$33,IF(OR(D247="Credit period",D247="Superseded record"),Scoring!$C$35,Scoring!$C$34)))))</f>
        <v>4</v>
      </c>
      <c r="AF247" s="22" t="n">
        <f aca="false">IF(T247="Y",0,IF(ISNUMBER(V247),IF(Scoring!$B$4-V247&gt;15,Scoring!$C$36,IF(Scoring!$B$4-V247&gt;=10,Scoring!$C$37,IF(Scoring!$B$4-V247&gt;=5,Scoring!$C$38,Scoring!$C$39))),IF(OR(N247="",D247="Out of program"),Scoring!$C$40,IF(O247&gt;15,Scoring!$C$36,IF(O247&gt;=10,Scoring!$C$37,IF(O247&gt;=5,Scoring!$C$38,Scoring!$C$39))))))</f>
        <v>15</v>
      </c>
      <c r="AG247" s="22" t="n">
        <f aca="false">IF(T247="Y",0,IF(Y247="Y",Scoring!$C$41,IF(ISNUMBER(O247),IF(O247&gt;=25,Scoring!$C$42,IF(O247&gt;=15,Scoring!$C$43,Scoring!$C$44)),Scoring!$C$44)))</f>
        <v>5</v>
      </c>
      <c r="AH247" s="22" t="n">
        <f aca="false">IF(T247="Y",0,IF(W247="",Scoring!$C$49,IFERROR(VLOOKUP(W247,Scoring!$B$45:$C$48,2,FALSE()),Scoring!$C$49)))</f>
        <v>5</v>
      </c>
      <c r="AI247" s="23" t="n">
        <f aca="false">C247+IF(ISNUMBER(J247),J247,0)/100000+(10000-ROW())/1000000000</f>
        <v>57.001769753</v>
      </c>
      <c r="AJ247" s="18"/>
      <c r="AK247" s="18"/>
      <c r="AL247" s="18"/>
      <c r="AM247" s="18"/>
    </row>
    <row r="248" customFormat="false" ht="15" hidden="false" customHeight="false" outlineLevel="0" collapsed="false">
      <c r="A248" s="15" t="n">
        <f aca="false">RANK(AI248,$AI$2:$AI$755)</f>
        <v>247</v>
      </c>
      <c r="B248" s="16" t="str">
        <f aca="false">IF(T248="Y","Superseded",IF(C248&gt;=Scoring!$B$16,"Immediate",IF(C248&gt;=Scoring!$B$17,"This week",IF(C248&gt;=Scoring!$B$18,"Nurture","Low"))))</f>
        <v>This week</v>
      </c>
      <c r="C248" s="3" t="n">
        <f aca="false">SUM(AC248:AH248)</f>
        <v>57</v>
      </c>
      <c r="D248" s="15" t="str">
        <f aca="false">IF(T248="Y","Superseded record",IF(AND(U248&lt;&gt;"",AA248&lt;0),"Expired (verified)",IF(AND(U248&lt;&gt;"",AA248&lt;=Scoring!$B$5),"Expiring: notice window (verified)",IF(AND(U248&lt;&gt;"",AA248&lt;=Scoring!$B$6),"Expiring: 10-yr horizon (verified)",IF(M248="No Longer Monitored","Out of program",IF(N248="","Unknown vintage",IF(N248&lt;Scoring!$B$12,"Pre-1990, still listed",IF(AND(U248="",AA248&lt;0),"Past 30-yr mark (verify)",IF(AND(U248="",AA248&lt;=Scoring!$B$5),"30-yr mark: notice window (est.)",IF(AND(O248&gt;=Scoring!$B$7,O248&lt;=Scoring!$B$8),"Year-15 window",IF(O248&gt;=Scoring!$B$9,"Recap window",IF(O248&gt;=11,"Late compliance","Credit period"))))))))))))</f>
        <v>Recap window</v>
      </c>
      <c r="E248" s="15" t="s">
        <v>1015</v>
      </c>
      <c r="F248" s="15" t="s">
        <v>1016</v>
      </c>
      <c r="G248" s="15" t="s">
        <v>1017</v>
      </c>
      <c r="H248" s="15" t="s">
        <v>97</v>
      </c>
      <c r="I248" s="15" t="s">
        <v>929</v>
      </c>
      <c r="J248" s="15" t="n">
        <v>104</v>
      </c>
      <c r="K248" s="15" t="n">
        <v>73</v>
      </c>
      <c r="L248" s="15" t="n">
        <f aca="false">IF(OR(J248="",K248=""),"",MAX(J248-K248,0))</f>
        <v>31</v>
      </c>
      <c r="M248" s="15" t="s">
        <v>99</v>
      </c>
      <c r="N248" s="17" t="n">
        <v>2002</v>
      </c>
      <c r="O248" s="15" t="n">
        <f aca="false">IF(N248="","",Scoring!$B$4-N248)</f>
        <v>24</v>
      </c>
      <c r="P248" s="15" t="n">
        <f aca="false">IF(N248="","",N248+14)</f>
        <v>2016</v>
      </c>
      <c r="Q248" s="15" t="n">
        <f aca="false">IF(N248="","",IF(N248&lt;Scoring!$B$12,"n/a (pre-1990)",N248+Scoring!$B$13))</f>
        <v>2031</v>
      </c>
      <c r="R248" s="15" t="str">
        <f aca="false">IF(J248="","Unknown",IF(J248&gt;=5,"Yes","No (under 5 units)"))</f>
        <v>Yes</v>
      </c>
      <c r="S248" s="15"/>
      <c r="T248" s="18"/>
      <c r="U248" s="19"/>
      <c r="V248" s="18"/>
      <c r="W248" s="18"/>
      <c r="X248" s="20"/>
      <c r="Y248" s="18"/>
      <c r="Z248" s="18"/>
      <c r="AA248" s="21" t="n">
        <f aca="false">IF(U248&lt;&gt;"",(U248-Scoring!$B$3)/365.25,IF(N248="","",IF(N248&lt;Scoring!$B$12,"",(DATE(N248+Scoring!$B$13,12,31)-Scoring!$B$3)/365.25)))</f>
        <v>5.24572210814511</v>
      </c>
      <c r="AB248" s="22" t="n">
        <f aca="false">IF(T248="Y",0,IF(OR(D248="Expired (verified)",D248="Expiring: notice window (verified)",D248="Expiring: 10-yr horizon (verified)",D248="Past 30-yr mark (verify)",D248="30-yr mark: notice window (est.)",D248="Year-15 window"),1,0)+IF(ISNUMBER(O248),IF(O248&gt;=Scoring!$B$10,1,0),0)+IF(AND(ISNUMBER(L248),ISNUMBER(J248)),IF(J248&gt;0,IF(L248/J248&gt;=Scoring!$B$11,1,0),0),0)+IF(ISNUMBER(Z248),MIN(Z248,3),0))</f>
        <v>2</v>
      </c>
      <c r="AC248" s="22" t="n">
        <f aca="false">IF(AB248&gt;=3,Scoring!$C$24,IF(AB248=2,Scoring!$C$23,IF(AB248=1,Scoring!$C$22,0)))</f>
        <v>18</v>
      </c>
      <c r="AD248" s="22" t="n">
        <f aca="false">IF(T248="Y",0,IF(ISNUMBER(X248),IF(X248&gt;0.7,Scoring!$C$25,IF(X248&gt;=0.5,Scoring!$C$26,IF(X248&gt;=0.3,Scoring!$C$27,Scoring!$C$28))),Scoring!$C$29))</f>
        <v>10</v>
      </c>
      <c r="AE248" s="22" t="n">
        <f aca="false">IF(D248="Expiring: notice window (verified)",Scoring!$C$30,IF(OR(D248="Expired (verified)",D248="30-yr mark: notice window (est.)",D248="Year-15 window"),Scoring!$C$31,IF(D248="Expiring: 10-yr horizon (verified)",Scoring!$C$32,IF(D248="Past 30-yr mark (verify)",Scoring!$C$33,IF(OR(D248="Credit period",D248="Superseded record"),Scoring!$C$35,Scoring!$C$34)))))</f>
        <v>4</v>
      </c>
      <c r="AF248" s="22" t="n">
        <f aca="false">IF(T248="Y",0,IF(ISNUMBER(V248),IF(Scoring!$B$4-V248&gt;15,Scoring!$C$36,IF(Scoring!$B$4-V248&gt;=10,Scoring!$C$37,IF(Scoring!$B$4-V248&gt;=5,Scoring!$C$38,Scoring!$C$39))),IF(OR(N248="",D248="Out of program"),Scoring!$C$40,IF(O248&gt;15,Scoring!$C$36,IF(O248&gt;=10,Scoring!$C$37,IF(O248&gt;=5,Scoring!$C$38,Scoring!$C$39))))))</f>
        <v>15</v>
      </c>
      <c r="AG248" s="22" t="n">
        <f aca="false">IF(T248="Y",0,IF(Y248="Y",Scoring!$C$41,IF(ISNUMBER(O248),IF(O248&gt;=25,Scoring!$C$42,IF(O248&gt;=15,Scoring!$C$43,Scoring!$C$44)),Scoring!$C$44)))</f>
        <v>5</v>
      </c>
      <c r="AH248" s="22" t="n">
        <f aca="false">IF(T248="Y",0,IF(W248="",Scoring!$C$49,IFERROR(VLOOKUP(W248,Scoring!$B$45:$C$48,2,FALSE()),Scoring!$C$49)))</f>
        <v>5</v>
      </c>
      <c r="AI248" s="23" t="n">
        <f aca="false">C248+IF(ISNUMBER(J248),J248,0)/100000+(10000-ROW())/1000000000</f>
        <v>57.001049752</v>
      </c>
      <c r="AJ248" s="18"/>
      <c r="AK248" s="18"/>
      <c r="AL248" s="18"/>
      <c r="AM248" s="18"/>
    </row>
    <row r="249" customFormat="false" ht="15" hidden="false" customHeight="false" outlineLevel="0" collapsed="false">
      <c r="A249" s="15" t="n">
        <f aca="false">RANK(AI249,$AI$2:$AI$755)</f>
        <v>248</v>
      </c>
      <c r="B249" s="16" t="str">
        <f aca="false">IF(T249="Y","Superseded",IF(C249&gt;=Scoring!$B$16,"Immediate",IF(C249&gt;=Scoring!$B$17,"This week",IF(C249&gt;=Scoring!$B$18,"Nurture","Low"))))</f>
        <v>This week</v>
      </c>
      <c r="C249" s="3" t="n">
        <f aca="false">SUM(AC249:AH249)</f>
        <v>57</v>
      </c>
      <c r="D249" s="15" t="str">
        <f aca="false">IF(T249="Y","Superseded record",IF(AND(U249&lt;&gt;"",AA249&lt;0),"Expired (verified)",IF(AND(U249&lt;&gt;"",AA249&lt;=Scoring!$B$5),"Expiring: notice window (verified)",IF(AND(U249&lt;&gt;"",AA249&lt;=Scoring!$B$6),"Expiring: 10-yr horizon (verified)",IF(M249="No Longer Monitored","Out of program",IF(N249="","Unknown vintage",IF(N249&lt;Scoring!$B$12,"Pre-1990, still listed",IF(AND(U249="",AA249&lt;0),"Past 30-yr mark (verify)",IF(AND(U249="",AA249&lt;=Scoring!$B$5),"30-yr mark: notice window (est.)",IF(AND(O249&gt;=Scoring!$B$7,O249&lt;=Scoring!$B$8),"Year-15 window",IF(O249&gt;=Scoring!$B$9,"Recap window",IF(O249&gt;=11,"Late compliance","Credit period"))))))))))))</f>
        <v>Recap window</v>
      </c>
      <c r="E249" s="15" t="s">
        <v>1018</v>
      </c>
      <c r="F249" s="15" t="s">
        <v>1019</v>
      </c>
      <c r="G249" s="15" t="s">
        <v>1020</v>
      </c>
      <c r="H249" s="15" t="s">
        <v>97</v>
      </c>
      <c r="I249" s="15" t="s">
        <v>195</v>
      </c>
      <c r="J249" s="15" t="n">
        <v>80</v>
      </c>
      <c r="K249" s="15" t="n">
        <v>64</v>
      </c>
      <c r="L249" s="15" t="n">
        <f aca="false">IF(OR(J249="",K249=""),"",MAX(J249-K249,0))</f>
        <v>16</v>
      </c>
      <c r="M249" s="15" t="s">
        <v>99</v>
      </c>
      <c r="N249" s="17" t="n">
        <v>2003</v>
      </c>
      <c r="O249" s="15" t="n">
        <f aca="false">IF(N249="","",Scoring!$B$4-N249)</f>
        <v>23</v>
      </c>
      <c r="P249" s="15" t="n">
        <f aca="false">IF(N249="","",N249+14)</f>
        <v>2017</v>
      </c>
      <c r="Q249" s="15" t="n">
        <f aca="false">IF(N249="","",IF(N249&lt;Scoring!$B$12,"n/a (pre-1990)",N249+Scoring!$B$13))</f>
        <v>2032</v>
      </c>
      <c r="R249" s="15" t="str">
        <f aca="false">IF(J249="","Unknown",IF(J249&gt;=5,"Yes","No (under 5 units)"))</f>
        <v>Yes</v>
      </c>
      <c r="S249" s="15"/>
      <c r="T249" s="18"/>
      <c r="U249" s="19"/>
      <c r="V249" s="18"/>
      <c r="W249" s="18"/>
      <c r="X249" s="20"/>
      <c r="Y249" s="18"/>
      <c r="Z249" s="18"/>
      <c r="AA249" s="21" t="n">
        <f aca="false">IF(U249&lt;&gt;"",(U249-Scoring!$B$3)/365.25,IF(N249="","",IF(N249&lt;Scoring!$B$12,"",(DATE(N249+Scoring!$B$13,12,31)-Scoring!$B$3)/365.25)))</f>
        <v>6.24777549623546</v>
      </c>
      <c r="AB249" s="22" t="n">
        <f aca="false">IF(T249="Y",0,IF(OR(D249="Expired (verified)",D249="Expiring: notice window (verified)",D249="Expiring: 10-yr horizon (verified)",D249="Past 30-yr mark (verify)",D249="30-yr mark: notice window (est.)",D249="Year-15 window"),1,0)+IF(ISNUMBER(O249),IF(O249&gt;=Scoring!$B$10,1,0),0)+IF(AND(ISNUMBER(L249),ISNUMBER(J249)),IF(J249&gt;0,IF(L249/J249&gt;=Scoring!$B$11,1,0),0),0)+IF(ISNUMBER(Z249),MIN(Z249,3),0))</f>
        <v>2</v>
      </c>
      <c r="AC249" s="22" t="n">
        <f aca="false">IF(AB249&gt;=3,Scoring!$C$24,IF(AB249=2,Scoring!$C$23,IF(AB249=1,Scoring!$C$22,0)))</f>
        <v>18</v>
      </c>
      <c r="AD249" s="22" t="n">
        <f aca="false">IF(T249="Y",0,IF(ISNUMBER(X249),IF(X249&gt;0.7,Scoring!$C$25,IF(X249&gt;=0.5,Scoring!$C$26,IF(X249&gt;=0.3,Scoring!$C$27,Scoring!$C$28))),Scoring!$C$29))</f>
        <v>10</v>
      </c>
      <c r="AE249" s="22" t="n">
        <f aca="false">IF(D249="Expiring: notice window (verified)",Scoring!$C$30,IF(OR(D249="Expired (verified)",D249="30-yr mark: notice window (est.)",D249="Year-15 window"),Scoring!$C$31,IF(D249="Expiring: 10-yr horizon (verified)",Scoring!$C$32,IF(D249="Past 30-yr mark (verify)",Scoring!$C$33,IF(OR(D249="Credit period",D249="Superseded record"),Scoring!$C$35,Scoring!$C$34)))))</f>
        <v>4</v>
      </c>
      <c r="AF249" s="22" t="n">
        <f aca="false">IF(T249="Y",0,IF(ISNUMBER(V249),IF(Scoring!$B$4-V249&gt;15,Scoring!$C$36,IF(Scoring!$B$4-V249&gt;=10,Scoring!$C$37,IF(Scoring!$B$4-V249&gt;=5,Scoring!$C$38,Scoring!$C$39))),IF(OR(N249="",D249="Out of program"),Scoring!$C$40,IF(O249&gt;15,Scoring!$C$36,IF(O249&gt;=10,Scoring!$C$37,IF(O249&gt;=5,Scoring!$C$38,Scoring!$C$39))))))</f>
        <v>15</v>
      </c>
      <c r="AG249" s="22" t="n">
        <f aca="false">IF(T249="Y",0,IF(Y249="Y",Scoring!$C$41,IF(ISNUMBER(O249),IF(O249&gt;=25,Scoring!$C$42,IF(O249&gt;=15,Scoring!$C$43,Scoring!$C$44)),Scoring!$C$44)))</f>
        <v>5</v>
      </c>
      <c r="AH249" s="22" t="n">
        <f aca="false">IF(T249="Y",0,IF(W249="",Scoring!$C$49,IFERROR(VLOOKUP(W249,Scoring!$B$45:$C$48,2,FALSE()),Scoring!$C$49)))</f>
        <v>5</v>
      </c>
      <c r="AI249" s="23" t="n">
        <f aca="false">C249+IF(ISNUMBER(J249),J249,0)/100000+(10000-ROW())/1000000000</f>
        <v>57.000809751</v>
      </c>
      <c r="AJ249" s="18"/>
      <c r="AK249" s="18"/>
      <c r="AL249" s="18"/>
      <c r="AM249" s="18"/>
    </row>
    <row r="250" customFormat="false" ht="15" hidden="false" customHeight="false" outlineLevel="0" collapsed="false">
      <c r="A250" s="15" t="n">
        <f aca="false">RANK(AI250,$AI$2:$AI$755)</f>
        <v>249</v>
      </c>
      <c r="B250" s="16" t="str">
        <f aca="false">IF(T250="Y","Superseded",IF(C250&gt;=Scoring!$B$16,"Immediate",IF(C250&gt;=Scoring!$B$17,"This week",IF(C250&gt;=Scoring!$B$18,"Nurture","Low"))))</f>
        <v>This week</v>
      </c>
      <c r="C250" s="3" t="n">
        <f aca="false">SUM(AC250:AH250)</f>
        <v>57</v>
      </c>
      <c r="D250" s="15" t="str">
        <f aca="false">IF(T250="Y","Superseded record",IF(AND(U250&lt;&gt;"",AA250&lt;0),"Expired (verified)",IF(AND(U250&lt;&gt;"",AA250&lt;=Scoring!$B$5),"Expiring: notice window (verified)",IF(AND(U250&lt;&gt;"",AA250&lt;=Scoring!$B$6),"Expiring: 10-yr horizon (verified)",IF(M250="No Longer Monitored","Out of program",IF(N250="","Unknown vintage",IF(N250&lt;Scoring!$B$12,"Pre-1990, still listed",IF(AND(U250="",AA250&lt;0),"Past 30-yr mark (verify)",IF(AND(U250="",AA250&lt;=Scoring!$B$5),"30-yr mark: notice window (est.)",IF(AND(O250&gt;=Scoring!$B$7,O250&lt;=Scoring!$B$8),"Year-15 window",IF(O250&gt;=Scoring!$B$9,"Recap window",IF(O250&gt;=11,"Late compliance","Credit period"))))))))))))</f>
        <v>Recap window</v>
      </c>
      <c r="E250" s="15" t="s">
        <v>1021</v>
      </c>
      <c r="F250" s="15" t="s">
        <v>1022</v>
      </c>
      <c r="G250" s="15" t="s">
        <v>1023</v>
      </c>
      <c r="H250" s="15" t="s">
        <v>232</v>
      </c>
      <c r="I250" s="15" t="s">
        <v>640</v>
      </c>
      <c r="J250" s="15" t="n">
        <v>54</v>
      </c>
      <c r="K250" s="15" t="n">
        <v>40</v>
      </c>
      <c r="L250" s="15" t="n">
        <f aca="false">IF(OR(J250="",K250=""),"",MAX(J250-K250,0))</f>
        <v>14</v>
      </c>
      <c r="M250" s="15" t="s">
        <v>99</v>
      </c>
      <c r="N250" s="17" t="n">
        <v>2004</v>
      </c>
      <c r="O250" s="15" t="n">
        <f aca="false">IF(N250="","",Scoring!$B$4-N250)</f>
        <v>22</v>
      </c>
      <c r="P250" s="15" t="n">
        <f aca="false">IF(N250="","",N250+14)</f>
        <v>2018</v>
      </c>
      <c r="Q250" s="15" t="n">
        <f aca="false">IF(N250="","",IF(N250&lt;Scoring!$B$12,"n/a (pre-1990)",N250+Scoring!$B$13))</f>
        <v>2033</v>
      </c>
      <c r="R250" s="15" t="str">
        <f aca="false">IF(J250="","Unknown",IF(J250&gt;=5,"Yes","No (under 5 units)"))</f>
        <v>Yes</v>
      </c>
      <c r="S250" s="15"/>
      <c r="T250" s="18"/>
      <c r="U250" s="19"/>
      <c r="V250" s="18"/>
      <c r="W250" s="18"/>
      <c r="X250" s="20"/>
      <c r="Y250" s="18"/>
      <c r="Z250" s="18"/>
      <c r="AA250" s="21" t="n">
        <f aca="false">IF(U250&lt;&gt;"",(U250-Scoring!$B$3)/365.25,IF(N250="","",IF(N250&lt;Scoring!$B$12,"",(DATE(N250+Scoring!$B$13,12,31)-Scoring!$B$3)/365.25)))</f>
        <v>7.24709103353867</v>
      </c>
      <c r="AB250" s="22" t="n">
        <f aca="false">IF(T250="Y",0,IF(OR(D250="Expired (verified)",D250="Expiring: notice window (verified)",D250="Expiring: 10-yr horizon (verified)",D250="Past 30-yr mark (verify)",D250="30-yr mark: notice window (est.)",D250="Year-15 window"),1,0)+IF(ISNUMBER(O250),IF(O250&gt;=Scoring!$B$10,1,0),0)+IF(AND(ISNUMBER(L250),ISNUMBER(J250)),IF(J250&gt;0,IF(L250/J250&gt;=Scoring!$B$11,1,0),0),0)+IF(ISNUMBER(Z250),MIN(Z250,3),0))</f>
        <v>2</v>
      </c>
      <c r="AC250" s="22" t="n">
        <f aca="false">IF(AB250&gt;=3,Scoring!$C$24,IF(AB250=2,Scoring!$C$23,IF(AB250=1,Scoring!$C$22,0)))</f>
        <v>18</v>
      </c>
      <c r="AD250" s="22" t="n">
        <f aca="false">IF(T250="Y",0,IF(ISNUMBER(X250),IF(X250&gt;0.7,Scoring!$C$25,IF(X250&gt;=0.5,Scoring!$C$26,IF(X250&gt;=0.3,Scoring!$C$27,Scoring!$C$28))),Scoring!$C$29))</f>
        <v>10</v>
      </c>
      <c r="AE250" s="22" t="n">
        <f aca="false">IF(D250="Expiring: notice window (verified)",Scoring!$C$30,IF(OR(D250="Expired (verified)",D250="30-yr mark: notice window (est.)",D250="Year-15 window"),Scoring!$C$31,IF(D250="Expiring: 10-yr horizon (verified)",Scoring!$C$32,IF(D250="Past 30-yr mark (verify)",Scoring!$C$33,IF(OR(D250="Credit period",D250="Superseded record"),Scoring!$C$35,Scoring!$C$34)))))</f>
        <v>4</v>
      </c>
      <c r="AF250" s="22" t="n">
        <f aca="false">IF(T250="Y",0,IF(ISNUMBER(V250),IF(Scoring!$B$4-V250&gt;15,Scoring!$C$36,IF(Scoring!$B$4-V250&gt;=10,Scoring!$C$37,IF(Scoring!$B$4-V250&gt;=5,Scoring!$C$38,Scoring!$C$39))),IF(OR(N250="",D250="Out of program"),Scoring!$C$40,IF(O250&gt;15,Scoring!$C$36,IF(O250&gt;=10,Scoring!$C$37,IF(O250&gt;=5,Scoring!$C$38,Scoring!$C$39))))))</f>
        <v>15</v>
      </c>
      <c r="AG250" s="22" t="n">
        <f aca="false">IF(T250="Y",0,IF(Y250="Y",Scoring!$C$41,IF(ISNUMBER(O250),IF(O250&gt;=25,Scoring!$C$42,IF(O250&gt;=15,Scoring!$C$43,Scoring!$C$44)),Scoring!$C$44)))</f>
        <v>5</v>
      </c>
      <c r="AH250" s="22" t="n">
        <f aca="false">IF(T250="Y",0,IF(W250="",Scoring!$C$49,IFERROR(VLOOKUP(W250,Scoring!$B$45:$C$48,2,FALSE()),Scoring!$C$49)))</f>
        <v>5</v>
      </c>
      <c r="AI250" s="23" t="n">
        <f aca="false">C250+IF(ISNUMBER(J250),J250,0)/100000+(10000-ROW())/1000000000</f>
        <v>57.00054975</v>
      </c>
      <c r="AJ250" s="18"/>
      <c r="AK250" s="18"/>
      <c r="AL250" s="18"/>
      <c r="AM250" s="18"/>
    </row>
    <row r="251" customFormat="false" ht="15" hidden="false" customHeight="false" outlineLevel="0" collapsed="false">
      <c r="A251" s="15" t="n">
        <f aca="false">RANK(AI251,$AI$2:$AI$755)</f>
        <v>250</v>
      </c>
      <c r="B251" s="16" t="str">
        <f aca="false">IF(T251="Y","Superseded",IF(C251&gt;=Scoring!$B$16,"Immediate",IF(C251&gt;=Scoring!$B$17,"This week",IF(C251&gt;=Scoring!$B$18,"Nurture","Low"))))</f>
        <v>This week</v>
      </c>
      <c r="C251" s="3" t="n">
        <f aca="false">SUM(AC251:AH251)</f>
        <v>57</v>
      </c>
      <c r="D251" s="15" t="str">
        <f aca="false">IF(T251="Y","Superseded record",IF(AND(U251&lt;&gt;"",AA251&lt;0),"Expired (verified)",IF(AND(U251&lt;&gt;"",AA251&lt;=Scoring!$B$5),"Expiring: notice window (verified)",IF(AND(U251&lt;&gt;"",AA251&lt;=Scoring!$B$6),"Expiring: 10-yr horizon (verified)",IF(M251="No Longer Monitored","Out of program",IF(N251="","Unknown vintage",IF(N251&lt;Scoring!$B$12,"Pre-1990, still listed",IF(AND(U251="",AA251&lt;0),"Past 30-yr mark (verify)",IF(AND(U251="",AA251&lt;=Scoring!$B$5),"30-yr mark: notice window (est.)",IF(AND(O251&gt;=Scoring!$B$7,O251&lt;=Scoring!$B$8),"Year-15 window",IF(O251&gt;=Scoring!$B$9,"Recap window",IF(O251&gt;=11,"Late compliance","Credit period"))))))))))))</f>
        <v>Recap window</v>
      </c>
      <c r="E251" s="15" t="s">
        <v>1024</v>
      </c>
      <c r="F251" s="15" t="s">
        <v>1025</v>
      </c>
      <c r="G251" s="15" t="s">
        <v>1026</v>
      </c>
      <c r="H251" s="15" t="s">
        <v>97</v>
      </c>
      <c r="I251" s="15" t="s">
        <v>245</v>
      </c>
      <c r="J251" s="15" t="n">
        <v>47</v>
      </c>
      <c r="K251" s="15" t="n">
        <v>19</v>
      </c>
      <c r="L251" s="15" t="n">
        <f aca="false">IF(OR(J251="",K251=""),"",MAX(J251-K251,0))</f>
        <v>28</v>
      </c>
      <c r="M251" s="15" t="s">
        <v>99</v>
      </c>
      <c r="N251" s="17" t="n">
        <v>2002</v>
      </c>
      <c r="O251" s="15" t="n">
        <f aca="false">IF(N251="","",Scoring!$B$4-N251)</f>
        <v>24</v>
      </c>
      <c r="P251" s="15" t="n">
        <f aca="false">IF(N251="","",N251+14)</f>
        <v>2016</v>
      </c>
      <c r="Q251" s="15" t="n">
        <f aca="false">IF(N251="","",IF(N251&lt;Scoring!$B$12,"n/a (pre-1990)",N251+Scoring!$B$13))</f>
        <v>2031</v>
      </c>
      <c r="R251" s="15" t="str">
        <f aca="false">IF(J251="","Unknown",IF(J251&gt;=5,"Yes","No (under 5 units)"))</f>
        <v>Yes</v>
      </c>
      <c r="S251" s="15"/>
      <c r="T251" s="18"/>
      <c r="U251" s="19"/>
      <c r="V251" s="18"/>
      <c r="W251" s="18"/>
      <c r="X251" s="20"/>
      <c r="Y251" s="18"/>
      <c r="Z251" s="18"/>
      <c r="AA251" s="21" t="n">
        <f aca="false">IF(U251&lt;&gt;"",(U251-Scoring!$B$3)/365.25,IF(N251="","",IF(N251&lt;Scoring!$B$12,"",(DATE(N251+Scoring!$B$13,12,31)-Scoring!$B$3)/365.25)))</f>
        <v>5.24572210814511</v>
      </c>
      <c r="AB251" s="22" t="n">
        <f aca="false">IF(T251="Y",0,IF(OR(D251="Expired (verified)",D251="Expiring: notice window (verified)",D251="Expiring: 10-yr horizon (verified)",D251="Past 30-yr mark (verify)",D251="30-yr mark: notice window (est.)",D251="Year-15 window"),1,0)+IF(ISNUMBER(O251),IF(O251&gt;=Scoring!$B$10,1,0),0)+IF(AND(ISNUMBER(L251),ISNUMBER(J251)),IF(J251&gt;0,IF(L251/J251&gt;=Scoring!$B$11,1,0),0),0)+IF(ISNUMBER(Z251),MIN(Z251,3),0))</f>
        <v>2</v>
      </c>
      <c r="AC251" s="22" t="n">
        <f aca="false">IF(AB251&gt;=3,Scoring!$C$24,IF(AB251=2,Scoring!$C$23,IF(AB251=1,Scoring!$C$22,0)))</f>
        <v>18</v>
      </c>
      <c r="AD251" s="22" t="n">
        <f aca="false">IF(T251="Y",0,IF(ISNUMBER(X251),IF(X251&gt;0.7,Scoring!$C$25,IF(X251&gt;=0.5,Scoring!$C$26,IF(X251&gt;=0.3,Scoring!$C$27,Scoring!$C$28))),Scoring!$C$29))</f>
        <v>10</v>
      </c>
      <c r="AE251" s="22" t="n">
        <f aca="false">IF(D251="Expiring: notice window (verified)",Scoring!$C$30,IF(OR(D251="Expired (verified)",D251="30-yr mark: notice window (est.)",D251="Year-15 window"),Scoring!$C$31,IF(D251="Expiring: 10-yr horizon (verified)",Scoring!$C$32,IF(D251="Past 30-yr mark (verify)",Scoring!$C$33,IF(OR(D251="Credit period",D251="Superseded record"),Scoring!$C$35,Scoring!$C$34)))))</f>
        <v>4</v>
      </c>
      <c r="AF251" s="22" t="n">
        <f aca="false">IF(T251="Y",0,IF(ISNUMBER(V251),IF(Scoring!$B$4-V251&gt;15,Scoring!$C$36,IF(Scoring!$B$4-V251&gt;=10,Scoring!$C$37,IF(Scoring!$B$4-V251&gt;=5,Scoring!$C$38,Scoring!$C$39))),IF(OR(N251="",D251="Out of program"),Scoring!$C$40,IF(O251&gt;15,Scoring!$C$36,IF(O251&gt;=10,Scoring!$C$37,IF(O251&gt;=5,Scoring!$C$38,Scoring!$C$39))))))</f>
        <v>15</v>
      </c>
      <c r="AG251" s="22" t="n">
        <f aca="false">IF(T251="Y",0,IF(Y251="Y",Scoring!$C$41,IF(ISNUMBER(O251),IF(O251&gt;=25,Scoring!$C$42,IF(O251&gt;=15,Scoring!$C$43,Scoring!$C$44)),Scoring!$C$44)))</f>
        <v>5</v>
      </c>
      <c r="AH251" s="22" t="n">
        <f aca="false">IF(T251="Y",0,IF(W251="",Scoring!$C$49,IFERROR(VLOOKUP(W251,Scoring!$B$45:$C$48,2,FALSE()),Scoring!$C$49)))</f>
        <v>5</v>
      </c>
      <c r="AI251" s="23" t="n">
        <f aca="false">C251+IF(ISNUMBER(J251),J251,0)/100000+(10000-ROW())/1000000000</f>
        <v>57.000479749</v>
      </c>
      <c r="AJ251" s="18"/>
      <c r="AK251" s="18"/>
      <c r="AL251" s="18"/>
      <c r="AM251" s="18"/>
    </row>
    <row r="252" customFormat="false" ht="15" hidden="false" customHeight="false" outlineLevel="0" collapsed="false">
      <c r="A252" s="15" t="n">
        <f aca="false">RANK(AI252,$AI$2:$AI$755)</f>
        <v>251</v>
      </c>
      <c r="B252" s="16" t="str">
        <f aca="false">IF(T252="Y","Superseded",IF(C252&gt;=Scoring!$B$16,"Immediate",IF(C252&gt;=Scoring!$B$17,"This week",IF(C252&gt;=Scoring!$B$18,"Nurture","Low"))))</f>
        <v>This week</v>
      </c>
      <c r="C252" s="3" t="n">
        <f aca="false">SUM(AC252:AH252)</f>
        <v>57</v>
      </c>
      <c r="D252" s="15" t="str">
        <f aca="false">IF(T252="Y","Superseded record",IF(AND(U252&lt;&gt;"",AA252&lt;0),"Expired (verified)",IF(AND(U252&lt;&gt;"",AA252&lt;=Scoring!$B$5),"Expiring: notice window (verified)",IF(AND(U252&lt;&gt;"",AA252&lt;=Scoring!$B$6),"Expiring: 10-yr horizon (verified)",IF(M252="No Longer Monitored","Out of program",IF(N252="","Unknown vintage",IF(N252&lt;Scoring!$B$12,"Pre-1990, still listed",IF(AND(U252="",AA252&lt;0),"Past 30-yr mark (verify)",IF(AND(U252="",AA252&lt;=Scoring!$B$5),"30-yr mark: notice window (est.)",IF(AND(O252&gt;=Scoring!$B$7,O252&lt;=Scoring!$B$8),"Year-15 window",IF(O252&gt;=Scoring!$B$9,"Recap window",IF(O252&gt;=11,"Late compliance","Credit period"))))))))))))</f>
        <v>Recap window</v>
      </c>
      <c r="E252" s="15" t="s">
        <v>1027</v>
      </c>
      <c r="F252" s="15" t="s">
        <v>1028</v>
      </c>
      <c r="G252" s="15" t="s">
        <v>1029</v>
      </c>
      <c r="H252" s="15" t="s">
        <v>240</v>
      </c>
      <c r="I252" s="15"/>
      <c r="J252" s="15" t="n">
        <v>37</v>
      </c>
      <c r="K252" s="15" t="n">
        <v>33</v>
      </c>
      <c r="L252" s="15" t="n">
        <f aca="false">IF(OR(J252="",K252=""),"",MAX(J252-K252,0))</f>
        <v>4</v>
      </c>
      <c r="M252" s="15" t="s">
        <v>99</v>
      </c>
      <c r="N252" s="17" t="n">
        <v>2004</v>
      </c>
      <c r="O252" s="15" t="n">
        <f aca="false">IF(N252="","",Scoring!$B$4-N252)</f>
        <v>22</v>
      </c>
      <c r="P252" s="15" t="n">
        <f aca="false">IF(N252="","",N252+14)</f>
        <v>2018</v>
      </c>
      <c r="Q252" s="15" t="n">
        <f aca="false">IF(N252="","",IF(N252&lt;Scoring!$B$12,"n/a (pre-1990)",N252+Scoring!$B$13))</f>
        <v>2033</v>
      </c>
      <c r="R252" s="15" t="str">
        <f aca="false">IF(J252="","Unknown",IF(J252&gt;=5,"Yes","No (under 5 units)"))</f>
        <v>Yes</v>
      </c>
      <c r="S252" s="15"/>
      <c r="T252" s="18"/>
      <c r="U252" s="19"/>
      <c r="V252" s="18"/>
      <c r="W252" s="18"/>
      <c r="X252" s="20"/>
      <c r="Y252" s="18"/>
      <c r="Z252" s="18"/>
      <c r="AA252" s="21" t="n">
        <f aca="false">IF(U252&lt;&gt;"",(U252-Scoring!$B$3)/365.25,IF(N252="","",IF(N252&lt;Scoring!$B$12,"",(DATE(N252+Scoring!$B$13,12,31)-Scoring!$B$3)/365.25)))</f>
        <v>7.24709103353867</v>
      </c>
      <c r="AB252" s="22" t="n">
        <f aca="false">IF(T252="Y",0,IF(OR(D252="Expired (verified)",D252="Expiring: notice window (verified)",D252="Expiring: 10-yr horizon (verified)",D252="Past 30-yr mark (verify)",D252="30-yr mark: notice window (est.)",D252="Year-15 window"),1,0)+IF(ISNUMBER(O252),IF(O252&gt;=Scoring!$B$10,1,0),0)+IF(AND(ISNUMBER(L252),ISNUMBER(J252)),IF(J252&gt;0,IF(L252/J252&gt;=Scoring!$B$11,1,0),0),0)+IF(ISNUMBER(Z252),MIN(Z252,3),0))</f>
        <v>2</v>
      </c>
      <c r="AC252" s="22" t="n">
        <f aca="false">IF(AB252&gt;=3,Scoring!$C$24,IF(AB252=2,Scoring!$C$23,IF(AB252=1,Scoring!$C$22,0)))</f>
        <v>18</v>
      </c>
      <c r="AD252" s="22" t="n">
        <f aca="false">IF(T252="Y",0,IF(ISNUMBER(X252),IF(X252&gt;0.7,Scoring!$C$25,IF(X252&gt;=0.5,Scoring!$C$26,IF(X252&gt;=0.3,Scoring!$C$27,Scoring!$C$28))),Scoring!$C$29))</f>
        <v>10</v>
      </c>
      <c r="AE252" s="22" t="n">
        <f aca="false">IF(D252="Expiring: notice window (verified)",Scoring!$C$30,IF(OR(D252="Expired (verified)",D252="30-yr mark: notice window (est.)",D252="Year-15 window"),Scoring!$C$31,IF(D252="Expiring: 10-yr horizon (verified)",Scoring!$C$32,IF(D252="Past 30-yr mark (verify)",Scoring!$C$33,IF(OR(D252="Credit period",D252="Superseded record"),Scoring!$C$35,Scoring!$C$34)))))</f>
        <v>4</v>
      </c>
      <c r="AF252" s="22" t="n">
        <f aca="false">IF(T252="Y",0,IF(ISNUMBER(V252),IF(Scoring!$B$4-V252&gt;15,Scoring!$C$36,IF(Scoring!$B$4-V252&gt;=10,Scoring!$C$37,IF(Scoring!$B$4-V252&gt;=5,Scoring!$C$38,Scoring!$C$39))),IF(OR(N252="",D252="Out of program"),Scoring!$C$40,IF(O252&gt;15,Scoring!$C$36,IF(O252&gt;=10,Scoring!$C$37,IF(O252&gt;=5,Scoring!$C$38,Scoring!$C$39))))))</f>
        <v>15</v>
      </c>
      <c r="AG252" s="22" t="n">
        <f aca="false">IF(T252="Y",0,IF(Y252="Y",Scoring!$C$41,IF(ISNUMBER(O252),IF(O252&gt;=25,Scoring!$C$42,IF(O252&gt;=15,Scoring!$C$43,Scoring!$C$44)),Scoring!$C$44)))</f>
        <v>5</v>
      </c>
      <c r="AH252" s="22" t="n">
        <f aca="false">IF(T252="Y",0,IF(W252="",Scoring!$C$49,IFERROR(VLOOKUP(W252,Scoring!$B$45:$C$48,2,FALSE()),Scoring!$C$49)))</f>
        <v>5</v>
      </c>
      <c r="AI252" s="23" t="n">
        <f aca="false">C252+IF(ISNUMBER(J252),J252,0)/100000+(10000-ROW())/1000000000</f>
        <v>57.000379748</v>
      </c>
      <c r="AJ252" s="18"/>
      <c r="AK252" s="18"/>
      <c r="AL252" s="18"/>
      <c r="AM252" s="18"/>
    </row>
    <row r="253" customFormat="false" ht="15" hidden="false" customHeight="false" outlineLevel="0" collapsed="false">
      <c r="A253" s="15" t="n">
        <f aca="false">RANK(AI253,$AI$2:$AI$755)</f>
        <v>252</v>
      </c>
      <c r="B253" s="16" t="str">
        <f aca="false">IF(T253="Y","Superseded",IF(C253&gt;=Scoring!$B$16,"Immediate",IF(C253&gt;=Scoring!$B$17,"This week",IF(C253&gt;=Scoring!$B$18,"Nurture","Low"))))</f>
        <v>This week</v>
      </c>
      <c r="C253" s="3" t="n">
        <f aca="false">SUM(AC253:AH253)</f>
        <v>56</v>
      </c>
      <c r="D253" s="15" t="str">
        <f aca="false">IF(T253="Y","Superseded record",IF(AND(U253&lt;&gt;"",AA253&lt;0),"Expired (verified)",IF(AND(U253&lt;&gt;"",AA253&lt;=Scoring!$B$5),"Expiring: notice window (verified)",IF(AND(U253&lt;&gt;"",AA253&lt;=Scoring!$B$6),"Expiring: 10-yr horizon (verified)",IF(M253="No Longer Monitored","Out of program",IF(N253="","Unknown vintage",IF(N253&lt;Scoring!$B$12,"Pre-1990, still listed",IF(AND(U253="",AA253&lt;0),"Past 30-yr mark (verify)",IF(AND(U253="",AA253&lt;=Scoring!$B$5),"30-yr mark: notice window (est.)",IF(AND(O253&gt;=Scoring!$B$7,O253&lt;=Scoring!$B$8),"Year-15 window",IF(O253&gt;=Scoring!$B$9,"Recap window",IF(O253&gt;=11,"Late compliance","Credit period"))))))))))))</f>
        <v>Year-15 window</v>
      </c>
      <c r="E253" s="15" t="s">
        <v>1030</v>
      </c>
      <c r="F253" s="15" t="s">
        <v>1031</v>
      </c>
      <c r="G253" s="15" t="s">
        <v>919</v>
      </c>
      <c r="H253" s="15" t="s">
        <v>920</v>
      </c>
      <c r="I253" s="15" t="s">
        <v>921</v>
      </c>
      <c r="J253" s="15" t="n">
        <v>239</v>
      </c>
      <c r="K253" s="15" t="n">
        <v>234</v>
      </c>
      <c r="L253" s="15" t="n">
        <f aca="false">IF(OR(J253="",K253=""),"",MAX(J253-K253,0))</f>
        <v>5</v>
      </c>
      <c r="M253" s="15" t="s">
        <v>99</v>
      </c>
      <c r="N253" s="17" t="n">
        <v>2011</v>
      </c>
      <c r="O253" s="15" t="n">
        <f aca="false">IF(N253="","",Scoring!$B$4-N253)</f>
        <v>15</v>
      </c>
      <c r="P253" s="15" t="n">
        <f aca="false">IF(N253="","",N253+14)</f>
        <v>2025</v>
      </c>
      <c r="Q253" s="15" t="n">
        <f aca="false">IF(N253="","",IF(N253&lt;Scoring!$B$12,"n/a (pre-1990)",N253+Scoring!$B$13))</f>
        <v>2040</v>
      </c>
      <c r="R253" s="15" t="str">
        <f aca="false">IF(J253="","Unknown",IF(J253&gt;=5,"Yes","No (under 5 units)"))</f>
        <v>Yes</v>
      </c>
      <c r="S253" s="15" t="s">
        <v>1032</v>
      </c>
      <c r="T253" s="18"/>
      <c r="U253" s="19"/>
      <c r="V253" s="18"/>
      <c r="W253" s="18"/>
      <c r="X253" s="20"/>
      <c r="Y253" s="18"/>
      <c r="Z253" s="18"/>
      <c r="AA253" s="21" t="n">
        <f aca="false">IF(U253&lt;&gt;"",(U253-Scoring!$B$3)/365.25,IF(N253="","",IF(N253&lt;Scoring!$B$12,"",(DATE(N253+Scoring!$B$13,12,31)-Scoring!$B$3)/365.25)))</f>
        <v>14.2477754962355</v>
      </c>
      <c r="AB253" s="22" t="n">
        <f aca="false">IF(T253="Y",0,IF(OR(D253="Expired (verified)",D253="Expiring: notice window (verified)",D253="Expiring: 10-yr horizon (verified)",D253="Past 30-yr mark (verify)",D253="30-yr mark: notice window (est.)",D253="Year-15 window"),1,0)+IF(ISNUMBER(O253),IF(O253&gt;=Scoring!$B$10,1,0),0)+IF(AND(ISNUMBER(L253),ISNUMBER(J253)),IF(J253&gt;0,IF(L253/J253&gt;=Scoring!$B$11,1,0),0),0)+IF(ISNUMBER(Z253),MIN(Z253,3),0))</f>
        <v>1</v>
      </c>
      <c r="AC253" s="22" t="n">
        <f aca="false">IF(AB253&gt;=3,Scoring!$C$24,IF(AB253=2,Scoring!$C$23,IF(AB253=1,Scoring!$C$22,0)))</f>
        <v>10</v>
      </c>
      <c r="AD253" s="22" t="n">
        <f aca="false">IF(T253="Y",0,IF(ISNUMBER(X253),IF(X253&gt;0.7,Scoring!$C$25,IF(X253&gt;=0.5,Scoring!$C$26,IF(X253&gt;=0.3,Scoring!$C$27,Scoring!$C$28))),Scoring!$C$29))</f>
        <v>10</v>
      </c>
      <c r="AE253" s="22" t="n">
        <f aca="false">IF(D253="Expiring: notice window (verified)",Scoring!$C$30,IF(OR(D253="Expired (verified)",D253="30-yr mark: notice window (est.)",D253="Year-15 window"),Scoring!$C$31,IF(D253="Expiring: 10-yr horizon (verified)",Scoring!$C$32,IF(D253="Past 30-yr mark (verify)",Scoring!$C$33,IF(OR(D253="Credit period",D253="Superseded record"),Scoring!$C$35,Scoring!$C$34)))))</f>
        <v>14</v>
      </c>
      <c r="AF253" s="22" t="n">
        <f aca="false">IF(T253="Y",0,IF(ISNUMBER(V253),IF(Scoring!$B$4-V253&gt;15,Scoring!$C$36,IF(Scoring!$B$4-V253&gt;=10,Scoring!$C$37,IF(Scoring!$B$4-V253&gt;=5,Scoring!$C$38,Scoring!$C$39))),IF(OR(N253="",D253="Out of program"),Scoring!$C$40,IF(O253&gt;15,Scoring!$C$36,IF(O253&gt;=10,Scoring!$C$37,IF(O253&gt;=5,Scoring!$C$38,Scoring!$C$39))))))</f>
        <v>12</v>
      </c>
      <c r="AG253" s="22" t="n">
        <f aca="false">IF(T253="Y",0,IF(Y253="Y",Scoring!$C$41,IF(ISNUMBER(O253),IF(O253&gt;=25,Scoring!$C$42,IF(O253&gt;=15,Scoring!$C$43,Scoring!$C$44)),Scoring!$C$44)))</f>
        <v>5</v>
      </c>
      <c r="AH253" s="22" t="n">
        <f aca="false">IF(T253="Y",0,IF(W253="",Scoring!$C$49,IFERROR(VLOOKUP(W253,Scoring!$B$45:$C$48,2,FALSE()),Scoring!$C$49)))</f>
        <v>5</v>
      </c>
      <c r="AI253" s="23" t="n">
        <f aca="false">C253+IF(ISNUMBER(J253),J253,0)/100000+(10000-ROW())/1000000000</f>
        <v>56.002399747</v>
      </c>
      <c r="AJ253" s="18"/>
      <c r="AK253" s="18"/>
      <c r="AL253" s="18"/>
      <c r="AM253" s="18"/>
    </row>
    <row r="254" customFormat="false" ht="15" hidden="false" customHeight="false" outlineLevel="0" collapsed="false">
      <c r="A254" s="15" t="n">
        <f aca="false">RANK(AI254,$AI$2:$AI$755)</f>
        <v>253</v>
      </c>
      <c r="B254" s="16" t="str">
        <f aca="false">IF(T254="Y","Superseded",IF(C254&gt;=Scoring!$B$16,"Immediate",IF(C254&gt;=Scoring!$B$17,"This week",IF(C254&gt;=Scoring!$B$18,"Nurture","Low"))))</f>
        <v>This week</v>
      </c>
      <c r="C254" s="3" t="n">
        <f aca="false">SUM(AC254:AH254)</f>
        <v>56</v>
      </c>
      <c r="D254" s="15" t="str">
        <f aca="false">IF(T254="Y","Superseded record",IF(AND(U254&lt;&gt;"",AA254&lt;0),"Expired (verified)",IF(AND(U254&lt;&gt;"",AA254&lt;=Scoring!$B$5),"Expiring: notice window (verified)",IF(AND(U254&lt;&gt;"",AA254&lt;=Scoring!$B$6),"Expiring: 10-yr horizon (verified)",IF(M254="No Longer Monitored","Out of program",IF(N254="","Unknown vintage",IF(N254&lt;Scoring!$B$12,"Pre-1990, still listed",IF(AND(U254="",AA254&lt;0),"Past 30-yr mark (verify)",IF(AND(U254="",AA254&lt;=Scoring!$B$5),"30-yr mark: notice window (est.)",IF(AND(O254&gt;=Scoring!$B$7,O254&lt;=Scoring!$B$8),"Year-15 window",IF(O254&gt;=Scoring!$B$9,"Recap window",IF(O254&gt;=11,"Late compliance","Credit period"))))))))))))</f>
        <v>Year-15 window</v>
      </c>
      <c r="E254" s="15" t="s">
        <v>1033</v>
      </c>
      <c r="F254" s="15" t="s">
        <v>1034</v>
      </c>
      <c r="G254" s="15" t="s">
        <v>1035</v>
      </c>
      <c r="H254" s="15" t="s">
        <v>97</v>
      </c>
      <c r="I254" s="15" t="s">
        <v>160</v>
      </c>
      <c r="J254" s="15" t="n">
        <v>138</v>
      </c>
      <c r="K254" s="15" t="n">
        <v>138</v>
      </c>
      <c r="L254" s="15" t="n">
        <f aca="false">IF(OR(J254="",K254=""),"",MAX(J254-K254,0))</f>
        <v>0</v>
      </c>
      <c r="M254" s="15" t="s">
        <v>99</v>
      </c>
      <c r="N254" s="17" t="n">
        <v>2011</v>
      </c>
      <c r="O254" s="15" t="n">
        <f aca="false">IF(N254="","",Scoring!$B$4-N254)</f>
        <v>15</v>
      </c>
      <c r="P254" s="15" t="n">
        <f aca="false">IF(N254="","",N254+14)</f>
        <v>2025</v>
      </c>
      <c r="Q254" s="15" t="n">
        <f aca="false">IF(N254="","",IF(N254&lt;Scoring!$B$12,"n/a (pre-1990)",N254+Scoring!$B$13))</f>
        <v>2040</v>
      </c>
      <c r="R254" s="15" t="str">
        <f aca="false">IF(J254="","Unknown",IF(J254&gt;=5,"Yes","No (under 5 units)"))</f>
        <v>Yes</v>
      </c>
      <c r="S254" s="15"/>
      <c r="T254" s="18"/>
      <c r="U254" s="19"/>
      <c r="V254" s="18"/>
      <c r="W254" s="18"/>
      <c r="X254" s="20"/>
      <c r="Y254" s="18"/>
      <c r="Z254" s="18"/>
      <c r="AA254" s="21" t="n">
        <f aca="false">IF(U254&lt;&gt;"",(U254-Scoring!$B$3)/365.25,IF(N254="","",IF(N254&lt;Scoring!$B$12,"",(DATE(N254+Scoring!$B$13,12,31)-Scoring!$B$3)/365.25)))</f>
        <v>14.2477754962355</v>
      </c>
      <c r="AB254" s="22" t="n">
        <f aca="false">IF(T254="Y",0,IF(OR(D254="Expired (verified)",D254="Expiring: notice window (verified)",D254="Expiring: 10-yr horizon (verified)",D254="Past 30-yr mark (verify)",D254="30-yr mark: notice window (est.)",D254="Year-15 window"),1,0)+IF(ISNUMBER(O254),IF(O254&gt;=Scoring!$B$10,1,0),0)+IF(AND(ISNUMBER(L254),ISNUMBER(J254)),IF(J254&gt;0,IF(L254/J254&gt;=Scoring!$B$11,1,0),0),0)+IF(ISNUMBER(Z254),MIN(Z254,3),0))</f>
        <v>1</v>
      </c>
      <c r="AC254" s="22" t="n">
        <f aca="false">IF(AB254&gt;=3,Scoring!$C$24,IF(AB254=2,Scoring!$C$23,IF(AB254=1,Scoring!$C$22,0)))</f>
        <v>10</v>
      </c>
      <c r="AD254" s="22" t="n">
        <f aca="false">IF(T254="Y",0,IF(ISNUMBER(X254),IF(X254&gt;0.7,Scoring!$C$25,IF(X254&gt;=0.5,Scoring!$C$26,IF(X254&gt;=0.3,Scoring!$C$27,Scoring!$C$28))),Scoring!$C$29))</f>
        <v>10</v>
      </c>
      <c r="AE254" s="22" t="n">
        <f aca="false">IF(D254="Expiring: notice window (verified)",Scoring!$C$30,IF(OR(D254="Expired (verified)",D254="30-yr mark: notice window (est.)",D254="Year-15 window"),Scoring!$C$31,IF(D254="Expiring: 10-yr horizon (verified)",Scoring!$C$32,IF(D254="Past 30-yr mark (verify)",Scoring!$C$33,IF(OR(D254="Credit period",D254="Superseded record"),Scoring!$C$35,Scoring!$C$34)))))</f>
        <v>14</v>
      </c>
      <c r="AF254" s="22" t="n">
        <f aca="false">IF(T254="Y",0,IF(ISNUMBER(V254),IF(Scoring!$B$4-V254&gt;15,Scoring!$C$36,IF(Scoring!$B$4-V254&gt;=10,Scoring!$C$37,IF(Scoring!$B$4-V254&gt;=5,Scoring!$C$38,Scoring!$C$39))),IF(OR(N254="",D254="Out of program"),Scoring!$C$40,IF(O254&gt;15,Scoring!$C$36,IF(O254&gt;=10,Scoring!$C$37,IF(O254&gt;=5,Scoring!$C$38,Scoring!$C$39))))))</f>
        <v>12</v>
      </c>
      <c r="AG254" s="22" t="n">
        <f aca="false">IF(T254="Y",0,IF(Y254="Y",Scoring!$C$41,IF(ISNUMBER(O254),IF(O254&gt;=25,Scoring!$C$42,IF(O254&gt;=15,Scoring!$C$43,Scoring!$C$44)),Scoring!$C$44)))</f>
        <v>5</v>
      </c>
      <c r="AH254" s="22" t="n">
        <f aca="false">IF(T254="Y",0,IF(W254="",Scoring!$C$49,IFERROR(VLOOKUP(W254,Scoring!$B$45:$C$48,2,FALSE()),Scoring!$C$49)))</f>
        <v>5</v>
      </c>
      <c r="AI254" s="23" t="n">
        <f aca="false">C254+IF(ISNUMBER(J254),J254,0)/100000+(10000-ROW())/1000000000</f>
        <v>56.001389746</v>
      </c>
      <c r="AJ254" s="18"/>
      <c r="AK254" s="18"/>
      <c r="AL254" s="18"/>
      <c r="AM254" s="18"/>
    </row>
    <row r="255" customFormat="false" ht="15" hidden="false" customHeight="false" outlineLevel="0" collapsed="false">
      <c r="A255" s="15" t="n">
        <f aca="false">RANK(AI255,$AI$2:$AI$755)</f>
        <v>254</v>
      </c>
      <c r="B255" s="16" t="str">
        <f aca="false">IF(T255="Y","Superseded",IF(C255&gt;=Scoring!$B$16,"Immediate",IF(C255&gt;=Scoring!$B$17,"This week",IF(C255&gt;=Scoring!$B$18,"Nurture","Low"))))</f>
        <v>This week</v>
      </c>
      <c r="C255" s="3" t="n">
        <f aca="false">SUM(AC255:AH255)</f>
        <v>56</v>
      </c>
      <c r="D255" s="15" t="str">
        <f aca="false">IF(T255="Y","Superseded record",IF(AND(U255&lt;&gt;"",AA255&lt;0),"Expired (verified)",IF(AND(U255&lt;&gt;"",AA255&lt;=Scoring!$B$5),"Expiring: notice window (verified)",IF(AND(U255&lt;&gt;"",AA255&lt;=Scoring!$B$6),"Expiring: 10-yr horizon (verified)",IF(M255="No Longer Monitored","Out of program",IF(N255="","Unknown vintage",IF(N255&lt;Scoring!$B$12,"Pre-1990, still listed",IF(AND(U255="",AA255&lt;0),"Past 30-yr mark (verify)",IF(AND(U255="",AA255&lt;=Scoring!$B$5),"30-yr mark: notice window (est.)",IF(AND(O255&gt;=Scoring!$B$7,O255&lt;=Scoring!$B$8),"Year-15 window",IF(O255&gt;=Scoring!$B$9,"Recap window",IF(O255&gt;=11,"Late compliance","Credit period"))))))))))))</f>
        <v>Year-15 window</v>
      </c>
      <c r="E255" s="15" t="s">
        <v>1036</v>
      </c>
      <c r="F255" s="15" t="s">
        <v>1037</v>
      </c>
      <c r="G255" s="15" t="s">
        <v>1038</v>
      </c>
      <c r="H255" s="15" t="s">
        <v>97</v>
      </c>
      <c r="I255" s="15" t="s">
        <v>160</v>
      </c>
      <c r="J255" s="15" t="n">
        <v>130</v>
      </c>
      <c r="K255" s="15" t="n">
        <v>130</v>
      </c>
      <c r="L255" s="15" t="n">
        <f aca="false">IF(OR(J255="",K255=""),"",MAX(J255-K255,0))</f>
        <v>0</v>
      </c>
      <c r="M255" s="15" t="s">
        <v>99</v>
      </c>
      <c r="N255" s="17" t="n">
        <v>2011</v>
      </c>
      <c r="O255" s="15" t="n">
        <f aca="false">IF(N255="","",Scoring!$B$4-N255)</f>
        <v>15</v>
      </c>
      <c r="P255" s="15" t="n">
        <f aca="false">IF(N255="","",N255+14)</f>
        <v>2025</v>
      </c>
      <c r="Q255" s="15" t="n">
        <f aca="false">IF(N255="","",IF(N255&lt;Scoring!$B$12,"n/a (pre-1990)",N255+Scoring!$B$13))</f>
        <v>2040</v>
      </c>
      <c r="R255" s="15" t="str">
        <f aca="false">IF(J255="","Unknown",IF(J255&gt;=5,"Yes","No (under 5 units)"))</f>
        <v>Yes</v>
      </c>
      <c r="S255" s="15"/>
      <c r="T255" s="18"/>
      <c r="U255" s="19"/>
      <c r="V255" s="18"/>
      <c r="W255" s="18"/>
      <c r="X255" s="20"/>
      <c r="Y255" s="18"/>
      <c r="Z255" s="18"/>
      <c r="AA255" s="21" t="n">
        <f aca="false">IF(U255&lt;&gt;"",(U255-Scoring!$B$3)/365.25,IF(N255="","",IF(N255&lt;Scoring!$B$12,"",(DATE(N255+Scoring!$B$13,12,31)-Scoring!$B$3)/365.25)))</f>
        <v>14.2477754962355</v>
      </c>
      <c r="AB255" s="22" t="n">
        <f aca="false">IF(T255="Y",0,IF(OR(D255="Expired (verified)",D255="Expiring: notice window (verified)",D255="Expiring: 10-yr horizon (verified)",D255="Past 30-yr mark (verify)",D255="30-yr mark: notice window (est.)",D255="Year-15 window"),1,0)+IF(ISNUMBER(O255),IF(O255&gt;=Scoring!$B$10,1,0),0)+IF(AND(ISNUMBER(L255),ISNUMBER(J255)),IF(J255&gt;0,IF(L255/J255&gt;=Scoring!$B$11,1,0),0),0)+IF(ISNUMBER(Z255),MIN(Z255,3),0))</f>
        <v>1</v>
      </c>
      <c r="AC255" s="22" t="n">
        <f aca="false">IF(AB255&gt;=3,Scoring!$C$24,IF(AB255=2,Scoring!$C$23,IF(AB255=1,Scoring!$C$22,0)))</f>
        <v>10</v>
      </c>
      <c r="AD255" s="22" t="n">
        <f aca="false">IF(T255="Y",0,IF(ISNUMBER(X255),IF(X255&gt;0.7,Scoring!$C$25,IF(X255&gt;=0.5,Scoring!$C$26,IF(X255&gt;=0.3,Scoring!$C$27,Scoring!$C$28))),Scoring!$C$29))</f>
        <v>10</v>
      </c>
      <c r="AE255" s="22" t="n">
        <f aca="false">IF(D255="Expiring: notice window (verified)",Scoring!$C$30,IF(OR(D255="Expired (verified)",D255="30-yr mark: notice window (est.)",D255="Year-15 window"),Scoring!$C$31,IF(D255="Expiring: 10-yr horizon (verified)",Scoring!$C$32,IF(D255="Past 30-yr mark (verify)",Scoring!$C$33,IF(OR(D255="Credit period",D255="Superseded record"),Scoring!$C$35,Scoring!$C$34)))))</f>
        <v>14</v>
      </c>
      <c r="AF255" s="22" t="n">
        <f aca="false">IF(T255="Y",0,IF(ISNUMBER(V255),IF(Scoring!$B$4-V255&gt;15,Scoring!$C$36,IF(Scoring!$B$4-V255&gt;=10,Scoring!$C$37,IF(Scoring!$B$4-V255&gt;=5,Scoring!$C$38,Scoring!$C$39))),IF(OR(N255="",D255="Out of program"),Scoring!$C$40,IF(O255&gt;15,Scoring!$C$36,IF(O255&gt;=10,Scoring!$C$37,IF(O255&gt;=5,Scoring!$C$38,Scoring!$C$39))))))</f>
        <v>12</v>
      </c>
      <c r="AG255" s="22" t="n">
        <f aca="false">IF(T255="Y",0,IF(Y255="Y",Scoring!$C$41,IF(ISNUMBER(O255),IF(O255&gt;=25,Scoring!$C$42,IF(O255&gt;=15,Scoring!$C$43,Scoring!$C$44)),Scoring!$C$44)))</f>
        <v>5</v>
      </c>
      <c r="AH255" s="22" t="n">
        <f aca="false">IF(T255="Y",0,IF(W255="",Scoring!$C$49,IFERROR(VLOOKUP(W255,Scoring!$B$45:$C$48,2,FALSE()),Scoring!$C$49)))</f>
        <v>5</v>
      </c>
      <c r="AI255" s="23" t="n">
        <f aca="false">C255+IF(ISNUMBER(J255),J255,0)/100000+(10000-ROW())/1000000000</f>
        <v>56.001309745</v>
      </c>
      <c r="AJ255" s="18"/>
      <c r="AK255" s="18"/>
      <c r="AL255" s="18"/>
      <c r="AM255" s="18"/>
    </row>
    <row r="256" customFormat="false" ht="15" hidden="false" customHeight="false" outlineLevel="0" collapsed="false">
      <c r="A256" s="15" t="n">
        <f aca="false">RANK(AI256,$AI$2:$AI$755)</f>
        <v>255</v>
      </c>
      <c r="B256" s="16" t="str">
        <f aca="false">IF(T256="Y","Superseded",IF(C256&gt;=Scoring!$B$16,"Immediate",IF(C256&gt;=Scoring!$B$17,"This week",IF(C256&gt;=Scoring!$B$18,"Nurture","Low"))))</f>
        <v>This week</v>
      </c>
      <c r="C256" s="3" t="n">
        <f aca="false">SUM(AC256:AH256)</f>
        <v>56</v>
      </c>
      <c r="D256" s="15" t="str">
        <f aca="false">IF(T256="Y","Superseded record",IF(AND(U256&lt;&gt;"",AA256&lt;0),"Expired (verified)",IF(AND(U256&lt;&gt;"",AA256&lt;=Scoring!$B$5),"Expiring: notice window (verified)",IF(AND(U256&lt;&gt;"",AA256&lt;=Scoring!$B$6),"Expiring: 10-yr horizon (verified)",IF(M256="No Longer Monitored","Out of program",IF(N256="","Unknown vintage",IF(N256&lt;Scoring!$B$12,"Pre-1990, still listed",IF(AND(U256="",AA256&lt;0),"Past 30-yr mark (verify)",IF(AND(U256="",AA256&lt;=Scoring!$B$5),"30-yr mark: notice window (est.)",IF(AND(O256&gt;=Scoring!$B$7,O256&lt;=Scoring!$B$8),"Year-15 window",IF(O256&gt;=Scoring!$B$9,"Recap window",IF(O256&gt;=11,"Late compliance","Credit period"))))))))))))</f>
        <v>Year-15 window</v>
      </c>
      <c r="E256" s="15" t="s">
        <v>1039</v>
      </c>
      <c r="F256" s="15" t="s">
        <v>1040</v>
      </c>
      <c r="G256" s="15" t="s">
        <v>1041</v>
      </c>
      <c r="H256" s="15" t="s">
        <v>97</v>
      </c>
      <c r="I256" s="15" t="s">
        <v>195</v>
      </c>
      <c r="J256" s="15" t="n">
        <v>72</v>
      </c>
      <c r="K256" s="15" t="n">
        <v>71</v>
      </c>
      <c r="L256" s="15" t="n">
        <f aca="false">IF(OR(J256="",K256=""),"",MAX(J256-K256,0))</f>
        <v>1</v>
      </c>
      <c r="M256" s="15" t="s">
        <v>99</v>
      </c>
      <c r="N256" s="17" t="n">
        <v>2011</v>
      </c>
      <c r="O256" s="15" t="n">
        <f aca="false">IF(N256="","",Scoring!$B$4-N256)</f>
        <v>15</v>
      </c>
      <c r="P256" s="15" t="n">
        <f aca="false">IF(N256="","",N256+14)</f>
        <v>2025</v>
      </c>
      <c r="Q256" s="15" t="n">
        <f aca="false">IF(N256="","",IF(N256&lt;Scoring!$B$12,"n/a (pre-1990)",N256+Scoring!$B$13))</f>
        <v>2040</v>
      </c>
      <c r="R256" s="15" t="str">
        <f aca="false">IF(J256="","Unknown",IF(J256&gt;=5,"Yes","No (under 5 units)"))</f>
        <v>Yes</v>
      </c>
      <c r="S256" s="15"/>
      <c r="T256" s="18"/>
      <c r="U256" s="19"/>
      <c r="V256" s="18"/>
      <c r="W256" s="18"/>
      <c r="X256" s="20"/>
      <c r="Y256" s="18"/>
      <c r="Z256" s="18"/>
      <c r="AA256" s="21" t="n">
        <f aca="false">IF(U256&lt;&gt;"",(U256-Scoring!$B$3)/365.25,IF(N256="","",IF(N256&lt;Scoring!$B$12,"",(DATE(N256+Scoring!$B$13,12,31)-Scoring!$B$3)/365.25)))</f>
        <v>14.2477754962355</v>
      </c>
      <c r="AB256" s="22" t="n">
        <f aca="false">IF(T256="Y",0,IF(OR(D256="Expired (verified)",D256="Expiring: notice window (verified)",D256="Expiring: 10-yr horizon (verified)",D256="Past 30-yr mark (verify)",D256="30-yr mark: notice window (est.)",D256="Year-15 window"),1,0)+IF(ISNUMBER(O256),IF(O256&gt;=Scoring!$B$10,1,0),0)+IF(AND(ISNUMBER(L256),ISNUMBER(J256)),IF(J256&gt;0,IF(L256/J256&gt;=Scoring!$B$11,1,0),0),0)+IF(ISNUMBER(Z256),MIN(Z256,3),0))</f>
        <v>1</v>
      </c>
      <c r="AC256" s="22" t="n">
        <f aca="false">IF(AB256&gt;=3,Scoring!$C$24,IF(AB256=2,Scoring!$C$23,IF(AB256=1,Scoring!$C$22,0)))</f>
        <v>10</v>
      </c>
      <c r="AD256" s="22" t="n">
        <f aca="false">IF(T256="Y",0,IF(ISNUMBER(X256),IF(X256&gt;0.7,Scoring!$C$25,IF(X256&gt;=0.5,Scoring!$C$26,IF(X256&gt;=0.3,Scoring!$C$27,Scoring!$C$28))),Scoring!$C$29))</f>
        <v>10</v>
      </c>
      <c r="AE256" s="22" t="n">
        <f aca="false">IF(D256="Expiring: notice window (verified)",Scoring!$C$30,IF(OR(D256="Expired (verified)",D256="30-yr mark: notice window (est.)",D256="Year-15 window"),Scoring!$C$31,IF(D256="Expiring: 10-yr horizon (verified)",Scoring!$C$32,IF(D256="Past 30-yr mark (verify)",Scoring!$C$33,IF(OR(D256="Credit period",D256="Superseded record"),Scoring!$C$35,Scoring!$C$34)))))</f>
        <v>14</v>
      </c>
      <c r="AF256" s="22" t="n">
        <f aca="false">IF(T256="Y",0,IF(ISNUMBER(V256),IF(Scoring!$B$4-V256&gt;15,Scoring!$C$36,IF(Scoring!$B$4-V256&gt;=10,Scoring!$C$37,IF(Scoring!$B$4-V256&gt;=5,Scoring!$C$38,Scoring!$C$39))),IF(OR(N256="",D256="Out of program"),Scoring!$C$40,IF(O256&gt;15,Scoring!$C$36,IF(O256&gt;=10,Scoring!$C$37,IF(O256&gt;=5,Scoring!$C$38,Scoring!$C$39))))))</f>
        <v>12</v>
      </c>
      <c r="AG256" s="22" t="n">
        <f aca="false">IF(T256="Y",0,IF(Y256="Y",Scoring!$C$41,IF(ISNUMBER(O256),IF(O256&gt;=25,Scoring!$C$42,IF(O256&gt;=15,Scoring!$C$43,Scoring!$C$44)),Scoring!$C$44)))</f>
        <v>5</v>
      </c>
      <c r="AH256" s="22" t="n">
        <f aca="false">IF(T256="Y",0,IF(W256="",Scoring!$C$49,IFERROR(VLOOKUP(W256,Scoring!$B$45:$C$48,2,FALSE()),Scoring!$C$49)))</f>
        <v>5</v>
      </c>
      <c r="AI256" s="23" t="n">
        <f aca="false">C256+IF(ISNUMBER(J256),J256,0)/100000+(10000-ROW())/1000000000</f>
        <v>56.000729744</v>
      </c>
      <c r="AJ256" s="18"/>
      <c r="AK256" s="18"/>
      <c r="AL256" s="18"/>
      <c r="AM256" s="18"/>
    </row>
    <row r="257" customFormat="false" ht="15" hidden="false" customHeight="false" outlineLevel="0" collapsed="false">
      <c r="A257" s="15" t="n">
        <f aca="false">RANK(AI257,$AI$2:$AI$755)</f>
        <v>256</v>
      </c>
      <c r="B257" s="16" t="str">
        <f aca="false">IF(T257="Y","Superseded",IF(C257&gt;=Scoring!$B$16,"Immediate",IF(C257&gt;=Scoring!$B$17,"This week",IF(C257&gt;=Scoring!$B$18,"Nurture","Low"))))</f>
        <v>This week</v>
      </c>
      <c r="C257" s="3" t="n">
        <f aca="false">SUM(AC257:AH257)</f>
        <v>56</v>
      </c>
      <c r="D257" s="15" t="str">
        <f aca="false">IF(T257="Y","Superseded record",IF(AND(U257&lt;&gt;"",AA257&lt;0),"Expired (verified)",IF(AND(U257&lt;&gt;"",AA257&lt;=Scoring!$B$5),"Expiring: notice window (verified)",IF(AND(U257&lt;&gt;"",AA257&lt;=Scoring!$B$6),"Expiring: 10-yr horizon (verified)",IF(M257="No Longer Monitored","Out of program",IF(N257="","Unknown vintage",IF(N257&lt;Scoring!$B$12,"Pre-1990, still listed",IF(AND(U257="",AA257&lt;0),"Past 30-yr mark (verify)",IF(AND(U257="",AA257&lt;=Scoring!$B$5),"30-yr mark: notice window (est.)",IF(AND(O257&gt;=Scoring!$B$7,O257&lt;=Scoring!$B$8),"Year-15 window",IF(O257&gt;=Scoring!$B$9,"Recap window",IF(O257&gt;=11,"Late compliance","Credit period"))))))))))))</f>
        <v>Year-15 window</v>
      </c>
      <c r="E257" s="15" t="s">
        <v>1042</v>
      </c>
      <c r="F257" s="15" t="s">
        <v>1043</v>
      </c>
      <c r="G257" s="15" t="s">
        <v>1044</v>
      </c>
      <c r="H257" s="15" t="s">
        <v>630</v>
      </c>
      <c r="I257" s="15" t="s">
        <v>631</v>
      </c>
      <c r="J257" s="15" t="n">
        <v>60</v>
      </c>
      <c r="K257" s="15" t="n">
        <v>59</v>
      </c>
      <c r="L257" s="15" t="n">
        <f aca="false">IF(OR(J257="",K257=""),"",MAX(J257-K257,0))</f>
        <v>1</v>
      </c>
      <c r="M257" s="15" t="s">
        <v>99</v>
      </c>
      <c r="N257" s="17" t="n">
        <v>2011</v>
      </c>
      <c r="O257" s="15" t="n">
        <f aca="false">IF(N257="","",Scoring!$B$4-N257)</f>
        <v>15</v>
      </c>
      <c r="P257" s="15" t="n">
        <f aca="false">IF(N257="","",N257+14)</f>
        <v>2025</v>
      </c>
      <c r="Q257" s="15" t="n">
        <f aca="false">IF(N257="","",IF(N257&lt;Scoring!$B$12,"n/a (pre-1990)",N257+Scoring!$B$13))</f>
        <v>2040</v>
      </c>
      <c r="R257" s="15" t="str">
        <f aca="false">IF(J257="","Unknown",IF(J257&gt;=5,"Yes","No (under 5 units)"))</f>
        <v>Yes</v>
      </c>
      <c r="S257" s="15"/>
      <c r="T257" s="18"/>
      <c r="U257" s="19"/>
      <c r="V257" s="18"/>
      <c r="W257" s="18"/>
      <c r="X257" s="20"/>
      <c r="Y257" s="18"/>
      <c r="Z257" s="18"/>
      <c r="AA257" s="21" t="n">
        <f aca="false">IF(U257&lt;&gt;"",(U257-Scoring!$B$3)/365.25,IF(N257="","",IF(N257&lt;Scoring!$B$12,"",(DATE(N257+Scoring!$B$13,12,31)-Scoring!$B$3)/365.25)))</f>
        <v>14.2477754962355</v>
      </c>
      <c r="AB257" s="22" t="n">
        <f aca="false">IF(T257="Y",0,IF(OR(D257="Expired (verified)",D257="Expiring: notice window (verified)",D257="Expiring: 10-yr horizon (verified)",D257="Past 30-yr mark (verify)",D257="30-yr mark: notice window (est.)",D257="Year-15 window"),1,0)+IF(ISNUMBER(O257),IF(O257&gt;=Scoring!$B$10,1,0),0)+IF(AND(ISNUMBER(L257),ISNUMBER(J257)),IF(J257&gt;0,IF(L257/J257&gt;=Scoring!$B$11,1,0),0),0)+IF(ISNUMBER(Z257),MIN(Z257,3),0))</f>
        <v>1</v>
      </c>
      <c r="AC257" s="22" t="n">
        <f aca="false">IF(AB257&gt;=3,Scoring!$C$24,IF(AB257=2,Scoring!$C$23,IF(AB257=1,Scoring!$C$22,0)))</f>
        <v>10</v>
      </c>
      <c r="AD257" s="22" t="n">
        <f aca="false">IF(T257="Y",0,IF(ISNUMBER(X257),IF(X257&gt;0.7,Scoring!$C$25,IF(X257&gt;=0.5,Scoring!$C$26,IF(X257&gt;=0.3,Scoring!$C$27,Scoring!$C$28))),Scoring!$C$29))</f>
        <v>10</v>
      </c>
      <c r="AE257" s="22" t="n">
        <f aca="false">IF(D257="Expiring: notice window (verified)",Scoring!$C$30,IF(OR(D257="Expired (verified)",D257="30-yr mark: notice window (est.)",D257="Year-15 window"),Scoring!$C$31,IF(D257="Expiring: 10-yr horizon (verified)",Scoring!$C$32,IF(D257="Past 30-yr mark (verify)",Scoring!$C$33,IF(OR(D257="Credit period",D257="Superseded record"),Scoring!$C$35,Scoring!$C$34)))))</f>
        <v>14</v>
      </c>
      <c r="AF257" s="22" t="n">
        <f aca="false">IF(T257="Y",0,IF(ISNUMBER(V257),IF(Scoring!$B$4-V257&gt;15,Scoring!$C$36,IF(Scoring!$B$4-V257&gt;=10,Scoring!$C$37,IF(Scoring!$B$4-V257&gt;=5,Scoring!$C$38,Scoring!$C$39))),IF(OR(N257="",D257="Out of program"),Scoring!$C$40,IF(O257&gt;15,Scoring!$C$36,IF(O257&gt;=10,Scoring!$C$37,IF(O257&gt;=5,Scoring!$C$38,Scoring!$C$39))))))</f>
        <v>12</v>
      </c>
      <c r="AG257" s="22" t="n">
        <f aca="false">IF(T257="Y",0,IF(Y257="Y",Scoring!$C$41,IF(ISNUMBER(O257),IF(O257&gt;=25,Scoring!$C$42,IF(O257&gt;=15,Scoring!$C$43,Scoring!$C$44)),Scoring!$C$44)))</f>
        <v>5</v>
      </c>
      <c r="AH257" s="22" t="n">
        <f aca="false">IF(T257="Y",0,IF(W257="",Scoring!$C$49,IFERROR(VLOOKUP(W257,Scoring!$B$45:$C$48,2,FALSE()),Scoring!$C$49)))</f>
        <v>5</v>
      </c>
      <c r="AI257" s="23" t="n">
        <f aca="false">C257+IF(ISNUMBER(J257),J257,0)/100000+(10000-ROW())/1000000000</f>
        <v>56.000609743</v>
      </c>
      <c r="AJ257" s="18"/>
      <c r="AK257" s="18"/>
      <c r="AL257" s="18"/>
      <c r="AM257" s="18"/>
    </row>
    <row r="258" customFormat="false" ht="15" hidden="false" customHeight="false" outlineLevel="0" collapsed="false">
      <c r="A258" s="15" t="n">
        <f aca="false">RANK(AI258,$AI$2:$AI$755)</f>
        <v>257</v>
      </c>
      <c r="B258" s="16" t="str">
        <f aca="false">IF(T258="Y","Superseded",IF(C258&gt;=Scoring!$B$16,"Immediate",IF(C258&gt;=Scoring!$B$17,"This week",IF(C258&gt;=Scoring!$B$18,"Nurture","Low"))))</f>
        <v>This week</v>
      </c>
      <c r="C258" s="3" t="n">
        <f aca="false">SUM(AC258:AH258)</f>
        <v>56</v>
      </c>
      <c r="D258" s="15" t="str">
        <f aca="false">IF(T258="Y","Superseded record",IF(AND(U258&lt;&gt;"",AA258&lt;0),"Expired (verified)",IF(AND(U258&lt;&gt;"",AA258&lt;=Scoring!$B$5),"Expiring: notice window (verified)",IF(AND(U258&lt;&gt;"",AA258&lt;=Scoring!$B$6),"Expiring: 10-yr horizon (verified)",IF(M258="No Longer Monitored","Out of program",IF(N258="","Unknown vintage",IF(N258&lt;Scoring!$B$12,"Pre-1990, still listed",IF(AND(U258="",AA258&lt;0),"Past 30-yr mark (verify)",IF(AND(U258="",AA258&lt;=Scoring!$B$5),"30-yr mark: notice window (est.)",IF(AND(O258&gt;=Scoring!$B$7,O258&lt;=Scoring!$B$8),"Year-15 window",IF(O258&gt;=Scoring!$B$9,"Recap window",IF(O258&gt;=11,"Late compliance","Credit period"))))))))))))</f>
        <v>Year-15 window</v>
      </c>
      <c r="E258" s="15" t="s">
        <v>1045</v>
      </c>
      <c r="F258" s="15" t="s">
        <v>1046</v>
      </c>
      <c r="G258" s="15" t="s">
        <v>1047</v>
      </c>
      <c r="H258" s="15" t="s">
        <v>120</v>
      </c>
      <c r="I258" s="15" t="s">
        <v>121</v>
      </c>
      <c r="J258" s="15" t="n">
        <v>54</v>
      </c>
      <c r="K258" s="15" t="n">
        <v>53</v>
      </c>
      <c r="L258" s="15" t="n">
        <f aca="false">IF(OR(J258="",K258=""),"",MAX(J258-K258,0))</f>
        <v>1</v>
      </c>
      <c r="M258" s="15" t="s">
        <v>99</v>
      </c>
      <c r="N258" s="17" t="n">
        <v>2011</v>
      </c>
      <c r="O258" s="15" t="n">
        <f aca="false">IF(N258="","",Scoring!$B$4-N258)</f>
        <v>15</v>
      </c>
      <c r="P258" s="15" t="n">
        <f aca="false">IF(N258="","",N258+14)</f>
        <v>2025</v>
      </c>
      <c r="Q258" s="15" t="n">
        <f aca="false">IF(N258="","",IF(N258&lt;Scoring!$B$12,"n/a (pre-1990)",N258+Scoring!$B$13))</f>
        <v>2040</v>
      </c>
      <c r="R258" s="15" t="str">
        <f aca="false">IF(J258="","Unknown",IF(J258&gt;=5,"Yes","No (under 5 units)"))</f>
        <v>Yes</v>
      </c>
      <c r="S258" s="15"/>
      <c r="T258" s="18"/>
      <c r="U258" s="19"/>
      <c r="V258" s="18"/>
      <c r="W258" s="18"/>
      <c r="X258" s="20"/>
      <c r="Y258" s="18"/>
      <c r="Z258" s="18"/>
      <c r="AA258" s="21" t="n">
        <f aca="false">IF(U258&lt;&gt;"",(U258-Scoring!$B$3)/365.25,IF(N258="","",IF(N258&lt;Scoring!$B$12,"",(DATE(N258+Scoring!$B$13,12,31)-Scoring!$B$3)/365.25)))</f>
        <v>14.2477754962355</v>
      </c>
      <c r="AB258" s="22" t="n">
        <f aca="false">IF(T258="Y",0,IF(OR(D258="Expired (verified)",D258="Expiring: notice window (verified)",D258="Expiring: 10-yr horizon (verified)",D258="Past 30-yr mark (verify)",D258="30-yr mark: notice window (est.)",D258="Year-15 window"),1,0)+IF(ISNUMBER(O258),IF(O258&gt;=Scoring!$B$10,1,0),0)+IF(AND(ISNUMBER(L258),ISNUMBER(J258)),IF(J258&gt;0,IF(L258/J258&gt;=Scoring!$B$11,1,0),0),0)+IF(ISNUMBER(Z258),MIN(Z258,3),0))</f>
        <v>1</v>
      </c>
      <c r="AC258" s="22" t="n">
        <f aca="false">IF(AB258&gt;=3,Scoring!$C$24,IF(AB258=2,Scoring!$C$23,IF(AB258=1,Scoring!$C$22,0)))</f>
        <v>10</v>
      </c>
      <c r="AD258" s="22" t="n">
        <f aca="false">IF(T258="Y",0,IF(ISNUMBER(X258),IF(X258&gt;0.7,Scoring!$C$25,IF(X258&gt;=0.5,Scoring!$C$26,IF(X258&gt;=0.3,Scoring!$C$27,Scoring!$C$28))),Scoring!$C$29))</f>
        <v>10</v>
      </c>
      <c r="AE258" s="22" t="n">
        <f aca="false">IF(D258="Expiring: notice window (verified)",Scoring!$C$30,IF(OR(D258="Expired (verified)",D258="30-yr mark: notice window (est.)",D258="Year-15 window"),Scoring!$C$31,IF(D258="Expiring: 10-yr horizon (verified)",Scoring!$C$32,IF(D258="Past 30-yr mark (verify)",Scoring!$C$33,IF(OR(D258="Credit period",D258="Superseded record"),Scoring!$C$35,Scoring!$C$34)))))</f>
        <v>14</v>
      </c>
      <c r="AF258" s="22" t="n">
        <f aca="false">IF(T258="Y",0,IF(ISNUMBER(V258),IF(Scoring!$B$4-V258&gt;15,Scoring!$C$36,IF(Scoring!$B$4-V258&gt;=10,Scoring!$C$37,IF(Scoring!$B$4-V258&gt;=5,Scoring!$C$38,Scoring!$C$39))),IF(OR(N258="",D258="Out of program"),Scoring!$C$40,IF(O258&gt;15,Scoring!$C$36,IF(O258&gt;=10,Scoring!$C$37,IF(O258&gt;=5,Scoring!$C$38,Scoring!$C$39))))))</f>
        <v>12</v>
      </c>
      <c r="AG258" s="22" t="n">
        <f aca="false">IF(T258="Y",0,IF(Y258="Y",Scoring!$C$41,IF(ISNUMBER(O258),IF(O258&gt;=25,Scoring!$C$42,IF(O258&gt;=15,Scoring!$C$43,Scoring!$C$44)),Scoring!$C$44)))</f>
        <v>5</v>
      </c>
      <c r="AH258" s="22" t="n">
        <f aca="false">IF(T258="Y",0,IF(W258="",Scoring!$C$49,IFERROR(VLOOKUP(W258,Scoring!$B$45:$C$48,2,FALSE()),Scoring!$C$49)))</f>
        <v>5</v>
      </c>
      <c r="AI258" s="23" t="n">
        <f aca="false">C258+IF(ISNUMBER(J258),J258,0)/100000+(10000-ROW())/1000000000</f>
        <v>56.000549742</v>
      </c>
      <c r="AJ258" s="18"/>
      <c r="AK258" s="18"/>
      <c r="AL258" s="18"/>
      <c r="AM258" s="18"/>
    </row>
    <row r="259" customFormat="false" ht="15" hidden="false" customHeight="false" outlineLevel="0" collapsed="false">
      <c r="A259" s="15" t="n">
        <f aca="false">RANK(AI259,$AI$2:$AI$755)</f>
        <v>258</v>
      </c>
      <c r="B259" s="16" t="str">
        <f aca="false">IF(T259="Y","Superseded",IF(C259&gt;=Scoring!$B$16,"Immediate",IF(C259&gt;=Scoring!$B$17,"This week",IF(C259&gt;=Scoring!$B$18,"Nurture","Low"))))</f>
        <v>This week</v>
      </c>
      <c r="C259" s="3" t="n">
        <f aca="false">SUM(AC259:AH259)</f>
        <v>56</v>
      </c>
      <c r="D259" s="15" t="str">
        <f aca="false">IF(T259="Y","Superseded record",IF(AND(U259&lt;&gt;"",AA259&lt;0),"Expired (verified)",IF(AND(U259&lt;&gt;"",AA259&lt;=Scoring!$B$5),"Expiring: notice window (verified)",IF(AND(U259&lt;&gt;"",AA259&lt;=Scoring!$B$6),"Expiring: 10-yr horizon (verified)",IF(M259="No Longer Monitored","Out of program",IF(N259="","Unknown vintage",IF(N259&lt;Scoring!$B$12,"Pre-1990, still listed",IF(AND(U259="",AA259&lt;0),"Past 30-yr mark (verify)",IF(AND(U259="",AA259&lt;=Scoring!$B$5),"30-yr mark: notice window (est.)",IF(AND(O259&gt;=Scoring!$B$7,O259&lt;=Scoring!$B$8),"Year-15 window",IF(O259&gt;=Scoring!$B$9,"Recap window",IF(O259&gt;=11,"Late compliance","Credit period"))))))))))))</f>
        <v>Year-15 window</v>
      </c>
      <c r="E259" s="15" t="s">
        <v>1048</v>
      </c>
      <c r="F259" s="15" t="s">
        <v>1049</v>
      </c>
      <c r="G259" s="15" t="s">
        <v>1050</v>
      </c>
      <c r="H259" s="15" t="s">
        <v>120</v>
      </c>
      <c r="I259" s="15" t="s">
        <v>121</v>
      </c>
      <c r="J259" s="15" t="n">
        <v>48</v>
      </c>
      <c r="K259" s="15" t="n">
        <v>48</v>
      </c>
      <c r="L259" s="15" t="n">
        <f aca="false">IF(OR(J259="",K259=""),"",MAX(J259-K259,0))</f>
        <v>0</v>
      </c>
      <c r="M259" s="15" t="s">
        <v>99</v>
      </c>
      <c r="N259" s="17" t="n">
        <v>2011</v>
      </c>
      <c r="O259" s="15" t="n">
        <f aca="false">IF(N259="","",Scoring!$B$4-N259)</f>
        <v>15</v>
      </c>
      <c r="P259" s="15" t="n">
        <f aca="false">IF(N259="","",N259+14)</f>
        <v>2025</v>
      </c>
      <c r="Q259" s="15" t="n">
        <f aca="false">IF(N259="","",IF(N259&lt;Scoring!$B$12,"n/a (pre-1990)",N259+Scoring!$B$13))</f>
        <v>2040</v>
      </c>
      <c r="R259" s="15" t="str">
        <f aca="false">IF(J259="","Unknown",IF(J259&gt;=5,"Yes","No (under 5 units)"))</f>
        <v>Yes</v>
      </c>
      <c r="S259" s="15"/>
      <c r="T259" s="18"/>
      <c r="U259" s="19"/>
      <c r="V259" s="18"/>
      <c r="W259" s="18"/>
      <c r="X259" s="20"/>
      <c r="Y259" s="18"/>
      <c r="Z259" s="18"/>
      <c r="AA259" s="21" t="n">
        <f aca="false">IF(U259&lt;&gt;"",(U259-Scoring!$B$3)/365.25,IF(N259="","",IF(N259&lt;Scoring!$B$12,"",(DATE(N259+Scoring!$B$13,12,31)-Scoring!$B$3)/365.25)))</f>
        <v>14.2477754962355</v>
      </c>
      <c r="AB259" s="22" t="n">
        <f aca="false">IF(T259="Y",0,IF(OR(D259="Expired (verified)",D259="Expiring: notice window (verified)",D259="Expiring: 10-yr horizon (verified)",D259="Past 30-yr mark (verify)",D259="30-yr mark: notice window (est.)",D259="Year-15 window"),1,0)+IF(ISNUMBER(O259),IF(O259&gt;=Scoring!$B$10,1,0),0)+IF(AND(ISNUMBER(L259),ISNUMBER(J259)),IF(J259&gt;0,IF(L259/J259&gt;=Scoring!$B$11,1,0),0),0)+IF(ISNUMBER(Z259),MIN(Z259,3),0))</f>
        <v>1</v>
      </c>
      <c r="AC259" s="22" t="n">
        <f aca="false">IF(AB259&gt;=3,Scoring!$C$24,IF(AB259=2,Scoring!$C$23,IF(AB259=1,Scoring!$C$22,0)))</f>
        <v>10</v>
      </c>
      <c r="AD259" s="22" t="n">
        <f aca="false">IF(T259="Y",0,IF(ISNUMBER(X259),IF(X259&gt;0.7,Scoring!$C$25,IF(X259&gt;=0.5,Scoring!$C$26,IF(X259&gt;=0.3,Scoring!$C$27,Scoring!$C$28))),Scoring!$C$29))</f>
        <v>10</v>
      </c>
      <c r="AE259" s="22" t="n">
        <f aca="false">IF(D259="Expiring: notice window (verified)",Scoring!$C$30,IF(OR(D259="Expired (verified)",D259="30-yr mark: notice window (est.)",D259="Year-15 window"),Scoring!$C$31,IF(D259="Expiring: 10-yr horizon (verified)",Scoring!$C$32,IF(D259="Past 30-yr mark (verify)",Scoring!$C$33,IF(OR(D259="Credit period",D259="Superseded record"),Scoring!$C$35,Scoring!$C$34)))))</f>
        <v>14</v>
      </c>
      <c r="AF259" s="22" t="n">
        <f aca="false">IF(T259="Y",0,IF(ISNUMBER(V259),IF(Scoring!$B$4-V259&gt;15,Scoring!$C$36,IF(Scoring!$B$4-V259&gt;=10,Scoring!$C$37,IF(Scoring!$B$4-V259&gt;=5,Scoring!$C$38,Scoring!$C$39))),IF(OR(N259="",D259="Out of program"),Scoring!$C$40,IF(O259&gt;15,Scoring!$C$36,IF(O259&gt;=10,Scoring!$C$37,IF(O259&gt;=5,Scoring!$C$38,Scoring!$C$39))))))</f>
        <v>12</v>
      </c>
      <c r="AG259" s="22" t="n">
        <f aca="false">IF(T259="Y",0,IF(Y259="Y",Scoring!$C$41,IF(ISNUMBER(O259),IF(O259&gt;=25,Scoring!$C$42,IF(O259&gt;=15,Scoring!$C$43,Scoring!$C$44)),Scoring!$C$44)))</f>
        <v>5</v>
      </c>
      <c r="AH259" s="22" t="n">
        <f aca="false">IF(T259="Y",0,IF(W259="",Scoring!$C$49,IFERROR(VLOOKUP(W259,Scoring!$B$45:$C$48,2,FALSE()),Scoring!$C$49)))</f>
        <v>5</v>
      </c>
      <c r="AI259" s="23" t="n">
        <f aca="false">C259+IF(ISNUMBER(J259),J259,0)/100000+(10000-ROW())/1000000000</f>
        <v>56.000489741</v>
      </c>
      <c r="AJ259" s="18"/>
      <c r="AK259" s="18"/>
      <c r="AL259" s="18"/>
      <c r="AM259" s="18"/>
    </row>
    <row r="260" customFormat="false" ht="15" hidden="false" customHeight="false" outlineLevel="0" collapsed="false">
      <c r="A260" s="15" t="n">
        <f aca="false">RANK(AI260,$AI$2:$AI$755)</f>
        <v>259</v>
      </c>
      <c r="B260" s="16" t="str">
        <f aca="false">IF(T260="Y","Superseded",IF(C260&gt;=Scoring!$B$16,"Immediate",IF(C260&gt;=Scoring!$B$17,"This week",IF(C260&gt;=Scoring!$B$18,"Nurture","Low"))))</f>
        <v>This week</v>
      </c>
      <c r="C260" s="3" t="n">
        <f aca="false">SUM(AC260:AH260)</f>
        <v>56</v>
      </c>
      <c r="D260" s="15" t="str">
        <f aca="false">IF(T260="Y","Superseded record",IF(AND(U260&lt;&gt;"",AA260&lt;0),"Expired (verified)",IF(AND(U260&lt;&gt;"",AA260&lt;=Scoring!$B$5),"Expiring: notice window (verified)",IF(AND(U260&lt;&gt;"",AA260&lt;=Scoring!$B$6),"Expiring: 10-yr horizon (verified)",IF(M260="No Longer Monitored","Out of program",IF(N260="","Unknown vintage",IF(N260&lt;Scoring!$B$12,"Pre-1990, still listed",IF(AND(U260="",AA260&lt;0),"Past 30-yr mark (verify)",IF(AND(U260="",AA260&lt;=Scoring!$B$5),"30-yr mark: notice window (est.)",IF(AND(O260&gt;=Scoring!$B$7,O260&lt;=Scoring!$B$8),"Year-15 window",IF(O260&gt;=Scoring!$B$9,"Recap window",IF(O260&gt;=11,"Late compliance","Credit period"))))))))))))</f>
        <v>Year-15 window</v>
      </c>
      <c r="E260" s="15" t="s">
        <v>1051</v>
      </c>
      <c r="F260" s="15" t="s">
        <v>1052</v>
      </c>
      <c r="G260" s="15" t="s">
        <v>1053</v>
      </c>
      <c r="H260" s="15" t="s">
        <v>473</v>
      </c>
      <c r="I260" s="15" t="s">
        <v>510</v>
      </c>
      <c r="J260" s="15" t="n">
        <v>48</v>
      </c>
      <c r="K260" s="15" t="n">
        <v>48</v>
      </c>
      <c r="L260" s="15" t="n">
        <f aca="false">IF(OR(J260="",K260=""),"",MAX(J260-K260,0))</f>
        <v>0</v>
      </c>
      <c r="M260" s="15" t="s">
        <v>99</v>
      </c>
      <c r="N260" s="17" t="n">
        <v>2011</v>
      </c>
      <c r="O260" s="15" t="n">
        <f aca="false">IF(N260="","",Scoring!$B$4-N260)</f>
        <v>15</v>
      </c>
      <c r="P260" s="15" t="n">
        <f aca="false">IF(N260="","",N260+14)</f>
        <v>2025</v>
      </c>
      <c r="Q260" s="15" t="n">
        <f aca="false">IF(N260="","",IF(N260&lt;Scoring!$B$12,"n/a (pre-1990)",N260+Scoring!$B$13))</f>
        <v>2040</v>
      </c>
      <c r="R260" s="15" t="str">
        <f aca="false">IF(J260="","Unknown",IF(J260&gt;=5,"Yes","No (under 5 units)"))</f>
        <v>Yes</v>
      </c>
      <c r="S260" s="15"/>
      <c r="T260" s="18"/>
      <c r="U260" s="19"/>
      <c r="V260" s="18"/>
      <c r="W260" s="18"/>
      <c r="X260" s="20"/>
      <c r="Y260" s="18"/>
      <c r="Z260" s="18"/>
      <c r="AA260" s="21" t="n">
        <f aca="false">IF(U260&lt;&gt;"",(U260-Scoring!$B$3)/365.25,IF(N260="","",IF(N260&lt;Scoring!$B$12,"",(DATE(N260+Scoring!$B$13,12,31)-Scoring!$B$3)/365.25)))</f>
        <v>14.2477754962355</v>
      </c>
      <c r="AB260" s="22" t="n">
        <f aca="false">IF(T260="Y",0,IF(OR(D260="Expired (verified)",D260="Expiring: notice window (verified)",D260="Expiring: 10-yr horizon (verified)",D260="Past 30-yr mark (verify)",D260="30-yr mark: notice window (est.)",D260="Year-15 window"),1,0)+IF(ISNUMBER(O260),IF(O260&gt;=Scoring!$B$10,1,0),0)+IF(AND(ISNUMBER(L260),ISNUMBER(J260)),IF(J260&gt;0,IF(L260/J260&gt;=Scoring!$B$11,1,0),0),0)+IF(ISNUMBER(Z260),MIN(Z260,3),0))</f>
        <v>1</v>
      </c>
      <c r="AC260" s="22" t="n">
        <f aca="false">IF(AB260&gt;=3,Scoring!$C$24,IF(AB260=2,Scoring!$C$23,IF(AB260=1,Scoring!$C$22,0)))</f>
        <v>10</v>
      </c>
      <c r="AD260" s="22" t="n">
        <f aca="false">IF(T260="Y",0,IF(ISNUMBER(X260),IF(X260&gt;0.7,Scoring!$C$25,IF(X260&gt;=0.5,Scoring!$C$26,IF(X260&gt;=0.3,Scoring!$C$27,Scoring!$C$28))),Scoring!$C$29))</f>
        <v>10</v>
      </c>
      <c r="AE260" s="22" t="n">
        <f aca="false">IF(D260="Expiring: notice window (verified)",Scoring!$C$30,IF(OR(D260="Expired (verified)",D260="30-yr mark: notice window (est.)",D260="Year-15 window"),Scoring!$C$31,IF(D260="Expiring: 10-yr horizon (verified)",Scoring!$C$32,IF(D260="Past 30-yr mark (verify)",Scoring!$C$33,IF(OR(D260="Credit period",D260="Superseded record"),Scoring!$C$35,Scoring!$C$34)))))</f>
        <v>14</v>
      </c>
      <c r="AF260" s="22" t="n">
        <f aca="false">IF(T260="Y",0,IF(ISNUMBER(V260),IF(Scoring!$B$4-V260&gt;15,Scoring!$C$36,IF(Scoring!$B$4-V260&gt;=10,Scoring!$C$37,IF(Scoring!$B$4-V260&gt;=5,Scoring!$C$38,Scoring!$C$39))),IF(OR(N260="",D260="Out of program"),Scoring!$C$40,IF(O260&gt;15,Scoring!$C$36,IF(O260&gt;=10,Scoring!$C$37,IF(O260&gt;=5,Scoring!$C$38,Scoring!$C$39))))))</f>
        <v>12</v>
      </c>
      <c r="AG260" s="22" t="n">
        <f aca="false">IF(T260="Y",0,IF(Y260="Y",Scoring!$C$41,IF(ISNUMBER(O260),IF(O260&gt;=25,Scoring!$C$42,IF(O260&gt;=15,Scoring!$C$43,Scoring!$C$44)),Scoring!$C$44)))</f>
        <v>5</v>
      </c>
      <c r="AH260" s="22" t="n">
        <f aca="false">IF(T260="Y",0,IF(W260="",Scoring!$C$49,IFERROR(VLOOKUP(W260,Scoring!$B$45:$C$48,2,FALSE()),Scoring!$C$49)))</f>
        <v>5</v>
      </c>
      <c r="AI260" s="23" t="n">
        <f aca="false">C260+IF(ISNUMBER(J260),J260,0)/100000+(10000-ROW())/1000000000</f>
        <v>56.00048974</v>
      </c>
      <c r="AJ260" s="18"/>
      <c r="AK260" s="18"/>
      <c r="AL260" s="18"/>
      <c r="AM260" s="18"/>
    </row>
    <row r="261" customFormat="false" ht="15" hidden="false" customHeight="false" outlineLevel="0" collapsed="false">
      <c r="A261" s="15" t="n">
        <f aca="false">RANK(AI261,$AI$2:$AI$755)</f>
        <v>260</v>
      </c>
      <c r="B261" s="16" t="str">
        <f aca="false">IF(T261="Y","Superseded",IF(C261&gt;=Scoring!$B$16,"Immediate",IF(C261&gt;=Scoring!$B$17,"This week",IF(C261&gt;=Scoring!$B$18,"Nurture","Low"))))</f>
        <v>This week</v>
      </c>
      <c r="C261" s="3" t="n">
        <f aca="false">SUM(AC261:AH261)</f>
        <v>56</v>
      </c>
      <c r="D261" s="15" t="str">
        <f aca="false">IF(T261="Y","Superseded record",IF(AND(U261&lt;&gt;"",AA261&lt;0),"Expired (verified)",IF(AND(U261&lt;&gt;"",AA261&lt;=Scoring!$B$5),"Expiring: notice window (verified)",IF(AND(U261&lt;&gt;"",AA261&lt;=Scoring!$B$6),"Expiring: 10-yr horizon (verified)",IF(M261="No Longer Monitored","Out of program",IF(N261="","Unknown vintage",IF(N261&lt;Scoring!$B$12,"Pre-1990, still listed",IF(AND(U261="",AA261&lt;0),"Past 30-yr mark (verify)",IF(AND(U261="",AA261&lt;=Scoring!$B$5),"30-yr mark: notice window (est.)",IF(AND(O261&gt;=Scoring!$B$7,O261&lt;=Scoring!$B$8),"Year-15 window",IF(O261&gt;=Scoring!$B$9,"Recap window",IF(O261&gt;=11,"Late compliance","Credit period"))))))))))))</f>
        <v>Year-15 window</v>
      </c>
      <c r="E261" s="15" t="s">
        <v>1054</v>
      </c>
      <c r="F261" s="15" t="s">
        <v>1055</v>
      </c>
      <c r="G261" s="15" t="s">
        <v>1056</v>
      </c>
      <c r="H261" s="15" t="s">
        <v>565</v>
      </c>
      <c r="I261" s="15" t="s">
        <v>566</v>
      </c>
      <c r="J261" s="15" t="n">
        <v>48</v>
      </c>
      <c r="K261" s="15" t="n">
        <v>48</v>
      </c>
      <c r="L261" s="15" t="n">
        <f aca="false">IF(OR(J261="",K261=""),"",MAX(J261-K261,0))</f>
        <v>0</v>
      </c>
      <c r="M261" s="15" t="s">
        <v>99</v>
      </c>
      <c r="N261" s="17" t="n">
        <v>2011</v>
      </c>
      <c r="O261" s="15" t="n">
        <f aca="false">IF(N261="","",Scoring!$B$4-N261)</f>
        <v>15</v>
      </c>
      <c r="P261" s="15" t="n">
        <f aca="false">IF(N261="","",N261+14)</f>
        <v>2025</v>
      </c>
      <c r="Q261" s="15" t="n">
        <f aca="false">IF(N261="","",IF(N261&lt;Scoring!$B$12,"n/a (pre-1990)",N261+Scoring!$B$13))</f>
        <v>2040</v>
      </c>
      <c r="R261" s="15" t="str">
        <f aca="false">IF(J261="","Unknown",IF(J261&gt;=5,"Yes","No (under 5 units)"))</f>
        <v>Yes</v>
      </c>
      <c r="S261" s="15"/>
      <c r="T261" s="18"/>
      <c r="U261" s="19"/>
      <c r="V261" s="18"/>
      <c r="W261" s="18"/>
      <c r="X261" s="20"/>
      <c r="Y261" s="18"/>
      <c r="Z261" s="18"/>
      <c r="AA261" s="21" t="n">
        <f aca="false">IF(U261&lt;&gt;"",(U261-Scoring!$B$3)/365.25,IF(N261="","",IF(N261&lt;Scoring!$B$12,"",(DATE(N261+Scoring!$B$13,12,31)-Scoring!$B$3)/365.25)))</f>
        <v>14.2477754962355</v>
      </c>
      <c r="AB261" s="22" t="n">
        <f aca="false">IF(T261="Y",0,IF(OR(D261="Expired (verified)",D261="Expiring: notice window (verified)",D261="Expiring: 10-yr horizon (verified)",D261="Past 30-yr mark (verify)",D261="30-yr mark: notice window (est.)",D261="Year-15 window"),1,0)+IF(ISNUMBER(O261),IF(O261&gt;=Scoring!$B$10,1,0),0)+IF(AND(ISNUMBER(L261),ISNUMBER(J261)),IF(J261&gt;0,IF(L261/J261&gt;=Scoring!$B$11,1,0),0),0)+IF(ISNUMBER(Z261),MIN(Z261,3),0))</f>
        <v>1</v>
      </c>
      <c r="AC261" s="22" t="n">
        <f aca="false">IF(AB261&gt;=3,Scoring!$C$24,IF(AB261=2,Scoring!$C$23,IF(AB261=1,Scoring!$C$22,0)))</f>
        <v>10</v>
      </c>
      <c r="AD261" s="22" t="n">
        <f aca="false">IF(T261="Y",0,IF(ISNUMBER(X261),IF(X261&gt;0.7,Scoring!$C$25,IF(X261&gt;=0.5,Scoring!$C$26,IF(X261&gt;=0.3,Scoring!$C$27,Scoring!$C$28))),Scoring!$C$29))</f>
        <v>10</v>
      </c>
      <c r="AE261" s="22" t="n">
        <f aca="false">IF(D261="Expiring: notice window (verified)",Scoring!$C$30,IF(OR(D261="Expired (verified)",D261="30-yr mark: notice window (est.)",D261="Year-15 window"),Scoring!$C$31,IF(D261="Expiring: 10-yr horizon (verified)",Scoring!$C$32,IF(D261="Past 30-yr mark (verify)",Scoring!$C$33,IF(OR(D261="Credit period",D261="Superseded record"),Scoring!$C$35,Scoring!$C$34)))))</f>
        <v>14</v>
      </c>
      <c r="AF261" s="22" t="n">
        <f aca="false">IF(T261="Y",0,IF(ISNUMBER(V261),IF(Scoring!$B$4-V261&gt;15,Scoring!$C$36,IF(Scoring!$B$4-V261&gt;=10,Scoring!$C$37,IF(Scoring!$B$4-V261&gt;=5,Scoring!$C$38,Scoring!$C$39))),IF(OR(N261="",D261="Out of program"),Scoring!$C$40,IF(O261&gt;15,Scoring!$C$36,IF(O261&gt;=10,Scoring!$C$37,IF(O261&gt;=5,Scoring!$C$38,Scoring!$C$39))))))</f>
        <v>12</v>
      </c>
      <c r="AG261" s="22" t="n">
        <f aca="false">IF(T261="Y",0,IF(Y261="Y",Scoring!$C$41,IF(ISNUMBER(O261),IF(O261&gt;=25,Scoring!$C$42,IF(O261&gt;=15,Scoring!$C$43,Scoring!$C$44)),Scoring!$C$44)))</f>
        <v>5</v>
      </c>
      <c r="AH261" s="22" t="n">
        <f aca="false">IF(T261="Y",0,IF(W261="",Scoring!$C$49,IFERROR(VLOOKUP(W261,Scoring!$B$45:$C$48,2,FALSE()),Scoring!$C$49)))</f>
        <v>5</v>
      </c>
      <c r="AI261" s="23" t="n">
        <f aca="false">C261+IF(ISNUMBER(J261),J261,0)/100000+(10000-ROW())/1000000000</f>
        <v>56.000489739</v>
      </c>
      <c r="AJ261" s="18"/>
      <c r="AK261" s="18"/>
      <c r="AL261" s="18"/>
      <c r="AM261" s="18"/>
    </row>
    <row r="262" customFormat="false" ht="15" hidden="false" customHeight="false" outlineLevel="0" collapsed="false">
      <c r="A262" s="15" t="n">
        <f aca="false">RANK(AI262,$AI$2:$AI$755)</f>
        <v>261</v>
      </c>
      <c r="B262" s="16" t="str">
        <f aca="false">IF(T262="Y","Superseded",IF(C262&gt;=Scoring!$B$16,"Immediate",IF(C262&gt;=Scoring!$B$17,"This week",IF(C262&gt;=Scoring!$B$18,"Nurture","Low"))))</f>
        <v>This week</v>
      </c>
      <c r="C262" s="3" t="n">
        <f aca="false">SUM(AC262:AH262)</f>
        <v>56</v>
      </c>
      <c r="D262" s="15" t="str">
        <f aca="false">IF(T262="Y","Superseded record",IF(AND(U262&lt;&gt;"",AA262&lt;0),"Expired (verified)",IF(AND(U262&lt;&gt;"",AA262&lt;=Scoring!$B$5),"Expiring: notice window (verified)",IF(AND(U262&lt;&gt;"",AA262&lt;=Scoring!$B$6),"Expiring: 10-yr horizon (verified)",IF(M262="No Longer Monitored","Out of program",IF(N262="","Unknown vintage",IF(N262&lt;Scoring!$B$12,"Pre-1990, still listed",IF(AND(U262="",AA262&lt;0),"Past 30-yr mark (verify)",IF(AND(U262="",AA262&lt;=Scoring!$B$5),"30-yr mark: notice window (est.)",IF(AND(O262&gt;=Scoring!$B$7,O262&lt;=Scoring!$B$8),"Year-15 window",IF(O262&gt;=Scoring!$B$9,"Recap window",IF(O262&gt;=11,"Late compliance","Credit period"))))))))))))</f>
        <v>Year-15 window</v>
      </c>
      <c r="E262" s="15" t="s">
        <v>1057</v>
      </c>
      <c r="F262" s="15" t="s">
        <v>1058</v>
      </c>
      <c r="G262" s="15" t="s">
        <v>1059</v>
      </c>
      <c r="H262" s="15" t="s">
        <v>146</v>
      </c>
      <c r="I262" s="15"/>
      <c r="J262" s="15" t="n">
        <v>47</v>
      </c>
      <c r="K262" s="15" t="n">
        <v>47</v>
      </c>
      <c r="L262" s="15" t="n">
        <f aca="false">IF(OR(J262="",K262=""),"",MAX(J262-K262,0))</f>
        <v>0</v>
      </c>
      <c r="M262" s="15" t="s">
        <v>99</v>
      </c>
      <c r="N262" s="17" t="n">
        <v>2011</v>
      </c>
      <c r="O262" s="15" t="n">
        <f aca="false">IF(N262="","",Scoring!$B$4-N262)</f>
        <v>15</v>
      </c>
      <c r="P262" s="15" t="n">
        <f aca="false">IF(N262="","",N262+14)</f>
        <v>2025</v>
      </c>
      <c r="Q262" s="15" t="n">
        <f aca="false">IF(N262="","",IF(N262&lt;Scoring!$B$12,"n/a (pre-1990)",N262+Scoring!$B$13))</f>
        <v>2040</v>
      </c>
      <c r="R262" s="15" t="str">
        <f aca="false">IF(J262="","Unknown",IF(J262&gt;=5,"Yes","No (under 5 units)"))</f>
        <v>Yes</v>
      </c>
      <c r="S262" s="15"/>
      <c r="T262" s="18"/>
      <c r="U262" s="19"/>
      <c r="V262" s="18"/>
      <c r="W262" s="18"/>
      <c r="X262" s="20"/>
      <c r="Y262" s="18"/>
      <c r="Z262" s="18"/>
      <c r="AA262" s="21" t="n">
        <f aca="false">IF(U262&lt;&gt;"",(U262-Scoring!$B$3)/365.25,IF(N262="","",IF(N262&lt;Scoring!$B$12,"",(DATE(N262+Scoring!$B$13,12,31)-Scoring!$B$3)/365.25)))</f>
        <v>14.2477754962355</v>
      </c>
      <c r="AB262" s="22" t="n">
        <f aca="false">IF(T262="Y",0,IF(OR(D262="Expired (verified)",D262="Expiring: notice window (verified)",D262="Expiring: 10-yr horizon (verified)",D262="Past 30-yr mark (verify)",D262="30-yr mark: notice window (est.)",D262="Year-15 window"),1,0)+IF(ISNUMBER(O262),IF(O262&gt;=Scoring!$B$10,1,0),0)+IF(AND(ISNUMBER(L262),ISNUMBER(J262)),IF(J262&gt;0,IF(L262/J262&gt;=Scoring!$B$11,1,0),0),0)+IF(ISNUMBER(Z262),MIN(Z262,3),0))</f>
        <v>1</v>
      </c>
      <c r="AC262" s="22" t="n">
        <f aca="false">IF(AB262&gt;=3,Scoring!$C$24,IF(AB262=2,Scoring!$C$23,IF(AB262=1,Scoring!$C$22,0)))</f>
        <v>10</v>
      </c>
      <c r="AD262" s="22" t="n">
        <f aca="false">IF(T262="Y",0,IF(ISNUMBER(X262),IF(X262&gt;0.7,Scoring!$C$25,IF(X262&gt;=0.5,Scoring!$C$26,IF(X262&gt;=0.3,Scoring!$C$27,Scoring!$C$28))),Scoring!$C$29))</f>
        <v>10</v>
      </c>
      <c r="AE262" s="22" t="n">
        <f aca="false">IF(D262="Expiring: notice window (verified)",Scoring!$C$30,IF(OR(D262="Expired (verified)",D262="30-yr mark: notice window (est.)",D262="Year-15 window"),Scoring!$C$31,IF(D262="Expiring: 10-yr horizon (verified)",Scoring!$C$32,IF(D262="Past 30-yr mark (verify)",Scoring!$C$33,IF(OR(D262="Credit period",D262="Superseded record"),Scoring!$C$35,Scoring!$C$34)))))</f>
        <v>14</v>
      </c>
      <c r="AF262" s="22" t="n">
        <f aca="false">IF(T262="Y",0,IF(ISNUMBER(V262),IF(Scoring!$B$4-V262&gt;15,Scoring!$C$36,IF(Scoring!$B$4-V262&gt;=10,Scoring!$C$37,IF(Scoring!$B$4-V262&gt;=5,Scoring!$C$38,Scoring!$C$39))),IF(OR(N262="",D262="Out of program"),Scoring!$C$40,IF(O262&gt;15,Scoring!$C$36,IF(O262&gt;=10,Scoring!$C$37,IF(O262&gt;=5,Scoring!$C$38,Scoring!$C$39))))))</f>
        <v>12</v>
      </c>
      <c r="AG262" s="22" t="n">
        <f aca="false">IF(T262="Y",0,IF(Y262="Y",Scoring!$C$41,IF(ISNUMBER(O262),IF(O262&gt;=25,Scoring!$C$42,IF(O262&gt;=15,Scoring!$C$43,Scoring!$C$44)),Scoring!$C$44)))</f>
        <v>5</v>
      </c>
      <c r="AH262" s="22" t="n">
        <f aca="false">IF(T262="Y",0,IF(W262="",Scoring!$C$49,IFERROR(VLOOKUP(W262,Scoring!$B$45:$C$48,2,FALSE()),Scoring!$C$49)))</f>
        <v>5</v>
      </c>
      <c r="AI262" s="23" t="n">
        <f aca="false">C262+IF(ISNUMBER(J262),J262,0)/100000+(10000-ROW())/1000000000</f>
        <v>56.000479738</v>
      </c>
      <c r="AJ262" s="18"/>
      <c r="AK262" s="18"/>
      <c r="AL262" s="18"/>
      <c r="AM262" s="18"/>
    </row>
    <row r="263" customFormat="false" ht="15" hidden="false" customHeight="false" outlineLevel="0" collapsed="false">
      <c r="A263" s="15" t="n">
        <f aca="false">RANK(AI263,$AI$2:$AI$755)</f>
        <v>262</v>
      </c>
      <c r="B263" s="16" t="str">
        <f aca="false">IF(T263="Y","Superseded",IF(C263&gt;=Scoring!$B$16,"Immediate",IF(C263&gt;=Scoring!$B$17,"This week",IF(C263&gt;=Scoring!$B$18,"Nurture","Low"))))</f>
        <v>This week</v>
      </c>
      <c r="C263" s="3" t="n">
        <f aca="false">SUM(AC263:AH263)</f>
        <v>56</v>
      </c>
      <c r="D263" s="15" t="str">
        <f aca="false">IF(T263="Y","Superseded record",IF(AND(U263&lt;&gt;"",AA263&lt;0),"Expired (verified)",IF(AND(U263&lt;&gt;"",AA263&lt;=Scoring!$B$5),"Expiring: notice window (verified)",IF(AND(U263&lt;&gt;"",AA263&lt;=Scoring!$B$6),"Expiring: 10-yr horizon (verified)",IF(M263="No Longer Monitored","Out of program",IF(N263="","Unknown vintage",IF(N263&lt;Scoring!$B$12,"Pre-1990, still listed",IF(AND(U263="",AA263&lt;0),"Past 30-yr mark (verify)",IF(AND(U263="",AA263&lt;=Scoring!$B$5),"30-yr mark: notice window (est.)",IF(AND(O263&gt;=Scoring!$B$7,O263&lt;=Scoring!$B$8),"Year-15 window",IF(O263&gt;=Scoring!$B$9,"Recap window",IF(O263&gt;=11,"Late compliance","Credit period"))))))))))))</f>
        <v>Year-15 window</v>
      </c>
      <c r="E263" s="15" t="s">
        <v>1060</v>
      </c>
      <c r="F263" s="15" t="s">
        <v>1061</v>
      </c>
      <c r="G263" s="15" t="s">
        <v>1062</v>
      </c>
      <c r="H263" s="15" t="s">
        <v>700</v>
      </c>
      <c r="I263" s="15" t="s">
        <v>701</v>
      </c>
      <c r="J263" s="15" t="n">
        <v>46</v>
      </c>
      <c r="K263" s="15" t="n">
        <v>46</v>
      </c>
      <c r="L263" s="15" t="n">
        <f aca="false">IF(OR(J263="",K263=""),"",MAX(J263-K263,0))</f>
        <v>0</v>
      </c>
      <c r="M263" s="15" t="s">
        <v>99</v>
      </c>
      <c r="N263" s="17" t="n">
        <v>2011</v>
      </c>
      <c r="O263" s="15" t="n">
        <f aca="false">IF(N263="","",Scoring!$B$4-N263)</f>
        <v>15</v>
      </c>
      <c r="P263" s="15" t="n">
        <f aca="false">IF(N263="","",N263+14)</f>
        <v>2025</v>
      </c>
      <c r="Q263" s="15" t="n">
        <f aca="false">IF(N263="","",IF(N263&lt;Scoring!$B$12,"n/a (pre-1990)",N263+Scoring!$B$13))</f>
        <v>2040</v>
      </c>
      <c r="R263" s="15" t="str">
        <f aca="false">IF(J263="","Unknown",IF(J263&gt;=5,"Yes","No (under 5 units)"))</f>
        <v>Yes</v>
      </c>
      <c r="S263" s="15"/>
      <c r="T263" s="18"/>
      <c r="U263" s="19"/>
      <c r="V263" s="18"/>
      <c r="W263" s="18"/>
      <c r="X263" s="20"/>
      <c r="Y263" s="18"/>
      <c r="Z263" s="18"/>
      <c r="AA263" s="21" t="n">
        <f aca="false">IF(U263&lt;&gt;"",(U263-Scoring!$B$3)/365.25,IF(N263="","",IF(N263&lt;Scoring!$B$12,"",(DATE(N263+Scoring!$B$13,12,31)-Scoring!$B$3)/365.25)))</f>
        <v>14.2477754962355</v>
      </c>
      <c r="AB263" s="22" t="n">
        <f aca="false">IF(T263="Y",0,IF(OR(D263="Expired (verified)",D263="Expiring: notice window (verified)",D263="Expiring: 10-yr horizon (verified)",D263="Past 30-yr mark (verify)",D263="30-yr mark: notice window (est.)",D263="Year-15 window"),1,0)+IF(ISNUMBER(O263),IF(O263&gt;=Scoring!$B$10,1,0),0)+IF(AND(ISNUMBER(L263),ISNUMBER(J263)),IF(J263&gt;0,IF(L263/J263&gt;=Scoring!$B$11,1,0),0),0)+IF(ISNUMBER(Z263),MIN(Z263,3),0))</f>
        <v>1</v>
      </c>
      <c r="AC263" s="22" t="n">
        <f aca="false">IF(AB263&gt;=3,Scoring!$C$24,IF(AB263=2,Scoring!$C$23,IF(AB263=1,Scoring!$C$22,0)))</f>
        <v>10</v>
      </c>
      <c r="AD263" s="22" t="n">
        <f aca="false">IF(T263="Y",0,IF(ISNUMBER(X263),IF(X263&gt;0.7,Scoring!$C$25,IF(X263&gt;=0.5,Scoring!$C$26,IF(X263&gt;=0.3,Scoring!$C$27,Scoring!$C$28))),Scoring!$C$29))</f>
        <v>10</v>
      </c>
      <c r="AE263" s="22" t="n">
        <f aca="false">IF(D263="Expiring: notice window (verified)",Scoring!$C$30,IF(OR(D263="Expired (verified)",D263="30-yr mark: notice window (est.)",D263="Year-15 window"),Scoring!$C$31,IF(D263="Expiring: 10-yr horizon (verified)",Scoring!$C$32,IF(D263="Past 30-yr mark (verify)",Scoring!$C$33,IF(OR(D263="Credit period",D263="Superseded record"),Scoring!$C$35,Scoring!$C$34)))))</f>
        <v>14</v>
      </c>
      <c r="AF263" s="22" t="n">
        <f aca="false">IF(T263="Y",0,IF(ISNUMBER(V263),IF(Scoring!$B$4-V263&gt;15,Scoring!$C$36,IF(Scoring!$B$4-V263&gt;=10,Scoring!$C$37,IF(Scoring!$B$4-V263&gt;=5,Scoring!$C$38,Scoring!$C$39))),IF(OR(N263="",D263="Out of program"),Scoring!$C$40,IF(O263&gt;15,Scoring!$C$36,IF(O263&gt;=10,Scoring!$C$37,IF(O263&gt;=5,Scoring!$C$38,Scoring!$C$39))))))</f>
        <v>12</v>
      </c>
      <c r="AG263" s="22" t="n">
        <f aca="false">IF(T263="Y",0,IF(Y263="Y",Scoring!$C$41,IF(ISNUMBER(O263),IF(O263&gt;=25,Scoring!$C$42,IF(O263&gt;=15,Scoring!$C$43,Scoring!$C$44)),Scoring!$C$44)))</f>
        <v>5</v>
      </c>
      <c r="AH263" s="22" t="n">
        <f aca="false">IF(T263="Y",0,IF(W263="",Scoring!$C$49,IFERROR(VLOOKUP(W263,Scoring!$B$45:$C$48,2,FALSE()),Scoring!$C$49)))</f>
        <v>5</v>
      </c>
      <c r="AI263" s="23" t="n">
        <f aca="false">C263+IF(ISNUMBER(J263),J263,0)/100000+(10000-ROW())/1000000000</f>
        <v>56.000469737</v>
      </c>
      <c r="AJ263" s="18"/>
      <c r="AK263" s="18"/>
      <c r="AL263" s="18"/>
      <c r="AM263" s="18"/>
    </row>
    <row r="264" customFormat="false" ht="15" hidden="false" customHeight="false" outlineLevel="0" collapsed="false">
      <c r="A264" s="15" t="n">
        <f aca="false">RANK(AI264,$AI$2:$AI$755)</f>
        <v>263</v>
      </c>
      <c r="B264" s="16" t="str">
        <f aca="false">IF(T264="Y","Superseded",IF(C264&gt;=Scoring!$B$16,"Immediate",IF(C264&gt;=Scoring!$B$17,"This week",IF(C264&gt;=Scoring!$B$18,"Nurture","Low"))))</f>
        <v>This week</v>
      </c>
      <c r="C264" s="3" t="n">
        <f aca="false">SUM(AC264:AH264)</f>
        <v>56</v>
      </c>
      <c r="D264" s="15" t="str">
        <f aca="false">IF(T264="Y","Superseded record",IF(AND(U264&lt;&gt;"",AA264&lt;0),"Expired (verified)",IF(AND(U264&lt;&gt;"",AA264&lt;=Scoring!$B$5),"Expiring: notice window (verified)",IF(AND(U264&lt;&gt;"",AA264&lt;=Scoring!$B$6),"Expiring: 10-yr horizon (verified)",IF(M264="No Longer Monitored","Out of program",IF(N264="","Unknown vintage",IF(N264&lt;Scoring!$B$12,"Pre-1990, still listed",IF(AND(U264="",AA264&lt;0),"Past 30-yr mark (verify)",IF(AND(U264="",AA264&lt;=Scoring!$B$5),"30-yr mark: notice window (est.)",IF(AND(O264&gt;=Scoring!$B$7,O264&lt;=Scoring!$B$8),"Year-15 window",IF(O264&gt;=Scoring!$B$9,"Recap window",IF(O264&gt;=11,"Late compliance","Credit period"))))))))))))</f>
        <v>Year-15 window</v>
      </c>
      <c r="E264" s="15" t="s">
        <v>1063</v>
      </c>
      <c r="F264" s="15" t="s">
        <v>1064</v>
      </c>
      <c r="G264" s="15" t="s">
        <v>1065</v>
      </c>
      <c r="H264" s="15" t="s">
        <v>120</v>
      </c>
      <c r="I264" s="15" t="s">
        <v>121</v>
      </c>
      <c r="J264" s="15" t="n">
        <v>40</v>
      </c>
      <c r="K264" s="15" t="n">
        <v>39</v>
      </c>
      <c r="L264" s="15" t="n">
        <f aca="false">IF(OR(J264="",K264=""),"",MAX(J264-K264,0))</f>
        <v>1</v>
      </c>
      <c r="M264" s="15" t="s">
        <v>99</v>
      </c>
      <c r="N264" s="17" t="n">
        <v>2011</v>
      </c>
      <c r="O264" s="15" t="n">
        <f aca="false">IF(N264="","",Scoring!$B$4-N264)</f>
        <v>15</v>
      </c>
      <c r="P264" s="15" t="n">
        <f aca="false">IF(N264="","",N264+14)</f>
        <v>2025</v>
      </c>
      <c r="Q264" s="15" t="n">
        <f aca="false">IF(N264="","",IF(N264&lt;Scoring!$B$12,"n/a (pre-1990)",N264+Scoring!$B$13))</f>
        <v>2040</v>
      </c>
      <c r="R264" s="15" t="str">
        <f aca="false">IF(J264="","Unknown",IF(J264&gt;=5,"Yes","No (under 5 units)"))</f>
        <v>Yes</v>
      </c>
      <c r="S264" s="15"/>
      <c r="T264" s="18"/>
      <c r="U264" s="19"/>
      <c r="V264" s="18"/>
      <c r="W264" s="18"/>
      <c r="X264" s="20"/>
      <c r="Y264" s="18"/>
      <c r="Z264" s="18"/>
      <c r="AA264" s="21" t="n">
        <f aca="false">IF(U264&lt;&gt;"",(U264-Scoring!$B$3)/365.25,IF(N264="","",IF(N264&lt;Scoring!$B$12,"",(DATE(N264+Scoring!$B$13,12,31)-Scoring!$B$3)/365.25)))</f>
        <v>14.2477754962355</v>
      </c>
      <c r="AB264" s="22" t="n">
        <f aca="false">IF(T264="Y",0,IF(OR(D264="Expired (verified)",D264="Expiring: notice window (verified)",D264="Expiring: 10-yr horizon (verified)",D264="Past 30-yr mark (verify)",D264="30-yr mark: notice window (est.)",D264="Year-15 window"),1,0)+IF(ISNUMBER(O264),IF(O264&gt;=Scoring!$B$10,1,0),0)+IF(AND(ISNUMBER(L264),ISNUMBER(J264)),IF(J264&gt;0,IF(L264/J264&gt;=Scoring!$B$11,1,0),0),0)+IF(ISNUMBER(Z264),MIN(Z264,3),0))</f>
        <v>1</v>
      </c>
      <c r="AC264" s="22" t="n">
        <f aca="false">IF(AB264&gt;=3,Scoring!$C$24,IF(AB264=2,Scoring!$C$23,IF(AB264=1,Scoring!$C$22,0)))</f>
        <v>10</v>
      </c>
      <c r="AD264" s="22" t="n">
        <f aca="false">IF(T264="Y",0,IF(ISNUMBER(X264),IF(X264&gt;0.7,Scoring!$C$25,IF(X264&gt;=0.5,Scoring!$C$26,IF(X264&gt;=0.3,Scoring!$C$27,Scoring!$C$28))),Scoring!$C$29))</f>
        <v>10</v>
      </c>
      <c r="AE264" s="22" t="n">
        <f aca="false">IF(D264="Expiring: notice window (verified)",Scoring!$C$30,IF(OR(D264="Expired (verified)",D264="30-yr mark: notice window (est.)",D264="Year-15 window"),Scoring!$C$31,IF(D264="Expiring: 10-yr horizon (verified)",Scoring!$C$32,IF(D264="Past 30-yr mark (verify)",Scoring!$C$33,IF(OR(D264="Credit period",D264="Superseded record"),Scoring!$C$35,Scoring!$C$34)))))</f>
        <v>14</v>
      </c>
      <c r="AF264" s="22" t="n">
        <f aca="false">IF(T264="Y",0,IF(ISNUMBER(V264),IF(Scoring!$B$4-V264&gt;15,Scoring!$C$36,IF(Scoring!$B$4-V264&gt;=10,Scoring!$C$37,IF(Scoring!$B$4-V264&gt;=5,Scoring!$C$38,Scoring!$C$39))),IF(OR(N264="",D264="Out of program"),Scoring!$C$40,IF(O264&gt;15,Scoring!$C$36,IF(O264&gt;=10,Scoring!$C$37,IF(O264&gt;=5,Scoring!$C$38,Scoring!$C$39))))))</f>
        <v>12</v>
      </c>
      <c r="AG264" s="22" t="n">
        <f aca="false">IF(T264="Y",0,IF(Y264="Y",Scoring!$C$41,IF(ISNUMBER(O264),IF(O264&gt;=25,Scoring!$C$42,IF(O264&gt;=15,Scoring!$C$43,Scoring!$C$44)),Scoring!$C$44)))</f>
        <v>5</v>
      </c>
      <c r="AH264" s="22" t="n">
        <f aca="false">IF(T264="Y",0,IF(W264="",Scoring!$C$49,IFERROR(VLOOKUP(W264,Scoring!$B$45:$C$48,2,FALSE()),Scoring!$C$49)))</f>
        <v>5</v>
      </c>
      <c r="AI264" s="23" t="n">
        <f aca="false">C264+IF(ISNUMBER(J264),J264,0)/100000+(10000-ROW())/1000000000</f>
        <v>56.000409736</v>
      </c>
      <c r="AJ264" s="18"/>
      <c r="AK264" s="18"/>
      <c r="AL264" s="18"/>
      <c r="AM264" s="18"/>
    </row>
    <row r="265" customFormat="false" ht="15" hidden="false" customHeight="false" outlineLevel="0" collapsed="false">
      <c r="A265" s="15" t="n">
        <f aca="false">RANK(AI265,$AI$2:$AI$755)</f>
        <v>264</v>
      </c>
      <c r="B265" s="16" t="str">
        <f aca="false">IF(T265="Y","Superseded",IF(C265&gt;=Scoring!$B$16,"Immediate",IF(C265&gt;=Scoring!$B$17,"This week",IF(C265&gt;=Scoring!$B$18,"Nurture","Low"))))</f>
        <v>This week</v>
      </c>
      <c r="C265" s="3" t="n">
        <f aca="false">SUM(AC265:AH265)</f>
        <v>56</v>
      </c>
      <c r="D265" s="15" t="str">
        <f aca="false">IF(T265="Y","Superseded record",IF(AND(U265&lt;&gt;"",AA265&lt;0),"Expired (verified)",IF(AND(U265&lt;&gt;"",AA265&lt;=Scoring!$B$5),"Expiring: notice window (verified)",IF(AND(U265&lt;&gt;"",AA265&lt;=Scoring!$B$6),"Expiring: 10-yr horizon (verified)",IF(M265="No Longer Monitored","Out of program",IF(N265="","Unknown vintage",IF(N265&lt;Scoring!$B$12,"Pre-1990, still listed",IF(AND(U265="",AA265&lt;0),"Past 30-yr mark (verify)",IF(AND(U265="",AA265&lt;=Scoring!$B$5),"30-yr mark: notice window (est.)",IF(AND(O265&gt;=Scoring!$B$7,O265&lt;=Scoring!$B$8),"Year-15 window",IF(O265&gt;=Scoring!$B$9,"Recap window",IF(O265&gt;=11,"Late compliance","Credit period"))))))))))))</f>
        <v>Year-15 window</v>
      </c>
      <c r="E265" s="15" t="s">
        <v>1066</v>
      </c>
      <c r="F265" s="15" t="s">
        <v>1067</v>
      </c>
      <c r="G265" s="15" t="s">
        <v>1068</v>
      </c>
      <c r="H265" s="15" t="s">
        <v>97</v>
      </c>
      <c r="I265" s="15" t="s">
        <v>929</v>
      </c>
      <c r="J265" s="15" t="n">
        <v>40</v>
      </c>
      <c r="K265" s="15" t="n">
        <v>40</v>
      </c>
      <c r="L265" s="15" t="n">
        <f aca="false">IF(OR(J265="",K265=""),"",MAX(J265-K265,0))</f>
        <v>0</v>
      </c>
      <c r="M265" s="15" t="s">
        <v>99</v>
      </c>
      <c r="N265" s="17" t="n">
        <v>2011</v>
      </c>
      <c r="O265" s="15" t="n">
        <f aca="false">IF(N265="","",Scoring!$B$4-N265)</f>
        <v>15</v>
      </c>
      <c r="P265" s="15" t="n">
        <f aca="false">IF(N265="","",N265+14)</f>
        <v>2025</v>
      </c>
      <c r="Q265" s="15" t="n">
        <f aca="false">IF(N265="","",IF(N265&lt;Scoring!$B$12,"n/a (pre-1990)",N265+Scoring!$B$13))</f>
        <v>2040</v>
      </c>
      <c r="R265" s="15" t="str">
        <f aca="false">IF(J265="","Unknown",IF(J265&gt;=5,"Yes","No (under 5 units)"))</f>
        <v>Yes</v>
      </c>
      <c r="S265" s="15"/>
      <c r="T265" s="18"/>
      <c r="U265" s="19"/>
      <c r="V265" s="18"/>
      <c r="W265" s="18"/>
      <c r="X265" s="20"/>
      <c r="Y265" s="18"/>
      <c r="Z265" s="18"/>
      <c r="AA265" s="21" t="n">
        <f aca="false">IF(U265&lt;&gt;"",(U265-Scoring!$B$3)/365.25,IF(N265="","",IF(N265&lt;Scoring!$B$12,"",(DATE(N265+Scoring!$B$13,12,31)-Scoring!$B$3)/365.25)))</f>
        <v>14.2477754962355</v>
      </c>
      <c r="AB265" s="22" t="n">
        <f aca="false">IF(T265="Y",0,IF(OR(D265="Expired (verified)",D265="Expiring: notice window (verified)",D265="Expiring: 10-yr horizon (verified)",D265="Past 30-yr mark (verify)",D265="30-yr mark: notice window (est.)",D265="Year-15 window"),1,0)+IF(ISNUMBER(O265),IF(O265&gt;=Scoring!$B$10,1,0),0)+IF(AND(ISNUMBER(L265),ISNUMBER(J265)),IF(J265&gt;0,IF(L265/J265&gt;=Scoring!$B$11,1,0),0),0)+IF(ISNUMBER(Z265),MIN(Z265,3),0))</f>
        <v>1</v>
      </c>
      <c r="AC265" s="22" t="n">
        <f aca="false">IF(AB265&gt;=3,Scoring!$C$24,IF(AB265=2,Scoring!$C$23,IF(AB265=1,Scoring!$C$22,0)))</f>
        <v>10</v>
      </c>
      <c r="AD265" s="22" t="n">
        <f aca="false">IF(T265="Y",0,IF(ISNUMBER(X265),IF(X265&gt;0.7,Scoring!$C$25,IF(X265&gt;=0.5,Scoring!$C$26,IF(X265&gt;=0.3,Scoring!$C$27,Scoring!$C$28))),Scoring!$C$29))</f>
        <v>10</v>
      </c>
      <c r="AE265" s="22" t="n">
        <f aca="false">IF(D265="Expiring: notice window (verified)",Scoring!$C$30,IF(OR(D265="Expired (verified)",D265="30-yr mark: notice window (est.)",D265="Year-15 window"),Scoring!$C$31,IF(D265="Expiring: 10-yr horizon (verified)",Scoring!$C$32,IF(D265="Past 30-yr mark (verify)",Scoring!$C$33,IF(OR(D265="Credit period",D265="Superseded record"),Scoring!$C$35,Scoring!$C$34)))))</f>
        <v>14</v>
      </c>
      <c r="AF265" s="22" t="n">
        <f aca="false">IF(T265="Y",0,IF(ISNUMBER(V265),IF(Scoring!$B$4-V265&gt;15,Scoring!$C$36,IF(Scoring!$B$4-V265&gt;=10,Scoring!$C$37,IF(Scoring!$B$4-V265&gt;=5,Scoring!$C$38,Scoring!$C$39))),IF(OR(N265="",D265="Out of program"),Scoring!$C$40,IF(O265&gt;15,Scoring!$C$36,IF(O265&gt;=10,Scoring!$C$37,IF(O265&gt;=5,Scoring!$C$38,Scoring!$C$39))))))</f>
        <v>12</v>
      </c>
      <c r="AG265" s="22" t="n">
        <f aca="false">IF(T265="Y",0,IF(Y265="Y",Scoring!$C$41,IF(ISNUMBER(O265),IF(O265&gt;=25,Scoring!$C$42,IF(O265&gt;=15,Scoring!$C$43,Scoring!$C$44)),Scoring!$C$44)))</f>
        <v>5</v>
      </c>
      <c r="AH265" s="22" t="n">
        <f aca="false">IF(T265="Y",0,IF(W265="",Scoring!$C$49,IFERROR(VLOOKUP(W265,Scoring!$B$45:$C$48,2,FALSE()),Scoring!$C$49)))</f>
        <v>5</v>
      </c>
      <c r="AI265" s="23" t="n">
        <f aca="false">C265+IF(ISNUMBER(J265),J265,0)/100000+(10000-ROW())/1000000000</f>
        <v>56.000409735</v>
      </c>
      <c r="AJ265" s="18"/>
      <c r="AK265" s="18"/>
      <c r="AL265" s="18"/>
      <c r="AM265" s="18"/>
    </row>
    <row r="266" customFormat="false" ht="15" hidden="false" customHeight="false" outlineLevel="0" collapsed="false">
      <c r="A266" s="15" t="n">
        <f aca="false">RANK(AI266,$AI$2:$AI$755)</f>
        <v>265</v>
      </c>
      <c r="B266" s="16" t="str">
        <f aca="false">IF(T266="Y","Superseded",IF(C266&gt;=Scoring!$B$16,"Immediate",IF(C266&gt;=Scoring!$B$17,"This week",IF(C266&gt;=Scoring!$B$18,"Nurture","Low"))))</f>
        <v>This week</v>
      </c>
      <c r="C266" s="3" t="n">
        <f aca="false">SUM(AC266:AH266)</f>
        <v>56</v>
      </c>
      <c r="D266" s="15" t="str">
        <f aca="false">IF(T266="Y","Superseded record",IF(AND(U266&lt;&gt;"",AA266&lt;0),"Expired (verified)",IF(AND(U266&lt;&gt;"",AA266&lt;=Scoring!$B$5),"Expiring: notice window (verified)",IF(AND(U266&lt;&gt;"",AA266&lt;=Scoring!$B$6),"Expiring: 10-yr horizon (verified)",IF(M266="No Longer Monitored","Out of program",IF(N266="","Unknown vintage",IF(N266&lt;Scoring!$B$12,"Pre-1990, still listed",IF(AND(U266="",AA266&lt;0),"Past 30-yr mark (verify)",IF(AND(U266="",AA266&lt;=Scoring!$B$5),"30-yr mark: notice window (est.)",IF(AND(O266&gt;=Scoring!$B$7,O266&lt;=Scoring!$B$8),"Year-15 window",IF(O266&gt;=Scoring!$B$9,"Recap window",IF(O266&gt;=11,"Late compliance","Credit period"))))))))))))</f>
        <v>Year-15 window</v>
      </c>
      <c r="E266" s="15" t="s">
        <v>1069</v>
      </c>
      <c r="F266" s="15" t="s">
        <v>1070</v>
      </c>
      <c r="G266" s="15" t="s">
        <v>1071</v>
      </c>
      <c r="H266" s="15" t="s">
        <v>541</v>
      </c>
      <c r="I266" s="15" t="s">
        <v>542</v>
      </c>
      <c r="J266" s="15" t="n">
        <v>40</v>
      </c>
      <c r="K266" s="15" t="n">
        <v>40</v>
      </c>
      <c r="L266" s="15" t="n">
        <f aca="false">IF(OR(J266="",K266=""),"",MAX(J266-K266,0))</f>
        <v>0</v>
      </c>
      <c r="M266" s="15" t="s">
        <v>99</v>
      </c>
      <c r="N266" s="17" t="n">
        <v>2011</v>
      </c>
      <c r="O266" s="15" t="n">
        <f aca="false">IF(N266="","",Scoring!$B$4-N266)</f>
        <v>15</v>
      </c>
      <c r="P266" s="15" t="n">
        <f aca="false">IF(N266="","",N266+14)</f>
        <v>2025</v>
      </c>
      <c r="Q266" s="15" t="n">
        <f aca="false">IF(N266="","",IF(N266&lt;Scoring!$B$12,"n/a (pre-1990)",N266+Scoring!$B$13))</f>
        <v>2040</v>
      </c>
      <c r="R266" s="15" t="str">
        <f aca="false">IF(J266="","Unknown",IF(J266&gt;=5,"Yes","No (under 5 units)"))</f>
        <v>Yes</v>
      </c>
      <c r="S266" s="15"/>
      <c r="T266" s="18"/>
      <c r="U266" s="19"/>
      <c r="V266" s="18"/>
      <c r="W266" s="18"/>
      <c r="X266" s="20"/>
      <c r="Y266" s="18"/>
      <c r="Z266" s="18"/>
      <c r="AA266" s="21" t="n">
        <f aca="false">IF(U266&lt;&gt;"",(U266-Scoring!$B$3)/365.25,IF(N266="","",IF(N266&lt;Scoring!$B$12,"",(DATE(N266+Scoring!$B$13,12,31)-Scoring!$B$3)/365.25)))</f>
        <v>14.2477754962355</v>
      </c>
      <c r="AB266" s="22" t="n">
        <f aca="false">IF(T266="Y",0,IF(OR(D266="Expired (verified)",D266="Expiring: notice window (verified)",D266="Expiring: 10-yr horizon (verified)",D266="Past 30-yr mark (verify)",D266="30-yr mark: notice window (est.)",D266="Year-15 window"),1,0)+IF(ISNUMBER(O266),IF(O266&gt;=Scoring!$B$10,1,0),0)+IF(AND(ISNUMBER(L266),ISNUMBER(J266)),IF(J266&gt;0,IF(L266/J266&gt;=Scoring!$B$11,1,0),0),0)+IF(ISNUMBER(Z266),MIN(Z266,3),0))</f>
        <v>1</v>
      </c>
      <c r="AC266" s="22" t="n">
        <f aca="false">IF(AB266&gt;=3,Scoring!$C$24,IF(AB266=2,Scoring!$C$23,IF(AB266=1,Scoring!$C$22,0)))</f>
        <v>10</v>
      </c>
      <c r="AD266" s="22" t="n">
        <f aca="false">IF(T266="Y",0,IF(ISNUMBER(X266),IF(X266&gt;0.7,Scoring!$C$25,IF(X266&gt;=0.5,Scoring!$C$26,IF(X266&gt;=0.3,Scoring!$C$27,Scoring!$C$28))),Scoring!$C$29))</f>
        <v>10</v>
      </c>
      <c r="AE266" s="22" t="n">
        <f aca="false">IF(D266="Expiring: notice window (verified)",Scoring!$C$30,IF(OR(D266="Expired (verified)",D266="30-yr mark: notice window (est.)",D266="Year-15 window"),Scoring!$C$31,IF(D266="Expiring: 10-yr horizon (verified)",Scoring!$C$32,IF(D266="Past 30-yr mark (verify)",Scoring!$C$33,IF(OR(D266="Credit period",D266="Superseded record"),Scoring!$C$35,Scoring!$C$34)))))</f>
        <v>14</v>
      </c>
      <c r="AF266" s="22" t="n">
        <f aca="false">IF(T266="Y",0,IF(ISNUMBER(V266),IF(Scoring!$B$4-V266&gt;15,Scoring!$C$36,IF(Scoring!$B$4-V266&gt;=10,Scoring!$C$37,IF(Scoring!$B$4-V266&gt;=5,Scoring!$C$38,Scoring!$C$39))),IF(OR(N266="",D266="Out of program"),Scoring!$C$40,IF(O266&gt;15,Scoring!$C$36,IF(O266&gt;=10,Scoring!$C$37,IF(O266&gt;=5,Scoring!$C$38,Scoring!$C$39))))))</f>
        <v>12</v>
      </c>
      <c r="AG266" s="22" t="n">
        <f aca="false">IF(T266="Y",0,IF(Y266="Y",Scoring!$C$41,IF(ISNUMBER(O266),IF(O266&gt;=25,Scoring!$C$42,IF(O266&gt;=15,Scoring!$C$43,Scoring!$C$44)),Scoring!$C$44)))</f>
        <v>5</v>
      </c>
      <c r="AH266" s="22" t="n">
        <f aca="false">IF(T266="Y",0,IF(W266="",Scoring!$C$49,IFERROR(VLOOKUP(W266,Scoring!$B$45:$C$48,2,FALSE()),Scoring!$C$49)))</f>
        <v>5</v>
      </c>
      <c r="AI266" s="23" t="n">
        <f aca="false">C266+IF(ISNUMBER(J266),J266,0)/100000+(10000-ROW())/1000000000</f>
        <v>56.000409734</v>
      </c>
      <c r="AJ266" s="18"/>
      <c r="AK266" s="18"/>
      <c r="AL266" s="18"/>
      <c r="AM266" s="18"/>
    </row>
    <row r="267" customFormat="false" ht="15" hidden="false" customHeight="false" outlineLevel="0" collapsed="false">
      <c r="A267" s="15" t="n">
        <f aca="false">RANK(AI267,$AI$2:$AI$755)</f>
        <v>266</v>
      </c>
      <c r="B267" s="16" t="str">
        <f aca="false">IF(T267="Y","Superseded",IF(C267&gt;=Scoring!$B$16,"Immediate",IF(C267&gt;=Scoring!$B$17,"This week",IF(C267&gt;=Scoring!$B$18,"Nurture","Low"))))</f>
        <v>This week</v>
      </c>
      <c r="C267" s="3" t="n">
        <f aca="false">SUM(AC267:AH267)</f>
        <v>56</v>
      </c>
      <c r="D267" s="15" t="str">
        <f aca="false">IF(T267="Y","Superseded record",IF(AND(U267&lt;&gt;"",AA267&lt;0),"Expired (verified)",IF(AND(U267&lt;&gt;"",AA267&lt;=Scoring!$B$5),"Expiring: notice window (verified)",IF(AND(U267&lt;&gt;"",AA267&lt;=Scoring!$B$6),"Expiring: 10-yr horizon (verified)",IF(M267="No Longer Monitored","Out of program",IF(N267="","Unknown vintage",IF(N267&lt;Scoring!$B$12,"Pre-1990, still listed",IF(AND(U267="",AA267&lt;0),"Past 30-yr mark (verify)",IF(AND(U267="",AA267&lt;=Scoring!$B$5),"30-yr mark: notice window (est.)",IF(AND(O267&gt;=Scoring!$B$7,O267&lt;=Scoring!$B$8),"Year-15 window",IF(O267&gt;=Scoring!$B$9,"Recap window",IF(O267&gt;=11,"Late compliance","Credit period"))))))))))))</f>
        <v>Year-15 window</v>
      </c>
      <c r="E267" s="15" t="s">
        <v>1072</v>
      </c>
      <c r="F267" s="15" t="s">
        <v>1073</v>
      </c>
      <c r="G267" s="15" t="s">
        <v>1074</v>
      </c>
      <c r="H267" s="15" t="s">
        <v>1075</v>
      </c>
      <c r="I267" s="15" t="s">
        <v>1076</v>
      </c>
      <c r="J267" s="15" t="n">
        <v>33</v>
      </c>
      <c r="K267" s="15" t="n">
        <v>33</v>
      </c>
      <c r="L267" s="15" t="n">
        <f aca="false">IF(OR(J267="",K267=""),"",MAX(J267-K267,0))</f>
        <v>0</v>
      </c>
      <c r="M267" s="15" t="s">
        <v>99</v>
      </c>
      <c r="N267" s="17" t="n">
        <v>2011</v>
      </c>
      <c r="O267" s="15" t="n">
        <f aca="false">IF(N267="","",Scoring!$B$4-N267)</f>
        <v>15</v>
      </c>
      <c r="P267" s="15" t="n">
        <f aca="false">IF(N267="","",N267+14)</f>
        <v>2025</v>
      </c>
      <c r="Q267" s="15" t="n">
        <f aca="false">IF(N267="","",IF(N267&lt;Scoring!$B$12,"n/a (pre-1990)",N267+Scoring!$B$13))</f>
        <v>2040</v>
      </c>
      <c r="R267" s="15" t="str">
        <f aca="false">IF(J267="","Unknown",IF(J267&gt;=5,"Yes","No (under 5 units)"))</f>
        <v>Yes</v>
      </c>
      <c r="S267" s="15"/>
      <c r="T267" s="18"/>
      <c r="U267" s="19"/>
      <c r="V267" s="18"/>
      <c r="W267" s="18"/>
      <c r="X267" s="20"/>
      <c r="Y267" s="18"/>
      <c r="Z267" s="18"/>
      <c r="AA267" s="21" t="n">
        <f aca="false">IF(U267&lt;&gt;"",(U267-Scoring!$B$3)/365.25,IF(N267="","",IF(N267&lt;Scoring!$B$12,"",(DATE(N267+Scoring!$B$13,12,31)-Scoring!$B$3)/365.25)))</f>
        <v>14.2477754962355</v>
      </c>
      <c r="AB267" s="22" t="n">
        <f aca="false">IF(T267="Y",0,IF(OR(D267="Expired (verified)",D267="Expiring: notice window (verified)",D267="Expiring: 10-yr horizon (verified)",D267="Past 30-yr mark (verify)",D267="30-yr mark: notice window (est.)",D267="Year-15 window"),1,0)+IF(ISNUMBER(O267),IF(O267&gt;=Scoring!$B$10,1,0),0)+IF(AND(ISNUMBER(L267),ISNUMBER(J267)),IF(J267&gt;0,IF(L267/J267&gt;=Scoring!$B$11,1,0),0),0)+IF(ISNUMBER(Z267),MIN(Z267,3),0))</f>
        <v>1</v>
      </c>
      <c r="AC267" s="22" t="n">
        <f aca="false">IF(AB267&gt;=3,Scoring!$C$24,IF(AB267=2,Scoring!$C$23,IF(AB267=1,Scoring!$C$22,0)))</f>
        <v>10</v>
      </c>
      <c r="AD267" s="22" t="n">
        <f aca="false">IF(T267="Y",0,IF(ISNUMBER(X267),IF(X267&gt;0.7,Scoring!$C$25,IF(X267&gt;=0.5,Scoring!$C$26,IF(X267&gt;=0.3,Scoring!$C$27,Scoring!$C$28))),Scoring!$C$29))</f>
        <v>10</v>
      </c>
      <c r="AE267" s="22" t="n">
        <f aca="false">IF(D267="Expiring: notice window (verified)",Scoring!$C$30,IF(OR(D267="Expired (verified)",D267="30-yr mark: notice window (est.)",D267="Year-15 window"),Scoring!$C$31,IF(D267="Expiring: 10-yr horizon (verified)",Scoring!$C$32,IF(D267="Past 30-yr mark (verify)",Scoring!$C$33,IF(OR(D267="Credit period",D267="Superseded record"),Scoring!$C$35,Scoring!$C$34)))))</f>
        <v>14</v>
      </c>
      <c r="AF267" s="22" t="n">
        <f aca="false">IF(T267="Y",0,IF(ISNUMBER(V267),IF(Scoring!$B$4-V267&gt;15,Scoring!$C$36,IF(Scoring!$B$4-V267&gt;=10,Scoring!$C$37,IF(Scoring!$B$4-V267&gt;=5,Scoring!$C$38,Scoring!$C$39))),IF(OR(N267="",D267="Out of program"),Scoring!$C$40,IF(O267&gt;15,Scoring!$C$36,IF(O267&gt;=10,Scoring!$C$37,IF(O267&gt;=5,Scoring!$C$38,Scoring!$C$39))))))</f>
        <v>12</v>
      </c>
      <c r="AG267" s="22" t="n">
        <f aca="false">IF(T267="Y",0,IF(Y267="Y",Scoring!$C$41,IF(ISNUMBER(O267),IF(O267&gt;=25,Scoring!$C$42,IF(O267&gt;=15,Scoring!$C$43,Scoring!$C$44)),Scoring!$C$44)))</f>
        <v>5</v>
      </c>
      <c r="AH267" s="22" t="n">
        <f aca="false">IF(T267="Y",0,IF(W267="",Scoring!$C$49,IFERROR(VLOOKUP(W267,Scoring!$B$45:$C$48,2,FALSE()),Scoring!$C$49)))</f>
        <v>5</v>
      </c>
      <c r="AI267" s="23" t="n">
        <f aca="false">C267+IF(ISNUMBER(J267),J267,0)/100000+(10000-ROW())/1000000000</f>
        <v>56.000339733</v>
      </c>
      <c r="AJ267" s="18"/>
      <c r="AK267" s="18"/>
      <c r="AL267" s="18"/>
      <c r="AM267" s="18"/>
    </row>
    <row r="268" customFormat="false" ht="15" hidden="false" customHeight="false" outlineLevel="0" collapsed="false">
      <c r="A268" s="15" t="n">
        <f aca="false">RANK(AI268,$AI$2:$AI$755)</f>
        <v>267</v>
      </c>
      <c r="B268" s="16" t="str">
        <f aca="false">IF(T268="Y","Superseded",IF(C268&gt;=Scoring!$B$16,"Immediate",IF(C268&gt;=Scoring!$B$17,"This week",IF(C268&gt;=Scoring!$B$18,"Nurture","Low"))))</f>
        <v>This week</v>
      </c>
      <c r="C268" s="3" t="n">
        <f aca="false">SUM(AC268:AH268)</f>
        <v>56</v>
      </c>
      <c r="D268" s="15" t="str">
        <f aca="false">IF(T268="Y","Superseded record",IF(AND(U268&lt;&gt;"",AA268&lt;0),"Expired (verified)",IF(AND(U268&lt;&gt;"",AA268&lt;=Scoring!$B$5),"Expiring: notice window (verified)",IF(AND(U268&lt;&gt;"",AA268&lt;=Scoring!$B$6),"Expiring: 10-yr horizon (verified)",IF(M268="No Longer Monitored","Out of program",IF(N268="","Unknown vintage",IF(N268&lt;Scoring!$B$12,"Pre-1990, still listed",IF(AND(U268="",AA268&lt;0),"Past 30-yr mark (verify)",IF(AND(U268="",AA268&lt;=Scoring!$B$5),"30-yr mark: notice window (est.)",IF(AND(O268&gt;=Scoring!$B$7,O268&lt;=Scoring!$B$8),"Year-15 window",IF(O268&gt;=Scoring!$B$9,"Recap window",IF(O268&gt;=11,"Late compliance","Credit period"))))))))))))</f>
        <v>Year-15 window</v>
      </c>
      <c r="E268" s="15" t="s">
        <v>1077</v>
      </c>
      <c r="F268" s="15" t="s">
        <v>1078</v>
      </c>
      <c r="G268" s="15" t="s">
        <v>1079</v>
      </c>
      <c r="H268" s="15" t="s">
        <v>751</v>
      </c>
      <c r="I268" s="15"/>
      <c r="J268" s="15" t="n">
        <v>29</v>
      </c>
      <c r="K268" s="15" t="n">
        <v>29</v>
      </c>
      <c r="L268" s="15" t="n">
        <f aca="false">IF(OR(J268="",K268=""),"",MAX(J268-K268,0))</f>
        <v>0</v>
      </c>
      <c r="M268" s="15" t="s">
        <v>99</v>
      </c>
      <c r="N268" s="17" t="n">
        <v>2011</v>
      </c>
      <c r="O268" s="15" t="n">
        <f aca="false">IF(N268="","",Scoring!$B$4-N268)</f>
        <v>15</v>
      </c>
      <c r="P268" s="15" t="n">
        <f aca="false">IF(N268="","",N268+14)</f>
        <v>2025</v>
      </c>
      <c r="Q268" s="15" t="n">
        <f aca="false">IF(N268="","",IF(N268&lt;Scoring!$B$12,"n/a (pre-1990)",N268+Scoring!$B$13))</f>
        <v>2040</v>
      </c>
      <c r="R268" s="15" t="str">
        <f aca="false">IF(J268="","Unknown",IF(J268&gt;=5,"Yes","No (under 5 units)"))</f>
        <v>Yes</v>
      </c>
      <c r="S268" s="15"/>
      <c r="T268" s="18"/>
      <c r="U268" s="19"/>
      <c r="V268" s="18"/>
      <c r="W268" s="18"/>
      <c r="X268" s="20"/>
      <c r="Y268" s="18"/>
      <c r="Z268" s="18"/>
      <c r="AA268" s="21" t="n">
        <f aca="false">IF(U268&lt;&gt;"",(U268-Scoring!$B$3)/365.25,IF(N268="","",IF(N268&lt;Scoring!$B$12,"",(DATE(N268+Scoring!$B$13,12,31)-Scoring!$B$3)/365.25)))</f>
        <v>14.2477754962355</v>
      </c>
      <c r="AB268" s="22" t="n">
        <f aca="false">IF(T268="Y",0,IF(OR(D268="Expired (verified)",D268="Expiring: notice window (verified)",D268="Expiring: 10-yr horizon (verified)",D268="Past 30-yr mark (verify)",D268="30-yr mark: notice window (est.)",D268="Year-15 window"),1,0)+IF(ISNUMBER(O268),IF(O268&gt;=Scoring!$B$10,1,0),0)+IF(AND(ISNUMBER(L268),ISNUMBER(J268)),IF(J268&gt;0,IF(L268/J268&gt;=Scoring!$B$11,1,0),0),0)+IF(ISNUMBER(Z268),MIN(Z268,3),0))</f>
        <v>1</v>
      </c>
      <c r="AC268" s="22" t="n">
        <f aca="false">IF(AB268&gt;=3,Scoring!$C$24,IF(AB268=2,Scoring!$C$23,IF(AB268=1,Scoring!$C$22,0)))</f>
        <v>10</v>
      </c>
      <c r="AD268" s="22" t="n">
        <f aca="false">IF(T268="Y",0,IF(ISNUMBER(X268),IF(X268&gt;0.7,Scoring!$C$25,IF(X268&gt;=0.5,Scoring!$C$26,IF(X268&gt;=0.3,Scoring!$C$27,Scoring!$C$28))),Scoring!$C$29))</f>
        <v>10</v>
      </c>
      <c r="AE268" s="22" t="n">
        <f aca="false">IF(D268="Expiring: notice window (verified)",Scoring!$C$30,IF(OR(D268="Expired (verified)",D268="30-yr mark: notice window (est.)",D268="Year-15 window"),Scoring!$C$31,IF(D268="Expiring: 10-yr horizon (verified)",Scoring!$C$32,IF(D268="Past 30-yr mark (verify)",Scoring!$C$33,IF(OR(D268="Credit period",D268="Superseded record"),Scoring!$C$35,Scoring!$C$34)))))</f>
        <v>14</v>
      </c>
      <c r="AF268" s="22" t="n">
        <f aca="false">IF(T268="Y",0,IF(ISNUMBER(V268),IF(Scoring!$B$4-V268&gt;15,Scoring!$C$36,IF(Scoring!$B$4-V268&gt;=10,Scoring!$C$37,IF(Scoring!$B$4-V268&gt;=5,Scoring!$C$38,Scoring!$C$39))),IF(OR(N268="",D268="Out of program"),Scoring!$C$40,IF(O268&gt;15,Scoring!$C$36,IF(O268&gt;=10,Scoring!$C$37,IF(O268&gt;=5,Scoring!$C$38,Scoring!$C$39))))))</f>
        <v>12</v>
      </c>
      <c r="AG268" s="22" t="n">
        <f aca="false">IF(T268="Y",0,IF(Y268="Y",Scoring!$C$41,IF(ISNUMBER(O268),IF(O268&gt;=25,Scoring!$C$42,IF(O268&gt;=15,Scoring!$C$43,Scoring!$C$44)),Scoring!$C$44)))</f>
        <v>5</v>
      </c>
      <c r="AH268" s="22" t="n">
        <f aca="false">IF(T268="Y",0,IF(W268="",Scoring!$C$49,IFERROR(VLOOKUP(W268,Scoring!$B$45:$C$48,2,FALSE()),Scoring!$C$49)))</f>
        <v>5</v>
      </c>
      <c r="AI268" s="23" t="n">
        <f aca="false">C268+IF(ISNUMBER(J268),J268,0)/100000+(10000-ROW())/1000000000</f>
        <v>56.000299732</v>
      </c>
      <c r="AJ268" s="18"/>
      <c r="AK268" s="18"/>
      <c r="AL268" s="18"/>
      <c r="AM268" s="18"/>
    </row>
    <row r="269" customFormat="false" ht="15" hidden="false" customHeight="false" outlineLevel="0" collapsed="false">
      <c r="A269" s="15" t="n">
        <f aca="false">RANK(AI269,$AI$2:$AI$755)</f>
        <v>268</v>
      </c>
      <c r="B269" s="16" t="str">
        <f aca="false">IF(T269="Y","Superseded",IF(C269&gt;=Scoring!$B$16,"Immediate",IF(C269&gt;=Scoring!$B$17,"This week",IF(C269&gt;=Scoring!$B$18,"Nurture","Low"))))</f>
        <v>This week</v>
      </c>
      <c r="C269" s="3" t="n">
        <f aca="false">SUM(AC269:AH269)</f>
        <v>56</v>
      </c>
      <c r="D269" s="15" t="str">
        <f aca="false">IF(T269="Y","Superseded record",IF(AND(U269&lt;&gt;"",AA269&lt;0),"Expired (verified)",IF(AND(U269&lt;&gt;"",AA269&lt;=Scoring!$B$5),"Expiring: notice window (verified)",IF(AND(U269&lt;&gt;"",AA269&lt;=Scoring!$B$6),"Expiring: 10-yr horizon (verified)",IF(M269="No Longer Monitored","Out of program",IF(N269="","Unknown vintage",IF(N269&lt;Scoring!$B$12,"Pre-1990, still listed",IF(AND(U269="",AA269&lt;0),"Past 30-yr mark (verify)",IF(AND(U269="",AA269&lt;=Scoring!$B$5),"30-yr mark: notice window (est.)",IF(AND(O269&gt;=Scoring!$B$7,O269&lt;=Scoring!$B$8),"Year-15 window",IF(O269&gt;=Scoring!$B$9,"Recap window",IF(O269&gt;=11,"Late compliance","Credit period"))))))))))))</f>
        <v>Year-15 window</v>
      </c>
      <c r="E269" s="15" t="s">
        <v>1080</v>
      </c>
      <c r="F269" s="15" t="s">
        <v>1081</v>
      </c>
      <c r="G269" s="15" t="s">
        <v>1082</v>
      </c>
      <c r="H269" s="15" t="s">
        <v>97</v>
      </c>
      <c r="I269" s="15" t="s">
        <v>863</v>
      </c>
      <c r="J269" s="15" t="n">
        <v>27</v>
      </c>
      <c r="K269" s="15" t="n">
        <v>27</v>
      </c>
      <c r="L269" s="15" t="n">
        <f aca="false">IF(OR(J269="",K269=""),"",MAX(J269-K269,0))</f>
        <v>0</v>
      </c>
      <c r="M269" s="15" t="s">
        <v>99</v>
      </c>
      <c r="N269" s="17" t="n">
        <v>2011</v>
      </c>
      <c r="O269" s="15" t="n">
        <f aca="false">IF(N269="","",Scoring!$B$4-N269)</f>
        <v>15</v>
      </c>
      <c r="P269" s="15" t="n">
        <f aca="false">IF(N269="","",N269+14)</f>
        <v>2025</v>
      </c>
      <c r="Q269" s="15" t="n">
        <f aca="false">IF(N269="","",IF(N269&lt;Scoring!$B$12,"n/a (pre-1990)",N269+Scoring!$B$13))</f>
        <v>2040</v>
      </c>
      <c r="R269" s="15" t="str">
        <f aca="false">IF(J269="","Unknown",IF(J269&gt;=5,"Yes","No (under 5 units)"))</f>
        <v>Yes</v>
      </c>
      <c r="S269" s="15"/>
      <c r="T269" s="18"/>
      <c r="U269" s="19"/>
      <c r="V269" s="18"/>
      <c r="W269" s="18"/>
      <c r="X269" s="20"/>
      <c r="Y269" s="18"/>
      <c r="Z269" s="18"/>
      <c r="AA269" s="21" t="n">
        <f aca="false">IF(U269&lt;&gt;"",(U269-Scoring!$B$3)/365.25,IF(N269="","",IF(N269&lt;Scoring!$B$12,"",(DATE(N269+Scoring!$B$13,12,31)-Scoring!$B$3)/365.25)))</f>
        <v>14.2477754962355</v>
      </c>
      <c r="AB269" s="22" t="n">
        <f aca="false">IF(T269="Y",0,IF(OR(D269="Expired (verified)",D269="Expiring: notice window (verified)",D269="Expiring: 10-yr horizon (verified)",D269="Past 30-yr mark (verify)",D269="30-yr mark: notice window (est.)",D269="Year-15 window"),1,0)+IF(ISNUMBER(O269),IF(O269&gt;=Scoring!$B$10,1,0),0)+IF(AND(ISNUMBER(L269),ISNUMBER(J269)),IF(J269&gt;0,IF(L269/J269&gt;=Scoring!$B$11,1,0),0),0)+IF(ISNUMBER(Z269),MIN(Z269,3),0))</f>
        <v>1</v>
      </c>
      <c r="AC269" s="22" t="n">
        <f aca="false">IF(AB269&gt;=3,Scoring!$C$24,IF(AB269=2,Scoring!$C$23,IF(AB269=1,Scoring!$C$22,0)))</f>
        <v>10</v>
      </c>
      <c r="AD269" s="22" t="n">
        <f aca="false">IF(T269="Y",0,IF(ISNUMBER(X269),IF(X269&gt;0.7,Scoring!$C$25,IF(X269&gt;=0.5,Scoring!$C$26,IF(X269&gt;=0.3,Scoring!$C$27,Scoring!$C$28))),Scoring!$C$29))</f>
        <v>10</v>
      </c>
      <c r="AE269" s="22" t="n">
        <f aca="false">IF(D269="Expiring: notice window (verified)",Scoring!$C$30,IF(OR(D269="Expired (verified)",D269="30-yr mark: notice window (est.)",D269="Year-15 window"),Scoring!$C$31,IF(D269="Expiring: 10-yr horizon (verified)",Scoring!$C$32,IF(D269="Past 30-yr mark (verify)",Scoring!$C$33,IF(OR(D269="Credit period",D269="Superseded record"),Scoring!$C$35,Scoring!$C$34)))))</f>
        <v>14</v>
      </c>
      <c r="AF269" s="22" t="n">
        <f aca="false">IF(T269="Y",0,IF(ISNUMBER(V269),IF(Scoring!$B$4-V269&gt;15,Scoring!$C$36,IF(Scoring!$B$4-V269&gt;=10,Scoring!$C$37,IF(Scoring!$B$4-V269&gt;=5,Scoring!$C$38,Scoring!$C$39))),IF(OR(N269="",D269="Out of program"),Scoring!$C$40,IF(O269&gt;15,Scoring!$C$36,IF(O269&gt;=10,Scoring!$C$37,IF(O269&gt;=5,Scoring!$C$38,Scoring!$C$39))))))</f>
        <v>12</v>
      </c>
      <c r="AG269" s="22" t="n">
        <f aca="false">IF(T269="Y",0,IF(Y269="Y",Scoring!$C$41,IF(ISNUMBER(O269),IF(O269&gt;=25,Scoring!$C$42,IF(O269&gt;=15,Scoring!$C$43,Scoring!$C$44)),Scoring!$C$44)))</f>
        <v>5</v>
      </c>
      <c r="AH269" s="22" t="n">
        <f aca="false">IF(T269="Y",0,IF(W269="",Scoring!$C$49,IFERROR(VLOOKUP(W269,Scoring!$B$45:$C$48,2,FALSE()),Scoring!$C$49)))</f>
        <v>5</v>
      </c>
      <c r="AI269" s="23" t="n">
        <f aca="false">C269+IF(ISNUMBER(J269),J269,0)/100000+(10000-ROW())/1000000000</f>
        <v>56.000279731</v>
      </c>
      <c r="AJ269" s="18"/>
      <c r="AK269" s="18"/>
      <c r="AL269" s="18"/>
      <c r="AM269" s="18"/>
    </row>
    <row r="270" customFormat="false" ht="15" hidden="false" customHeight="false" outlineLevel="0" collapsed="false">
      <c r="A270" s="15" t="n">
        <f aca="false">RANK(AI270,$AI$2:$AI$755)</f>
        <v>269</v>
      </c>
      <c r="B270" s="16" t="str">
        <f aca="false">IF(T270="Y","Superseded",IF(C270&gt;=Scoring!$B$16,"Immediate",IF(C270&gt;=Scoring!$B$17,"This week",IF(C270&gt;=Scoring!$B$18,"Nurture","Low"))))</f>
        <v>This week</v>
      </c>
      <c r="C270" s="3" t="n">
        <f aca="false">SUM(AC270:AH270)</f>
        <v>56</v>
      </c>
      <c r="D270" s="15" t="str">
        <f aca="false">IF(T270="Y","Superseded record",IF(AND(U270&lt;&gt;"",AA270&lt;0),"Expired (verified)",IF(AND(U270&lt;&gt;"",AA270&lt;=Scoring!$B$5),"Expiring: notice window (verified)",IF(AND(U270&lt;&gt;"",AA270&lt;=Scoring!$B$6),"Expiring: 10-yr horizon (verified)",IF(M270="No Longer Monitored","Out of program",IF(N270="","Unknown vintage",IF(N270&lt;Scoring!$B$12,"Pre-1990, still listed",IF(AND(U270="",AA270&lt;0),"Past 30-yr mark (verify)",IF(AND(U270="",AA270&lt;=Scoring!$B$5),"30-yr mark: notice window (est.)",IF(AND(O270&gt;=Scoring!$B$7,O270&lt;=Scoring!$B$8),"Year-15 window",IF(O270&gt;=Scoring!$B$9,"Recap window",IF(O270&gt;=11,"Late compliance","Credit period"))))))))))))</f>
        <v>Year-15 window</v>
      </c>
      <c r="E270" s="15" t="s">
        <v>1083</v>
      </c>
      <c r="F270" s="15" t="s">
        <v>1084</v>
      </c>
      <c r="G270" s="15" t="s">
        <v>1085</v>
      </c>
      <c r="H270" s="15" t="s">
        <v>240</v>
      </c>
      <c r="I270" s="15" t="s">
        <v>241</v>
      </c>
      <c r="J270" s="15" t="n">
        <v>1</v>
      </c>
      <c r="K270" s="15" t="n">
        <v>36</v>
      </c>
      <c r="L270" s="15" t="n">
        <f aca="false">IF(OR(J270="",K270=""),"",MAX(J270-K270,0))</f>
        <v>0</v>
      </c>
      <c r="M270" s="15" t="s">
        <v>99</v>
      </c>
      <c r="N270" s="17" t="n">
        <v>2011</v>
      </c>
      <c r="O270" s="15" t="n">
        <f aca="false">IF(N270="","",Scoring!$B$4-N270)</f>
        <v>15</v>
      </c>
      <c r="P270" s="15" t="n">
        <f aca="false">IF(N270="","",N270+14)</f>
        <v>2025</v>
      </c>
      <c r="Q270" s="15" t="n">
        <f aca="false">IF(N270="","",IF(N270&lt;Scoring!$B$12,"n/a (pre-1990)",N270+Scoring!$B$13))</f>
        <v>2040</v>
      </c>
      <c r="R270" s="15" t="str">
        <f aca="false">IF(J270="","Unknown",IF(J270&gt;=5,"Yes","No (under 5 units)"))</f>
        <v>No (under 5 units)</v>
      </c>
      <c r="S270" s="15" t="s">
        <v>1086</v>
      </c>
      <c r="T270" s="18"/>
      <c r="U270" s="19"/>
      <c r="V270" s="18"/>
      <c r="W270" s="18"/>
      <c r="X270" s="20"/>
      <c r="Y270" s="18"/>
      <c r="Z270" s="18"/>
      <c r="AA270" s="21" t="n">
        <f aca="false">IF(U270&lt;&gt;"",(U270-Scoring!$B$3)/365.25,IF(N270="","",IF(N270&lt;Scoring!$B$12,"",(DATE(N270+Scoring!$B$13,12,31)-Scoring!$B$3)/365.25)))</f>
        <v>14.2477754962355</v>
      </c>
      <c r="AB270" s="22" t="n">
        <f aca="false">IF(T270="Y",0,IF(OR(D270="Expired (verified)",D270="Expiring: notice window (verified)",D270="Expiring: 10-yr horizon (verified)",D270="Past 30-yr mark (verify)",D270="30-yr mark: notice window (est.)",D270="Year-15 window"),1,0)+IF(ISNUMBER(O270),IF(O270&gt;=Scoring!$B$10,1,0),0)+IF(AND(ISNUMBER(L270),ISNUMBER(J270)),IF(J270&gt;0,IF(L270/J270&gt;=Scoring!$B$11,1,0),0),0)+IF(ISNUMBER(Z270),MIN(Z270,3),0))</f>
        <v>1</v>
      </c>
      <c r="AC270" s="22" t="n">
        <f aca="false">IF(AB270&gt;=3,Scoring!$C$24,IF(AB270=2,Scoring!$C$23,IF(AB270=1,Scoring!$C$22,0)))</f>
        <v>10</v>
      </c>
      <c r="AD270" s="22" t="n">
        <f aca="false">IF(T270="Y",0,IF(ISNUMBER(X270),IF(X270&gt;0.7,Scoring!$C$25,IF(X270&gt;=0.5,Scoring!$C$26,IF(X270&gt;=0.3,Scoring!$C$27,Scoring!$C$28))),Scoring!$C$29))</f>
        <v>10</v>
      </c>
      <c r="AE270" s="22" t="n">
        <f aca="false">IF(D270="Expiring: notice window (verified)",Scoring!$C$30,IF(OR(D270="Expired (verified)",D270="30-yr mark: notice window (est.)",D270="Year-15 window"),Scoring!$C$31,IF(D270="Expiring: 10-yr horizon (verified)",Scoring!$C$32,IF(D270="Past 30-yr mark (verify)",Scoring!$C$33,IF(OR(D270="Credit period",D270="Superseded record"),Scoring!$C$35,Scoring!$C$34)))))</f>
        <v>14</v>
      </c>
      <c r="AF270" s="22" t="n">
        <f aca="false">IF(T270="Y",0,IF(ISNUMBER(V270),IF(Scoring!$B$4-V270&gt;15,Scoring!$C$36,IF(Scoring!$B$4-V270&gt;=10,Scoring!$C$37,IF(Scoring!$B$4-V270&gt;=5,Scoring!$C$38,Scoring!$C$39))),IF(OR(N270="",D270="Out of program"),Scoring!$C$40,IF(O270&gt;15,Scoring!$C$36,IF(O270&gt;=10,Scoring!$C$37,IF(O270&gt;=5,Scoring!$C$38,Scoring!$C$39))))))</f>
        <v>12</v>
      </c>
      <c r="AG270" s="22" t="n">
        <f aca="false">IF(T270="Y",0,IF(Y270="Y",Scoring!$C$41,IF(ISNUMBER(O270),IF(O270&gt;=25,Scoring!$C$42,IF(O270&gt;=15,Scoring!$C$43,Scoring!$C$44)),Scoring!$C$44)))</f>
        <v>5</v>
      </c>
      <c r="AH270" s="22" t="n">
        <f aca="false">IF(T270="Y",0,IF(W270="",Scoring!$C$49,IFERROR(VLOOKUP(W270,Scoring!$B$45:$C$48,2,FALSE()),Scoring!$C$49)))</f>
        <v>5</v>
      </c>
      <c r="AI270" s="23" t="n">
        <f aca="false">C270+IF(ISNUMBER(J270),J270,0)/100000+(10000-ROW())/1000000000</f>
        <v>56.00001973</v>
      </c>
      <c r="AJ270" s="18"/>
      <c r="AK270" s="18"/>
      <c r="AL270" s="18"/>
      <c r="AM270" s="18"/>
    </row>
    <row r="271" customFormat="false" ht="15" hidden="false" customHeight="false" outlineLevel="0" collapsed="false">
      <c r="A271" s="15" t="n">
        <f aca="false">RANK(AI271,$AI$2:$AI$755)</f>
        <v>270</v>
      </c>
      <c r="B271" s="16" t="str">
        <f aca="false">IF(T271="Y","Superseded",IF(C271&gt;=Scoring!$B$16,"Immediate",IF(C271&gt;=Scoring!$B$17,"This week",IF(C271&gt;=Scoring!$B$18,"Nurture","Low"))))</f>
        <v>This week</v>
      </c>
      <c r="C271" s="3" t="n">
        <f aca="false">SUM(AC271:AH271)</f>
        <v>53</v>
      </c>
      <c r="D271" s="15" t="str">
        <f aca="false">IF(T271="Y","Superseded record",IF(AND(U271&lt;&gt;"",AA271&lt;0),"Expired (verified)",IF(AND(U271&lt;&gt;"",AA271&lt;=Scoring!$B$5),"Expiring: notice window (verified)",IF(AND(U271&lt;&gt;"",AA271&lt;=Scoring!$B$6),"Expiring: 10-yr horizon (verified)",IF(M271="No Longer Monitored","Out of program",IF(N271="","Unknown vintage",IF(N271&lt;Scoring!$B$12,"Pre-1990, still listed",IF(AND(U271="",AA271&lt;0),"Past 30-yr mark (verify)",IF(AND(U271="",AA271&lt;=Scoring!$B$5),"30-yr mark: notice window (est.)",IF(AND(O271&gt;=Scoring!$B$7,O271&lt;=Scoring!$B$8),"Year-15 window",IF(O271&gt;=Scoring!$B$9,"Recap window",IF(O271&gt;=11,"Late compliance","Credit period"))))))))))))</f>
        <v>Year-15 window</v>
      </c>
      <c r="E271" s="15" t="s">
        <v>1087</v>
      </c>
      <c r="F271" s="15" t="s">
        <v>1088</v>
      </c>
      <c r="G271" s="15" t="s">
        <v>1089</v>
      </c>
      <c r="H271" s="15" t="s">
        <v>97</v>
      </c>
      <c r="I271" s="15" t="s">
        <v>1090</v>
      </c>
      <c r="J271" s="15" t="n">
        <v>209</v>
      </c>
      <c r="K271" s="15" t="n">
        <v>209</v>
      </c>
      <c r="L271" s="15" t="n">
        <f aca="false">IF(OR(J271="",K271=""),"",MAX(J271-K271,0))</f>
        <v>0</v>
      </c>
      <c r="M271" s="15" t="s">
        <v>99</v>
      </c>
      <c r="N271" s="17" t="n">
        <v>2012</v>
      </c>
      <c r="O271" s="15" t="n">
        <f aca="false">IF(N271="","",Scoring!$B$4-N271)</f>
        <v>14</v>
      </c>
      <c r="P271" s="15" t="n">
        <f aca="false">IF(N271="","",N271+14)</f>
        <v>2026</v>
      </c>
      <c r="Q271" s="15" t="n">
        <f aca="false">IF(N271="","",IF(N271&lt;Scoring!$B$12,"n/a (pre-1990)",N271+Scoring!$B$13))</f>
        <v>2041</v>
      </c>
      <c r="R271" s="15" t="str">
        <f aca="false">IF(J271="","Unknown",IF(J271&gt;=5,"Yes","No (under 5 units)"))</f>
        <v>Yes</v>
      </c>
      <c r="S271" s="15"/>
      <c r="T271" s="18"/>
      <c r="U271" s="19"/>
      <c r="V271" s="18"/>
      <c r="W271" s="18"/>
      <c r="X271" s="20"/>
      <c r="Y271" s="18"/>
      <c r="Z271" s="18"/>
      <c r="AA271" s="21" t="n">
        <f aca="false">IF(U271&lt;&gt;"",(U271-Scoring!$B$3)/365.25,IF(N271="","",IF(N271&lt;Scoring!$B$12,"",(DATE(N271+Scoring!$B$13,12,31)-Scoring!$B$3)/365.25)))</f>
        <v>15.2470910335387</v>
      </c>
      <c r="AB271" s="22" t="n">
        <f aca="false">IF(T271="Y",0,IF(OR(D271="Expired (verified)",D271="Expiring: notice window (verified)",D271="Expiring: 10-yr horizon (verified)",D271="Past 30-yr mark (verify)",D271="30-yr mark: notice window (est.)",D271="Year-15 window"),1,0)+IF(ISNUMBER(O271),IF(O271&gt;=Scoring!$B$10,1,0),0)+IF(AND(ISNUMBER(L271),ISNUMBER(J271)),IF(J271&gt;0,IF(L271/J271&gt;=Scoring!$B$11,1,0),0),0)+IF(ISNUMBER(Z271),MIN(Z271,3),0))</f>
        <v>1</v>
      </c>
      <c r="AC271" s="22" t="n">
        <f aca="false">IF(AB271&gt;=3,Scoring!$C$24,IF(AB271=2,Scoring!$C$23,IF(AB271=1,Scoring!$C$22,0)))</f>
        <v>10</v>
      </c>
      <c r="AD271" s="22" t="n">
        <f aca="false">IF(T271="Y",0,IF(ISNUMBER(X271),IF(X271&gt;0.7,Scoring!$C$25,IF(X271&gt;=0.5,Scoring!$C$26,IF(X271&gt;=0.3,Scoring!$C$27,Scoring!$C$28))),Scoring!$C$29))</f>
        <v>10</v>
      </c>
      <c r="AE271" s="22" t="n">
        <f aca="false">IF(D271="Expiring: notice window (verified)",Scoring!$C$30,IF(OR(D271="Expired (verified)",D271="30-yr mark: notice window (est.)",D271="Year-15 window"),Scoring!$C$31,IF(D271="Expiring: 10-yr horizon (verified)",Scoring!$C$32,IF(D271="Past 30-yr mark (verify)",Scoring!$C$33,IF(OR(D271="Credit period",D271="Superseded record"),Scoring!$C$35,Scoring!$C$34)))))</f>
        <v>14</v>
      </c>
      <c r="AF271" s="22" t="n">
        <f aca="false">IF(T271="Y",0,IF(ISNUMBER(V271),IF(Scoring!$B$4-V271&gt;15,Scoring!$C$36,IF(Scoring!$B$4-V271&gt;=10,Scoring!$C$37,IF(Scoring!$B$4-V271&gt;=5,Scoring!$C$38,Scoring!$C$39))),IF(OR(N271="",D271="Out of program"),Scoring!$C$40,IF(O271&gt;15,Scoring!$C$36,IF(O271&gt;=10,Scoring!$C$37,IF(O271&gt;=5,Scoring!$C$38,Scoring!$C$39))))))</f>
        <v>12</v>
      </c>
      <c r="AG271" s="22" t="n">
        <f aca="false">IF(T271="Y",0,IF(Y271="Y",Scoring!$C$41,IF(ISNUMBER(O271),IF(O271&gt;=25,Scoring!$C$42,IF(O271&gt;=15,Scoring!$C$43,Scoring!$C$44)),Scoring!$C$44)))</f>
        <v>2</v>
      </c>
      <c r="AH271" s="22" t="n">
        <f aca="false">IF(T271="Y",0,IF(W271="",Scoring!$C$49,IFERROR(VLOOKUP(W271,Scoring!$B$45:$C$48,2,FALSE()),Scoring!$C$49)))</f>
        <v>5</v>
      </c>
      <c r="AI271" s="23" t="n">
        <f aca="false">C271+IF(ISNUMBER(J271),J271,0)/100000+(10000-ROW())/1000000000</f>
        <v>53.002099729</v>
      </c>
      <c r="AJ271" s="18"/>
      <c r="AK271" s="18"/>
      <c r="AL271" s="18"/>
      <c r="AM271" s="18"/>
    </row>
    <row r="272" customFormat="false" ht="15" hidden="false" customHeight="false" outlineLevel="0" collapsed="false">
      <c r="A272" s="15" t="n">
        <f aca="false">RANK(AI272,$AI$2:$AI$755)</f>
        <v>271</v>
      </c>
      <c r="B272" s="16" t="str">
        <f aca="false">IF(T272="Y","Superseded",IF(C272&gt;=Scoring!$B$16,"Immediate",IF(C272&gt;=Scoring!$B$17,"This week",IF(C272&gt;=Scoring!$B$18,"Nurture","Low"))))</f>
        <v>This week</v>
      </c>
      <c r="C272" s="3" t="n">
        <f aca="false">SUM(AC272:AH272)</f>
        <v>53</v>
      </c>
      <c r="D272" s="15" t="str">
        <f aca="false">IF(T272="Y","Superseded record",IF(AND(U272&lt;&gt;"",AA272&lt;0),"Expired (verified)",IF(AND(U272&lt;&gt;"",AA272&lt;=Scoring!$B$5),"Expiring: notice window (verified)",IF(AND(U272&lt;&gt;"",AA272&lt;=Scoring!$B$6),"Expiring: 10-yr horizon (verified)",IF(M272="No Longer Monitored","Out of program",IF(N272="","Unknown vintage",IF(N272&lt;Scoring!$B$12,"Pre-1990, still listed",IF(AND(U272="",AA272&lt;0),"Past 30-yr mark (verify)",IF(AND(U272="",AA272&lt;=Scoring!$B$5),"30-yr mark: notice window (est.)",IF(AND(O272&gt;=Scoring!$B$7,O272&lt;=Scoring!$B$8),"Year-15 window",IF(O272&gt;=Scoring!$B$9,"Recap window",IF(O272&gt;=11,"Late compliance","Credit period"))))))))))))</f>
        <v>Year-15 window</v>
      </c>
      <c r="E272" s="15" t="s">
        <v>1091</v>
      </c>
      <c r="F272" s="15" t="s">
        <v>1092</v>
      </c>
      <c r="G272" s="15" t="s">
        <v>1093</v>
      </c>
      <c r="H272" s="15" t="s">
        <v>97</v>
      </c>
      <c r="I272" s="15" t="s">
        <v>195</v>
      </c>
      <c r="J272" s="15" t="n">
        <v>162</v>
      </c>
      <c r="K272" s="15" t="n">
        <v>162</v>
      </c>
      <c r="L272" s="15" t="n">
        <f aca="false">IF(OR(J272="",K272=""),"",MAX(J272-K272,0))</f>
        <v>0</v>
      </c>
      <c r="M272" s="15" t="s">
        <v>99</v>
      </c>
      <c r="N272" s="17" t="n">
        <v>2013</v>
      </c>
      <c r="O272" s="15" t="n">
        <f aca="false">IF(N272="","",Scoring!$B$4-N272)</f>
        <v>13</v>
      </c>
      <c r="P272" s="15" t="n">
        <f aca="false">IF(N272="","",N272+14)</f>
        <v>2027</v>
      </c>
      <c r="Q272" s="15" t="n">
        <f aca="false">IF(N272="","",IF(N272&lt;Scoring!$B$12,"n/a (pre-1990)",N272+Scoring!$B$13))</f>
        <v>2042</v>
      </c>
      <c r="R272" s="15" t="str">
        <f aca="false">IF(J272="","Unknown",IF(J272&gt;=5,"Yes","No (under 5 units)"))</f>
        <v>Yes</v>
      </c>
      <c r="S272" s="15"/>
      <c r="T272" s="18"/>
      <c r="U272" s="19"/>
      <c r="V272" s="18"/>
      <c r="W272" s="18"/>
      <c r="X272" s="20"/>
      <c r="Y272" s="18"/>
      <c r="Z272" s="18"/>
      <c r="AA272" s="21" t="n">
        <f aca="false">IF(U272&lt;&gt;"",(U272-Scoring!$B$3)/365.25,IF(N272="","",IF(N272&lt;Scoring!$B$12,"",(DATE(N272+Scoring!$B$13,12,31)-Scoring!$B$3)/365.25)))</f>
        <v>16.2464065708419</v>
      </c>
      <c r="AB272" s="22" t="n">
        <f aca="false">IF(T272="Y",0,IF(OR(D272="Expired (verified)",D272="Expiring: notice window (verified)",D272="Expiring: 10-yr horizon (verified)",D272="Past 30-yr mark (verify)",D272="30-yr mark: notice window (est.)",D272="Year-15 window"),1,0)+IF(ISNUMBER(O272),IF(O272&gt;=Scoring!$B$10,1,0),0)+IF(AND(ISNUMBER(L272),ISNUMBER(J272)),IF(J272&gt;0,IF(L272/J272&gt;=Scoring!$B$11,1,0),0),0)+IF(ISNUMBER(Z272),MIN(Z272,3),0))</f>
        <v>1</v>
      </c>
      <c r="AC272" s="22" t="n">
        <f aca="false">IF(AB272&gt;=3,Scoring!$C$24,IF(AB272=2,Scoring!$C$23,IF(AB272=1,Scoring!$C$22,0)))</f>
        <v>10</v>
      </c>
      <c r="AD272" s="22" t="n">
        <f aca="false">IF(T272="Y",0,IF(ISNUMBER(X272),IF(X272&gt;0.7,Scoring!$C$25,IF(X272&gt;=0.5,Scoring!$C$26,IF(X272&gt;=0.3,Scoring!$C$27,Scoring!$C$28))),Scoring!$C$29))</f>
        <v>10</v>
      </c>
      <c r="AE272" s="22" t="n">
        <f aca="false">IF(D272="Expiring: notice window (verified)",Scoring!$C$30,IF(OR(D272="Expired (verified)",D272="30-yr mark: notice window (est.)",D272="Year-15 window"),Scoring!$C$31,IF(D272="Expiring: 10-yr horizon (verified)",Scoring!$C$32,IF(D272="Past 30-yr mark (verify)",Scoring!$C$33,IF(OR(D272="Credit period",D272="Superseded record"),Scoring!$C$35,Scoring!$C$34)))))</f>
        <v>14</v>
      </c>
      <c r="AF272" s="22" t="n">
        <f aca="false">IF(T272="Y",0,IF(ISNUMBER(V272),IF(Scoring!$B$4-V272&gt;15,Scoring!$C$36,IF(Scoring!$B$4-V272&gt;=10,Scoring!$C$37,IF(Scoring!$B$4-V272&gt;=5,Scoring!$C$38,Scoring!$C$39))),IF(OR(N272="",D272="Out of program"),Scoring!$C$40,IF(O272&gt;15,Scoring!$C$36,IF(O272&gt;=10,Scoring!$C$37,IF(O272&gt;=5,Scoring!$C$38,Scoring!$C$39))))))</f>
        <v>12</v>
      </c>
      <c r="AG272" s="22" t="n">
        <f aca="false">IF(T272="Y",0,IF(Y272="Y",Scoring!$C$41,IF(ISNUMBER(O272),IF(O272&gt;=25,Scoring!$C$42,IF(O272&gt;=15,Scoring!$C$43,Scoring!$C$44)),Scoring!$C$44)))</f>
        <v>2</v>
      </c>
      <c r="AH272" s="22" t="n">
        <f aca="false">IF(T272="Y",0,IF(W272="",Scoring!$C$49,IFERROR(VLOOKUP(W272,Scoring!$B$45:$C$48,2,FALSE()),Scoring!$C$49)))</f>
        <v>5</v>
      </c>
      <c r="AI272" s="23" t="n">
        <f aca="false">C272+IF(ISNUMBER(J272),J272,0)/100000+(10000-ROW())/1000000000</f>
        <v>53.001629728</v>
      </c>
      <c r="AJ272" s="18"/>
      <c r="AK272" s="18"/>
      <c r="AL272" s="18"/>
      <c r="AM272" s="18"/>
    </row>
    <row r="273" customFormat="false" ht="15" hidden="false" customHeight="false" outlineLevel="0" collapsed="false">
      <c r="A273" s="15" t="n">
        <f aca="false">RANK(AI273,$AI$2:$AI$755)</f>
        <v>272</v>
      </c>
      <c r="B273" s="16" t="str">
        <f aca="false">IF(T273="Y","Superseded",IF(C273&gt;=Scoring!$B$16,"Immediate",IF(C273&gt;=Scoring!$B$17,"This week",IF(C273&gt;=Scoring!$B$18,"Nurture","Low"))))</f>
        <v>This week</v>
      </c>
      <c r="C273" s="3" t="n">
        <f aca="false">SUM(AC273:AH273)</f>
        <v>53</v>
      </c>
      <c r="D273" s="15" t="str">
        <f aca="false">IF(T273="Y","Superseded record",IF(AND(U273&lt;&gt;"",AA273&lt;0),"Expired (verified)",IF(AND(U273&lt;&gt;"",AA273&lt;=Scoring!$B$5),"Expiring: notice window (verified)",IF(AND(U273&lt;&gt;"",AA273&lt;=Scoring!$B$6),"Expiring: 10-yr horizon (verified)",IF(M273="No Longer Monitored","Out of program",IF(N273="","Unknown vintage",IF(N273&lt;Scoring!$B$12,"Pre-1990, still listed",IF(AND(U273="",AA273&lt;0),"Past 30-yr mark (verify)",IF(AND(U273="",AA273&lt;=Scoring!$B$5),"30-yr mark: notice window (est.)",IF(AND(O273&gt;=Scoring!$B$7,O273&lt;=Scoring!$B$8),"Year-15 window",IF(O273&gt;=Scoring!$B$9,"Recap window",IF(O273&gt;=11,"Late compliance","Credit period"))))))))))))</f>
        <v>Year-15 window</v>
      </c>
      <c r="E273" s="15" t="s">
        <v>1094</v>
      </c>
      <c r="F273" s="15" t="s">
        <v>1095</v>
      </c>
      <c r="G273" s="15" t="s">
        <v>1096</v>
      </c>
      <c r="H273" s="15" t="s">
        <v>635</v>
      </c>
      <c r="I273" s="15" t="s">
        <v>636</v>
      </c>
      <c r="J273" s="15" t="n">
        <v>94</v>
      </c>
      <c r="K273" s="15" t="n">
        <v>93</v>
      </c>
      <c r="L273" s="15" t="n">
        <f aca="false">IF(OR(J273="",K273=""),"",MAX(J273-K273,0))</f>
        <v>1</v>
      </c>
      <c r="M273" s="15" t="s">
        <v>99</v>
      </c>
      <c r="N273" s="17" t="n">
        <v>2013</v>
      </c>
      <c r="O273" s="15" t="n">
        <f aca="false">IF(N273="","",Scoring!$B$4-N273)</f>
        <v>13</v>
      </c>
      <c r="P273" s="15" t="n">
        <f aca="false">IF(N273="","",N273+14)</f>
        <v>2027</v>
      </c>
      <c r="Q273" s="15" t="n">
        <f aca="false">IF(N273="","",IF(N273&lt;Scoring!$B$12,"n/a (pre-1990)",N273+Scoring!$B$13))</f>
        <v>2042</v>
      </c>
      <c r="R273" s="15" t="str">
        <f aca="false">IF(J273="","Unknown",IF(J273&gt;=5,"Yes","No (under 5 units)"))</f>
        <v>Yes</v>
      </c>
      <c r="S273" s="15" t="s">
        <v>1097</v>
      </c>
      <c r="T273" s="18"/>
      <c r="U273" s="19"/>
      <c r="V273" s="18"/>
      <c r="W273" s="18"/>
      <c r="X273" s="20"/>
      <c r="Y273" s="18"/>
      <c r="Z273" s="18"/>
      <c r="AA273" s="21" t="n">
        <f aca="false">IF(U273&lt;&gt;"",(U273-Scoring!$B$3)/365.25,IF(N273="","",IF(N273&lt;Scoring!$B$12,"",(DATE(N273+Scoring!$B$13,12,31)-Scoring!$B$3)/365.25)))</f>
        <v>16.2464065708419</v>
      </c>
      <c r="AB273" s="22" t="n">
        <f aca="false">IF(T273="Y",0,IF(OR(D273="Expired (verified)",D273="Expiring: notice window (verified)",D273="Expiring: 10-yr horizon (verified)",D273="Past 30-yr mark (verify)",D273="30-yr mark: notice window (est.)",D273="Year-15 window"),1,0)+IF(ISNUMBER(O273),IF(O273&gt;=Scoring!$B$10,1,0),0)+IF(AND(ISNUMBER(L273),ISNUMBER(J273)),IF(J273&gt;0,IF(L273/J273&gt;=Scoring!$B$11,1,0),0),0)+IF(ISNUMBER(Z273),MIN(Z273,3),0))</f>
        <v>1</v>
      </c>
      <c r="AC273" s="22" t="n">
        <f aca="false">IF(AB273&gt;=3,Scoring!$C$24,IF(AB273=2,Scoring!$C$23,IF(AB273=1,Scoring!$C$22,0)))</f>
        <v>10</v>
      </c>
      <c r="AD273" s="22" t="n">
        <f aca="false">IF(T273="Y",0,IF(ISNUMBER(X273),IF(X273&gt;0.7,Scoring!$C$25,IF(X273&gt;=0.5,Scoring!$C$26,IF(X273&gt;=0.3,Scoring!$C$27,Scoring!$C$28))),Scoring!$C$29))</f>
        <v>10</v>
      </c>
      <c r="AE273" s="22" t="n">
        <f aca="false">IF(D273="Expiring: notice window (verified)",Scoring!$C$30,IF(OR(D273="Expired (verified)",D273="30-yr mark: notice window (est.)",D273="Year-15 window"),Scoring!$C$31,IF(D273="Expiring: 10-yr horizon (verified)",Scoring!$C$32,IF(D273="Past 30-yr mark (verify)",Scoring!$C$33,IF(OR(D273="Credit period",D273="Superseded record"),Scoring!$C$35,Scoring!$C$34)))))</f>
        <v>14</v>
      </c>
      <c r="AF273" s="22" t="n">
        <f aca="false">IF(T273="Y",0,IF(ISNUMBER(V273),IF(Scoring!$B$4-V273&gt;15,Scoring!$C$36,IF(Scoring!$B$4-V273&gt;=10,Scoring!$C$37,IF(Scoring!$B$4-V273&gt;=5,Scoring!$C$38,Scoring!$C$39))),IF(OR(N273="",D273="Out of program"),Scoring!$C$40,IF(O273&gt;15,Scoring!$C$36,IF(O273&gt;=10,Scoring!$C$37,IF(O273&gt;=5,Scoring!$C$38,Scoring!$C$39))))))</f>
        <v>12</v>
      </c>
      <c r="AG273" s="22" t="n">
        <f aca="false">IF(T273="Y",0,IF(Y273="Y",Scoring!$C$41,IF(ISNUMBER(O273),IF(O273&gt;=25,Scoring!$C$42,IF(O273&gt;=15,Scoring!$C$43,Scoring!$C$44)),Scoring!$C$44)))</f>
        <v>2</v>
      </c>
      <c r="AH273" s="22" t="n">
        <f aca="false">IF(T273="Y",0,IF(W273="",Scoring!$C$49,IFERROR(VLOOKUP(W273,Scoring!$B$45:$C$48,2,FALSE()),Scoring!$C$49)))</f>
        <v>5</v>
      </c>
      <c r="AI273" s="23" t="n">
        <f aca="false">C273+IF(ISNUMBER(J273),J273,0)/100000+(10000-ROW())/1000000000</f>
        <v>53.000949727</v>
      </c>
      <c r="AJ273" s="18"/>
      <c r="AK273" s="18"/>
      <c r="AL273" s="18"/>
      <c r="AM273" s="18"/>
    </row>
    <row r="274" customFormat="false" ht="15" hidden="false" customHeight="false" outlineLevel="0" collapsed="false">
      <c r="A274" s="15" t="n">
        <f aca="false">RANK(AI274,$AI$2:$AI$755)</f>
        <v>273</v>
      </c>
      <c r="B274" s="16" t="str">
        <f aca="false">IF(T274="Y","Superseded",IF(C274&gt;=Scoring!$B$16,"Immediate",IF(C274&gt;=Scoring!$B$17,"This week",IF(C274&gt;=Scoring!$B$18,"Nurture","Low"))))</f>
        <v>This week</v>
      </c>
      <c r="C274" s="3" t="n">
        <f aca="false">SUM(AC274:AH274)</f>
        <v>53</v>
      </c>
      <c r="D274" s="15" t="str">
        <f aca="false">IF(T274="Y","Superseded record",IF(AND(U274&lt;&gt;"",AA274&lt;0),"Expired (verified)",IF(AND(U274&lt;&gt;"",AA274&lt;=Scoring!$B$5),"Expiring: notice window (verified)",IF(AND(U274&lt;&gt;"",AA274&lt;=Scoring!$B$6),"Expiring: 10-yr horizon (verified)",IF(M274="No Longer Monitored","Out of program",IF(N274="","Unknown vintage",IF(N274&lt;Scoring!$B$12,"Pre-1990, still listed",IF(AND(U274="",AA274&lt;0),"Past 30-yr mark (verify)",IF(AND(U274="",AA274&lt;=Scoring!$B$5),"30-yr mark: notice window (est.)",IF(AND(O274&gt;=Scoring!$B$7,O274&lt;=Scoring!$B$8),"Year-15 window",IF(O274&gt;=Scoring!$B$9,"Recap window",IF(O274&gt;=11,"Late compliance","Credit period"))))))))))))</f>
        <v>Year-15 window</v>
      </c>
      <c r="E274" s="15" t="s">
        <v>1098</v>
      </c>
      <c r="F274" s="15" t="s">
        <v>1099</v>
      </c>
      <c r="G274" s="15" t="s">
        <v>1100</v>
      </c>
      <c r="H274" s="15" t="s">
        <v>97</v>
      </c>
      <c r="I274" s="15" t="s">
        <v>195</v>
      </c>
      <c r="J274" s="15" t="n">
        <v>89</v>
      </c>
      <c r="K274" s="15" t="n">
        <v>89</v>
      </c>
      <c r="L274" s="15" t="n">
        <f aca="false">IF(OR(J274="",K274=""),"",MAX(J274-K274,0))</f>
        <v>0</v>
      </c>
      <c r="M274" s="15" t="s">
        <v>99</v>
      </c>
      <c r="N274" s="17" t="n">
        <v>2012</v>
      </c>
      <c r="O274" s="15" t="n">
        <f aca="false">IF(N274="","",Scoring!$B$4-N274)</f>
        <v>14</v>
      </c>
      <c r="P274" s="15" t="n">
        <f aca="false">IF(N274="","",N274+14)</f>
        <v>2026</v>
      </c>
      <c r="Q274" s="15" t="n">
        <f aca="false">IF(N274="","",IF(N274&lt;Scoring!$B$12,"n/a (pre-1990)",N274+Scoring!$B$13))</f>
        <v>2041</v>
      </c>
      <c r="R274" s="15" t="str">
        <f aca="false">IF(J274="","Unknown",IF(J274&gt;=5,"Yes","No (under 5 units)"))</f>
        <v>Yes</v>
      </c>
      <c r="S274" s="15"/>
      <c r="T274" s="18"/>
      <c r="U274" s="19"/>
      <c r="V274" s="18"/>
      <c r="W274" s="18"/>
      <c r="X274" s="20"/>
      <c r="Y274" s="18"/>
      <c r="Z274" s="18"/>
      <c r="AA274" s="21" t="n">
        <f aca="false">IF(U274&lt;&gt;"",(U274-Scoring!$B$3)/365.25,IF(N274="","",IF(N274&lt;Scoring!$B$12,"",(DATE(N274+Scoring!$B$13,12,31)-Scoring!$B$3)/365.25)))</f>
        <v>15.2470910335387</v>
      </c>
      <c r="AB274" s="22" t="n">
        <f aca="false">IF(T274="Y",0,IF(OR(D274="Expired (verified)",D274="Expiring: notice window (verified)",D274="Expiring: 10-yr horizon (verified)",D274="Past 30-yr mark (verify)",D274="30-yr mark: notice window (est.)",D274="Year-15 window"),1,0)+IF(ISNUMBER(O274),IF(O274&gt;=Scoring!$B$10,1,0),0)+IF(AND(ISNUMBER(L274),ISNUMBER(J274)),IF(J274&gt;0,IF(L274/J274&gt;=Scoring!$B$11,1,0),0),0)+IF(ISNUMBER(Z274),MIN(Z274,3),0))</f>
        <v>1</v>
      </c>
      <c r="AC274" s="22" t="n">
        <f aca="false">IF(AB274&gt;=3,Scoring!$C$24,IF(AB274=2,Scoring!$C$23,IF(AB274=1,Scoring!$C$22,0)))</f>
        <v>10</v>
      </c>
      <c r="AD274" s="22" t="n">
        <f aca="false">IF(T274="Y",0,IF(ISNUMBER(X274),IF(X274&gt;0.7,Scoring!$C$25,IF(X274&gt;=0.5,Scoring!$C$26,IF(X274&gt;=0.3,Scoring!$C$27,Scoring!$C$28))),Scoring!$C$29))</f>
        <v>10</v>
      </c>
      <c r="AE274" s="22" t="n">
        <f aca="false">IF(D274="Expiring: notice window (verified)",Scoring!$C$30,IF(OR(D274="Expired (verified)",D274="30-yr mark: notice window (est.)",D274="Year-15 window"),Scoring!$C$31,IF(D274="Expiring: 10-yr horizon (verified)",Scoring!$C$32,IF(D274="Past 30-yr mark (verify)",Scoring!$C$33,IF(OR(D274="Credit period",D274="Superseded record"),Scoring!$C$35,Scoring!$C$34)))))</f>
        <v>14</v>
      </c>
      <c r="AF274" s="22" t="n">
        <f aca="false">IF(T274="Y",0,IF(ISNUMBER(V274),IF(Scoring!$B$4-V274&gt;15,Scoring!$C$36,IF(Scoring!$B$4-V274&gt;=10,Scoring!$C$37,IF(Scoring!$B$4-V274&gt;=5,Scoring!$C$38,Scoring!$C$39))),IF(OR(N274="",D274="Out of program"),Scoring!$C$40,IF(O274&gt;15,Scoring!$C$36,IF(O274&gt;=10,Scoring!$C$37,IF(O274&gt;=5,Scoring!$C$38,Scoring!$C$39))))))</f>
        <v>12</v>
      </c>
      <c r="AG274" s="22" t="n">
        <f aca="false">IF(T274="Y",0,IF(Y274="Y",Scoring!$C$41,IF(ISNUMBER(O274),IF(O274&gt;=25,Scoring!$C$42,IF(O274&gt;=15,Scoring!$C$43,Scoring!$C$44)),Scoring!$C$44)))</f>
        <v>2</v>
      </c>
      <c r="AH274" s="22" t="n">
        <f aca="false">IF(T274="Y",0,IF(W274="",Scoring!$C$49,IFERROR(VLOOKUP(W274,Scoring!$B$45:$C$48,2,FALSE()),Scoring!$C$49)))</f>
        <v>5</v>
      </c>
      <c r="AI274" s="23" t="n">
        <f aca="false">C274+IF(ISNUMBER(J274),J274,0)/100000+(10000-ROW())/1000000000</f>
        <v>53.000899726</v>
      </c>
      <c r="AJ274" s="18"/>
      <c r="AK274" s="18"/>
      <c r="AL274" s="18"/>
      <c r="AM274" s="18"/>
    </row>
    <row r="275" customFormat="false" ht="15" hidden="false" customHeight="false" outlineLevel="0" collapsed="false">
      <c r="A275" s="15" t="n">
        <f aca="false">RANK(AI275,$AI$2:$AI$755)</f>
        <v>274</v>
      </c>
      <c r="B275" s="16" t="str">
        <f aca="false">IF(T275="Y","Superseded",IF(C275&gt;=Scoring!$B$16,"Immediate",IF(C275&gt;=Scoring!$B$17,"This week",IF(C275&gt;=Scoring!$B$18,"Nurture","Low"))))</f>
        <v>This week</v>
      </c>
      <c r="C275" s="3" t="n">
        <f aca="false">SUM(AC275:AH275)</f>
        <v>53</v>
      </c>
      <c r="D275" s="15" t="str">
        <f aca="false">IF(T275="Y","Superseded record",IF(AND(U275&lt;&gt;"",AA275&lt;0),"Expired (verified)",IF(AND(U275&lt;&gt;"",AA275&lt;=Scoring!$B$5),"Expiring: notice window (verified)",IF(AND(U275&lt;&gt;"",AA275&lt;=Scoring!$B$6),"Expiring: 10-yr horizon (verified)",IF(M275="No Longer Monitored","Out of program",IF(N275="","Unknown vintage",IF(N275&lt;Scoring!$B$12,"Pre-1990, still listed",IF(AND(U275="",AA275&lt;0),"Past 30-yr mark (verify)",IF(AND(U275="",AA275&lt;=Scoring!$B$5),"30-yr mark: notice window (est.)",IF(AND(O275&gt;=Scoring!$B$7,O275&lt;=Scoring!$B$8),"Year-15 window",IF(O275&gt;=Scoring!$B$9,"Recap window",IF(O275&gt;=11,"Late compliance","Credit period"))))))))))))</f>
        <v>Year-15 window</v>
      </c>
      <c r="E275" s="15" t="s">
        <v>1101</v>
      </c>
      <c r="F275" s="15" t="s">
        <v>1102</v>
      </c>
      <c r="G275" s="15" t="s">
        <v>1103</v>
      </c>
      <c r="H275" s="15" t="s">
        <v>97</v>
      </c>
      <c r="I275" s="15" t="s">
        <v>195</v>
      </c>
      <c r="J275" s="15" t="n">
        <v>84</v>
      </c>
      <c r="K275" s="15" t="n">
        <v>84</v>
      </c>
      <c r="L275" s="15" t="n">
        <f aca="false">IF(OR(J275="",K275=""),"",MAX(J275-K275,0))</f>
        <v>0</v>
      </c>
      <c r="M275" s="15" t="s">
        <v>99</v>
      </c>
      <c r="N275" s="17" t="n">
        <v>2012</v>
      </c>
      <c r="O275" s="15" t="n">
        <f aca="false">IF(N275="","",Scoring!$B$4-N275)</f>
        <v>14</v>
      </c>
      <c r="P275" s="15" t="n">
        <f aca="false">IF(N275="","",N275+14)</f>
        <v>2026</v>
      </c>
      <c r="Q275" s="15" t="n">
        <f aca="false">IF(N275="","",IF(N275&lt;Scoring!$B$12,"n/a (pre-1990)",N275+Scoring!$B$13))</f>
        <v>2041</v>
      </c>
      <c r="R275" s="15" t="str">
        <f aca="false">IF(J275="","Unknown",IF(J275&gt;=5,"Yes","No (under 5 units)"))</f>
        <v>Yes</v>
      </c>
      <c r="S275" s="15"/>
      <c r="T275" s="18"/>
      <c r="U275" s="19"/>
      <c r="V275" s="18"/>
      <c r="W275" s="18"/>
      <c r="X275" s="20"/>
      <c r="Y275" s="18"/>
      <c r="Z275" s="18"/>
      <c r="AA275" s="21" t="n">
        <f aca="false">IF(U275&lt;&gt;"",(U275-Scoring!$B$3)/365.25,IF(N275="","",IF(N275&lt;Scoring!$B$12,"",(DATE(N275+Scoring!$B$13,12,31)-Scoring!$B$3)/365.25)))</f>
        <v>15.2470910335387</v>
      </c>
      <c r="AB275" s="22" t="n">
        <f aca="false">IF(T275="Y",0,IF(OR(D275="Expired (verified)",D275="Expiring: notice window (verified)",D275="Expiring: 10-yr horizon (verified)",D275="Past 30-yr mark (verify)",D275="30-yr mark: notice window (est.)",D275="Year-15 window"),1,0)+IF(ISNUMBER(O275),IF(O275&gt;=Scoring!$B$10,1,0),0)+IF(AND(ISNUMBER(L275),ISNUMBER(J275)),IF(J275&gt;0,IF(L275/J275&gt;=Scoring!$B$11,1,0),0),0)+IF(ISNUMBER(Z275),MIN(Z275,3),0))</f>
        <v>1</v>
      </c>
      <c r="AC275" s="22" t="n">
        <f aca="false">IF(AB275&gt;=3,Scoring!$C$24,IF(AB275=2,Scoring!$C$23,IF(AB275=1,Scoring!$C$22,0)))</f>
        <v>10</v>
      </c>
      <c r="AD275" s="22" t="n">
        <f aca="false">IF(T275="Y",0,IF(ISNUMBER(X275),IF(X275&gt;0.7,Scoring!$C$25,IF(X275&gt;=0.5,Scoring!$C$26,IF(X275&gt;=0.3,Scoring!$C$27,Scoring!$C$28))),Scoring!$C$29))</f>
        <v>10</v>
      </c>
      <c r="AE275" s="22" t="n">
        <f aca="false">IF(D275="Expiring: notice window (verified)",Scoring!$C$30,IF(OR(D275="Expired (verified)",D275="30-yr mark: notice window (est.)",D275="Year-15 window"),Scoring!$C$31,IF(D275="Expiring: 10-yr horizon (verified)",Scoring!$C$32,IF(D275="Past 30-yr mark (verify)",Scoring!$C$33,IF(OR(D275="Credit period",D275="Superseded record"),Scoring!$C$35,Scoring!$C$34)))))</f>
        <v>14</v>
      </c>
      <c r="AF275" s="22" t="n">
        <f aca="false">IF(T275="Y",0,IF(ISNUMBER(V275),IF(Scoring!$B$4-V275&gt;15,Scoring!$C$36,IF(Scoring!$B$4-V275&gt;=10,Scoring!$C$37,IF(Scoring!$B$4-V275&gt;=5,Scoring!$C$38,Scoring!$C$39))),IF(OR(N275="",D275="Out of program"),Scoring!$C$40,IF(O275&gt;15,Scoring!$C$36,IF(O275&gt;=10,Scoring!$C$37,IF(O275&gt;=5,Scoring!$C$38,Scoring!$C$39))))))</f>
        <v>12</v>
      </c>
      <c r="AG275" s="22" t="n">
        <f aca="false">IF(T275="Y",0,IF(Y275="Y",Scoring!$C$41,IF(ISNUMBER(O275),IF(O275&gt;=25,Scoring!$C$42,IF(O275&gt;=15,Scoring!$C$43,Scoring!$C$44)),Scoring!$C$44)))</f>
        <v>2</v>
      </c>
      <c r="AH275" s="22" t="n">
        <f aca="false">IF(T275="Y",0,IF(W275="",Scoring!$C$49,IFERROR(VLOOKUP(W275,Scoring!$B$45:$C$48,2,FALSE()),Scoring!$C$49)))</f>
        <v>5</v>
      </c>
      <c r="AI275" s="23" t="n">
        <f aca="false">C275+IF(ISNUMBER(J275),J275,0)/100000+(10000-ROW())/1000000000</f>
        <v>53.000849725</v>
      </c>
      <c r="AJ275" s="18"/>
      <c r="AK275" s="18"/>
      <c r="AL275" s="18"/>
      <c r="AM275" s="18"/>
    </row>
    <row r="276" customFormat="false" ht="15" hidden="false" customHeight="false" outlineLevel="0" collapsed="false">
      <c r="A276" s="15" t="n">
        <f aca="false">RANK(AI276,$AI$2:$AI$755)</f>
        <v>275</v>
      </c>
      <c r="B276" s="16" t="str">
        <f aca="false">IF(T276="Y","Superseded",IF(C276&gt;=Scoring!$B$16,"Immediate",IF(C276&gt;=Scoring!$B$17,"This week",IF(C276&gt;=Scoring!$B$18,"Nurture","Low"))))</f>
        <v>This week</v>
      </c>
      <c r="C276" s="3" t="n">
        <f aca="false">SUM(AC276:AH276)</f>
        <v>53</v>
      </c>
      <c r="D276" s="15" t="str">
        <f aca="false">IF(T276="Y","Superseded record",IF(AND(U276&lt;&gt;"",AA276&lt;0),"Expired (verified)",IF(AND(U276&lt;&gt;"",AA276&lt;=Scoring!$B$5),"Expiring: notice window (verified)",IF(AND(U276&lt;&gt;"",AA276&lt;=Scoring!$B$6),"Expiring: 10-yr horizon (verified)",IF(M276="No Longer Monitored","Out of program",IF(N276="","Unknown vintage",IF(N276&lt;Scoring!$B$12,"Pre-1990, still listed",IF(AND(U276="",AA276&lt;0),"Past 30-yr mark (verify)",IF(AND(U276="",AA276&lt;=Scoring!$B$5),"30-yr mark: notice window (est.)",IF(AND(O276&gt;=Scoring!$B$7,O276&lt;=Scoring!$B$8),"Year-15 window",IF(O276&gt;=Scoring!$B$9,"Recap window",IF(O276&gt;=11,"Late compliance","Credit period"))))))))))))</f>
        <v>Year-15 window</v>
      </c>
      <c r="E276" s="15" t="s">
        <v>1104</v>
      </c>
      <c r="F276" s="15" t="s">
        <v>1105</v>
      </c>
      <c r="G276" s="15" t="s">
        <v>1106</v>
      </c>
      <c r="H276" s="15" t="s">
        <v>311</v>
      </c>
      <c r="I276" s="15" t="s">
        <v>312</v>
      </c>
      <c r="J276" s="15" t="n">
        <v>80</v>
      </c>
      <c r="K276" s="15" t="n">
        <v>80</v>
      </c>
      <c r="L276" s="15" t="n">
        <f aca="false">IF(OR(J276="",K276=""),"",MAX(J276-K276,0))</f>
        <v>0</v>
      </c>
      <c r="M276" s="15" t="s">
        <v>99</v>
      </c>
      <c r="N276" s="17" t="n">
        <v>2012</v>
      </c>
      <c r="O276" s="15" t="n">
        <f aca="false">IF(N276="","",Scoring!$B$4-N276)</f>
        <v>14</v>
      </c>
      <c r="P276" s="15" t="n">
        <f aca="false">IF(N276="","",N276+14)</f>
        <v>2026</v>
      </c>
      <c r="Q276" s="15" t="n">
        <f aca="false">IF(N276="","",IF(N276&lt;Scoring!$B$12,"n/a (pre-1990)",N276+Scoring!$B$13))</f>
        <v>2041</v>
      </c>
      <c r="R276" s="15" t="str">
        <f aca="false">IF(J276="","Unknown",IF(J276&gt;=5,"Yes","No (under 5 units)"))</f>
        <v>Yes</v>
      </c>
      <c r="S276" s="15"/>
      <c r="T276" s="18"/>
      <c r="U276" s="19"/>
      <c r="V276" s="18"/>
      <c r="W276" s="18"/>
      <c r="X276" s="20"/>
      <c r="Y276" s="18"/>
      <c r="Z276" s="18"/>
      <c r="AA276" s="21" t="n">
        <f aca="false">IF(U276&lt;&gt;"",(U276-Scoring!$B$3)/365.25,IF(N276="","",IF(N276&lt;Scoring!$B$12,"",(DATE(N276+Scoring!$B$13,12,31)-Scoring!$B$3)/365.25)))</f>
        <v>15.2470910335387</v>
      </c>
      <c r="AB276" s="22" t="n">
        <f aca="false">IF(T276="Y",0,IF(OR(D276="Expired (verified)",D276="Expiring: notice window (verified)",D276="Expiring: 10-yr horizon (verified)",D276="Past 30-yr mark (verify)",D276="30-yr mark: notice window (est.)",D276="Year-15 window"),1,0)+IF(ISNUMBER(O276),IF(O276&gt;=Scoring!$B$10,1,0),0)+IF(AND(ISNUMBER(L276),ISNUMBER(J276)),IF(J276&gt;0,IF(L276/J276&gt;=Scoring!$B$11,1,0),0),0)+IF(ISNUMBER(Z276),MIN(Z276,3),0))</f>
        <v>1</v>
      </c>
      <c r="AC276" s="22" t="n">
        <f aca="false">IF(AB276&gt;=3,Scoring!$C$24,IF(AB276=2,Scoring!$C$23,IF(AB276=1,Scoring!$C$22,0)))</f>
        <v>10</v>
      </c>
      <c r="AD276" s="22" t="n">
        <f aca="false">IF(T276="Y",0,IF(ISNUMBER(X276),IF(X276&gt;0.7,Scoring!$C$25,IF(X276&gt;=0.5,Scoring!$C$26,IF(X276&gt;=0.3,Scoring!$C$27,Scoring!$C$28))),Scoring!$C$29))</f>
        <v>10</v>
      </c>
      <c r="AE276" s="22" t="n">
        <f aca="false">IF(D276="Expiring: notice window (verified)",Scoring!$C$30,IF(OR(D276="Expired (verified)",D276="30-yr mark: notice window (est.)",D276="Year-15 window"),Scoring!$C$31,IF(D276="Expiring: 10-yr horizon (verified)",Scoring!$C$32,IF(D276="Past 30-yr mark (verify)",Scoring!$C$33,IF(OR(D276="Credit period",D276="Superseded record"),Scoring!$C$35,Scoring!$C$34)))))</f>
        <v>14</v>
      </c>
      <c r="AF276" s="22" t="n">
        <f aca="false">IF(T276="Y",0,IF(ISNUMBER(V276),IF(Scoring!$B$4-V276&gt;15,Scoring!$C$36,IF(Scoring!$B$4-V276&gt;=10,Scoring!$C$37,IF(Scoring!$B$4-V276&gt;=5,Scoring!$C$38,Scoring!$C$39))),IF(OR(N276="",D276="Out of program"),Scoring!$C$40,IF(O276&gt;15,Scoring!$C$36,IF(O276&gt;=10,Scoring!$C$37,IF(O276&gt;=5,Scoring!$C$38,Scoring!$C$39))))))</f>
        <v>12</v>
      </c>
      <c r="AG276" s="22" t="n">
        <f aca="false">IF(T276="Y",0,IF(Y276="Y",Scoring!$C$41,IF(ISNUMBER(O276),IF(O276&gt;=25,Scoring!$C$42,IF(O276&gt;=15,Scoring!$C$43,Scoring!$C$44)),Scoring!$C$44)))</f>
        <v>2</v>
      </c>
      <c r="AH276" s="22" t="n">
        <f aca="false">IF(T276="Y",0,IF(W276="",Scoring!$C$49,IFERROR(VLOOKUP(W276,Scoring!$B$45:$C$48,2,FALSE()),Scoring!$C$49)))</f>
        <v>5</v>
      </c>
      <c r="AI276" s="23" t="n">
        <f aca="false">C276+IF(ISNUMBER(J276),J276,0)/100000+(10000-ROW())/1000000000</f>
        <v>53.000809724</v>
      </c>
      <c r="AJ276" s="18"/>
      <c r="AK276" s="18"/>
      <c r="AL276" s="18"/>
      <c r="AM276" s="18"/>
    </row>
    <row r="277" customFormat="false" ht="15" hidden="false" customHeight="false" outlineLevel="0" collapsed="false">
      <c r="A277" s="15" t="n">
        <f aca="false">RANK(AI277,$AI$2:$AI$755)</f>
        <v>276</v>
      </c>
      <c r="B277" s="16" t="str">
        <f aca="false">IF(T277="Y","Superseded",IF(C277&gt;=Scoring!$B$16,"Immediate",IF(C277&gt;=Scoring!$B$17,"This week",IF(C277&gt;=Scoring!$B$18,"Nurture","Low"))))</f>
        <v>This week</v>
      </c>
      <c r="C277" s="3" t="n">
        <f aca="false">SUM(AC277:AH277)</f>
        <v>53</v>
      </c>
      <c r="D277" s="15" t="str">
        <f aca="false">IF(T277="Y","Superseded record",IF(AND(U277&lt;&gt;"",AA277&lt;0),"Expired (verified)",IF(AND(U277&lt;&gt;"",AA277&lt;=Scoring!$B$5),"Expiring: notice window (verified)",IF(AND(U277&lt;&gt;"",AA277&lt;=Scoring!$B$6),"Expiring: 10-yr horizon (verified)",IF(M277="No Longer Monitored","Out of program",IF(N277="","Unknown vintage",IF(N277&lt;Scoring!$B$12,"Pre-1990, still listed",IF(AND(U277="",AA277&lt;0),"Past 30-yr mark (verify)",IF(AND(U277="",AA277&lt;=Scoring!$B$5),"30-yr mark: notice window (est.)",IF(AND(O277&gt;=Scoring!$B$7,O277&lt;=Scoring!$B$8),"Year-15 window",IF(O277&gt;=Scoring!$B$9,"Recap window",IF(O277&gt;=11,"Late compliance","Credit period"))))))))))))</f>
        <v>Year-15 window</v>
      </c>
      <c r="E277" s="15" t="s">
        <v>1107</v>
      </c>
      <c r="F277" s="15" t="s">
        <v>1108</v>
      </c>
      <c r="G277" s="15" t="s">
        <v>1109</v>
      </c>
      <c r="H277" s="15" t="s">
        <v>97</v>
      </c>
      <c r="I277" s="15" t="s">
        <v>160</v>
      </c>
      <c r="J277" s="15" t="n">
        <v>80</v>
      </c>
      <c r="K277" s="15" t="n">
        <v>154</v>
      </c>
      <c r="L277" s="15" t="n">
        <f aca="false">IF(OR(J277="",K277=""),"",MAX(J277-K277,0))</f>
        <v>0</v>
      </c>
      <c r="M277" s="15" t="s">
        <v>99</v>
      </c>
      <c r="N277" s="17" t="n">
        <v>2013</v>
      </c>
      <c r="O277" s="15" t="n">
        <f aca="false">IF(N277="","",Scoring!$B$4-N277)</f>
        <v>13</v>
      </c>
      <c r="P277" s="15" t="n">
        <f aca="false">IF(N277="","",N277+14)</f>
        <v>2027</v>
      </c>
      <c r="Q277" s="15" t="n">
        <f aca="false">IF(N277="","",IF(N277&lt;Scoring!$B$12,"n/a (pre-1990)",N277+Scoring!$B$13))</f>
        <v>2042</v>
      </c>
      <c r="R277" s="15" t="str">
        <f aca="false">IF(J277="","Unknown",IF(J277&gt;=5,"Yes","No (under 5 units)"))</f>
        <v>Yes</v>
      </c>
      <c r="S277" s="15" t="s">
        <v>1086</v>
      </c>
      <c r="T277" s="18"/>
      <c r="U277" s="19"/>
      <c r="V277" s="18"/>
      <c r="W277" s="18"/>
      <c r="X277" s="20"/>
      <c r="Y277" s="18"/>
      <c r="Z277" s="18"/>
      <c r="AA277" s="21" t="n">
        <f aca="false">IF(U277&lt;&gt;"",(U277-Scoring!$B$3)/365.25,IF(N277="","",IF(N277&lt;Scoring!$B$12,"",(DATE(N277+Scoring!$B$13,12,31)-Scoring!$B$3)/365.25)))</f>
        <v>16.2464065708419</v>
      </c>
      <c r="AB277" s="22" t="n">
        <f aca="false">IF(T277="Y",0,IF(OR(D277="Expired (verified)",D277="Expiring: notice window (verified)",D277="Expiring: 10-yr horizon (verified)",D277="Past 30-yr mark (verify)",D277="30-yr mark: notice window (est.)",D277="Year-15 window"),1,0)+IF(ISNUMBER(O277),IF(O277&gt;=Scoring!$B$10,1,0),0)+IF(AND(ISNUMBER(L277),ISNUMBER(J277)),IF(J277&gt;0,IF(L277/J277&gt;=Scoring!$B$11,1,0),0),0)+IF(ISNUMBER(Z277),MIN(Z277,3),0))</f>
        <v>1</v>
      </c>
      <c r="AC277" s="22" t="n">
        <f aca="false">IF(AB277&gt;=3,Scoring!$C$24,IF(AB277=2,Scoring!$C$23,IF(AB277=1,Scoring!$C$22,0)))</f>
        <v>10</v>
      </c>
      <c r="AD277" s="22" t="n">
        <f aca="false">IF(T277="Y",0,IF(ISNUMBER(X277),IF(X277&gt;0.7,Scoring!$C$25,IF(X277&gt;=0.5,Scoring!$C$26,IF(X277&gt;=0.3,Scoring!$C$27,Scoring!$C$28))),Scoring!$C$29))</f>
        <v>10</v>
      </c>
      <c r="AE277" s="22" t="n">
        <f aca="false">IF(D277="Expiring: notice window (verified)",Scoring!$C$30,IF(OR(D277="Expired (verified)",D277="30-yr mark: notice window (est.)",D277="Year-15 window"),Scoring!$C$31,IF(D277="Expiring: 10-yr horizon (verified)",Scoring!$C$32,IF(D277="Past 30-yr mark (verify)",Scoring!$C$33,IF(OR(D277="Credit period",D277="Superseded record"),Scoring!$C$35,Scoring!$C$34)))))</f>
        <v>14</v>
      </c>
      <c r="AF277" s="22" t="n">
        <f aca="false">IF(T277="Y",0,IF(ISNUMBER(V277),IF(Scoring!$B$4-V277&gt;15,Scoring!$C$36,IF(Scoring!$B$4-V277&gt;=10,Scoring!$C$37,IF(Scoring!$B$4-V277&gt;=5,Scoring!$C$38,Scoring!$C$39))),IF(OR(N277="",D277="Out of program"),Scoring!$C$40,IF(O277&gt;15,Scoring!$C$36,IF(O277&gt;=10,Scoring!$C$37,IF(O277&gt;=5,Scoring!$C$38,Scoring!$C$39))))))</f>
        <v>12</v>
      </c>
      <c r="AG277" s="22" t="n">
        <f aca="false">IF(T277="Y",0,IF(Y277="Y",Scoring!$C$41,IF(ISNUMBER(O277),IF(O277&gt;=25,Scoring!$C$42,IF(O277&gt;=15,Scoring!$C$43,Scoring!$C$44)),Scoring!$C$44)))</f>
        <v>2</v>
      </c>
      <c r="AH277" s="22" t="n">
        <f aca="false">IF(T277="Y",0,IF(W277="",Scoring!$C$49,IFERROR(VLOOKUP(W277,Scoring!$B$45:$C$48,2,FALSE()),Scoring!$C$49)))</f>
        <v>5</v>
      </c>
      <c r="AI277" s="23" t="n">
        <f aca="false">C277+IF(ISNUMBER(J277),J277,0)/100000+(10000-ROW())/1000000000</f>
        <v>53.000809723</v>
      </c>
      <c r="AJ277" s="18"/>
      <c r="AK277" s="18"/>
      <c r="AL277" s="18"/>
      <c r="AM277" s="18"/>
    </row>
    <row r="278" customFormat="false" ht="15" hidden="false" customHeight="false" outlineLevel="0" collapsed="false">
      <c r="A278" s="15" t="n">
        <f aca="false">RANK(AI278,$AI$2:$AI$755)</f>
        <v>277</v>
      </c>
      <c r="B278" s="16" t="str">
        <f aca="false">IF(T278="Y","Superseded",IF(C278&gt;=Scoring!$B$16,"Immediate",IF(C278&gt;=Scoring!$B$17,"This week",IF(C278&gt;=Scoring!$B$18,"Nurture","Low"))))</f>
        <v>This week</v>
      </c>
      <c r="C278" s="3" t="n">
        <f aca="false">SUM(AC278:AH278)</f>
        <v>53</v>
      </c>
      <c r="D278" s="15" t="str">
        <f aca="false">IF(T278="Y","Superseded record",IF(AND(U278&lt;&gt;"",AA278&lt;0),"Expired (verified)",IF(AND(U278&lt;&gt;"",AA278&lt;=Scoring!$B$5),"Expiring: notice window (verified)",IF(AND(U278&lt;&gt;"",AA278&lt;=Scoring!$B$6),"Expiring: 10-yr horizon (verified)",IF(M278="No Longer Monitored","Out of program",IF(N278="","Unknown vintage",IF(N278&lt;Scoring!$B$12,"Pre-1990, still listed",IF(AND(U278="",AA278&lt;0),"Past 30-yr mark (verify)",IF(AND(U278="",AA278&lt;=Scoring!$B$5),"30-yr mark: notice window (est.)",IF(AND(O278&gt;=Scoring!$B$7,O278&lt;=Scoring!$B$8),"Year-15 window",IF(O278&gt;=Scoring!$B$9,"Recap window",IF(O278&gt;=11,"Late compliance","Credit period"))))))))))))</f>
        <v>Year-15 window</v>
      </c>
      <c r="E278" s="15" t="s">
        <v>1110</v>
      </c>
      <c r="F278" s="15" t="s">
        <v>1111</v>
      </c>
      <c r="G278" s="15" t="s">
        <v>1112</v>
      </c>
      <c r="H278" s="15" t="s">
        <v>851</v>
      </c>
      <c r="I278" s="15" t="s">
        <v>852</v>
      </c>
      <c r="J278" s="15" t="n">
        <v>76</v>
      </c>
      <c r="K278" s="15" t="n">
        <v>76</v>
      </c>
      <c r="L278" s="15" t="n">
        <f aca="false">IF(OR(J278="",K278=""),"",MAX(J278-K278,0))</f>
        <v>0</v>
      </c>
      <c r="M278" s="15" t="s">
        <v>99</v>
      </c>
      <c r="N278" s="17" t="n">
        <v>2012</v>
      </c>
      <c r="O278" s="15" t="n">
        <f aca="false">IF(N278="","",Scoring!$B$4-N278)</f>
        <v>14</v>
      </c>
      <c r="P278" s="15" t="n">
        <f aca="false">IF(N278="","",N278+14)</f>
        <v>2026</v>
      </c>
      <c r="Q278" s="15" t="n">
        <f aca="false">IF(N278="","",IF(N278&lt;Scoring!$B$12,"n/a (pre-1990)",N278+Scoring!$B$13))</f>
        <v>2041</v>
      </c>
      <c r="R278" s="15" t="str">
        <f aca="false">IF(J278="","Unknown",IF(J278&gt;=5,"Yes","No (under 5 units)"))</f>
        <v>Yes</v>
      </c>
      <c r="S278" s="15" t="s">
        <v>1113</v>
      </c>
      <c r="T278" s="18"/>
      <c r="U278" s="19"/>
      <c r="V278" s="18"/>
      <c r="W278" s="18"/>
      <c r="X278" s="20"/>
      <c r="Y278" s="18"/>
      <c r="Z278" s="18"/>
      <c r="AA278" s="21" t="n">
        <f aca="false">IF(U278&lt;&gt;"",(U278-Scoring!$B$3)/365.25,IF(N278="","",IF(N278&lt;Scoring!$B$12,"",(DATE(N278+Scoring!$B$13,12,31)-Scoring!$B$3)/365.25)))</f>
        <v>15.2470910335387</v>
      </c>
      <c r="AB278" s="22" t="n">
        <f aca="false">IF(T278="Y",0,IF(OR(D278="Expired (verified)",D278="Expiring: notice window (verified)",D278="Expiring: 10-yr horizon (verified)",D278="Past 30-yr mark (verify)",D278="30-yr mark: notice window (est.)",D278="Year-15 window"),1,0)+IF(ISNUMBER(O278),IF(O278&gt;=Scoring!$B$10,1,0),0)+IF(AND(ISNUMBER(L278),ISNUMBER(J278)),IF(J278&gt;0,IF(L278/J278&gt;=Scoring!$B$11,1,0),0),0)+IF(ISNUMBER(Z278),MIN(Z278,3),0))</f>
        <v>1</v>
      </c>
      <c r="AC278" s="22" t="n">
        <f aca="false">IF(AB278&gt;=3,Scoring!$C$24,IF(AB278=2,Scoring!$C$23,IF(AB278=1,Scoring!$C$22,0)))</f>
        <v>10</v>
      </c>
      <c r="AD278" s="22" t="n">
        <f aca="false">IF(T278="Y",0,IF(ISNUMBER(X278),IF(X278&gt;0.7,Scoring!$C$25,IF(X278&gt;=0.5,Scoring!$C$26,IF(X278&gt;=0.3,Scoring!$C$27,Scoring!$C$28))),Scoring!$C$29))</f>
        <v>10</v>
      </c>
      <c r="AE278" s="22" t="n">
        <f aca="false">IF(D278="Expiring: notice window (verified)",Scoring!$C$30,IF(OR(D278="Expired (verified)",D278="30-yr mark: notice window (est.)",D278="Year-15 window"),Scoring!$C$31,IF(D278="Expiring: 10-yr horizon (verified)",Scoring!$C$32,IF(D278="Past 30-yr mark (verify)",Scoring!$C$33,IF(OR(D278="Credit period",D278="Superseded record"),Scoring!$C$35,Scoring!$C$34)))))</f>
        <v>14</v>
      </c>
      <c r="AF278" s="22" t="n">
        <f aca="false">IF(T278="Y",0,IF(ISNUMBER(V278),IF(Scoring!$B$4-V278&gt;15,Scoring!$C$36,IF(Scoring!$B$4-V278&gt;=10,Scoring!$C$37,IF(Scoring!$B$4-V278&gt;=5,Scoring!$C$38,Scoring!$C$39))),IF(OR(N278="",D278="Out of program"),Scoring!$C$40,IF(O278&gt;15,Scoring!$C$36,IF(O278&gt;=10,Scoring!$C$37,IF(O278&gt;=5,Scoring!$C$38,Scoring!$C$39))))))</f>
        <v>12</v>
      </c>
      <c r="AG278" s="22" t="n">
        <f aca="false">IF(T278="Y",0,IF(Y278="Y",Scoring!$C$41,IF(ISNUMBER(O278),IF(O278&gt;=25,Scoring!$C$42,IF(O278&gt;=15,Scoring!$C$43,Scoring!$C$44)),Scoring!$C$44)))</f>
        <v>2</v>
      </c>
      <c r="AH278" s="22" t="n">
        <f aca="false">IF(T278="Y",0,IF(W278="",Scoring!$C$49,IFERROR(VLOOKUP(W278,Scoring!$B$45:$C$48,2,FALSE()),Scoring!$C$49)))</f>
        <v>5</v>
      </c>
      <c r="AI278" s="23" t="n">
        <f aca="false">C278+IF(ISNUMBER(J278),J278,0)/100000+(10000-ROW())/1000000000</f>
        <v>53.000769722</v>
      </c>
      <c r="AJ278" s="18"/>
      <c r="AK278" s="18"/>
      <c r="AL278" s="18"/>
      <c r="AM278" s="18"/>
    </row>
    <row r="279" customFormat="false" ht="15" hidden="false" customHeight="false" outlineLevel="0" collapsed="false">
      <c r="A279" s="15" t="n">
        <f aca="false">RANK(AI279,$AI$2:$AI$755)</f>
        <v>278</v>
      </c>
      <c r="B279" s="16" t="str">
        <f aca="false">IF(T279="Y","Superseded",IF(C279&gt;=Scoring!$B$16,"Immediate",IF(C279&gt;=Scoring!$B$17,"This week",IF(C279&gt;=Scoring!$B$18,"Nurture","Low"))))</f>
        <v>This week</v>
      </c>
      <c r="C279" s="3" t="n">
        <f aca="false">SUM(AC279:AH279)</f>
        <v>53</v>
      </c>
      <c r="D279" s="15" t="str">
        <f aca="false">IF(T279="Y","Superseded record",IF(AND(U279&lt;&gt;"",AA279&lt;0),"Expired (verified)",IF(AND(U279&lt;&gt;"",AA279&lt;=Scoring!$B$5),"Expiring: notice window (verified)",IF(AND(U279&lt;&gt;"",AA279&lt;=Scoring!$B$6),"Expiring: 10-yr horizon (verified)",IF(M279="No Longer Monitored","Out of program",IF(N279="","Unknown vintage",IF(N279&lt;Scoring!$B$12,"Pre-1990, still listed",IF(AND(U279="",AA279&lt;0),"Past 30-yr mark (verify)",IF(AND(U279="",AA279&lt;=Scoring!$B$5),"30-yr mark: notice window (est.)",IF(AND(O279&gt;=Scoring!$B$7,O279&lt;=Scoring!$B$8),"Year-15 window",IF(O279&gt;=Scoring!$B$9,"Recap window",IF(O279&gt;=11,"Late compliance","Credit period"))))))))))))</f>
        <v>Year-15 window</v>
      </c>
      <c r="E279" s="15" t="s">
        <v>1114</v>
      </c>
      <c r="F279" s="15" t="s">
        <v>1115</v>
      </c>
      <c r="G279" s="15" t="s">
        <v>1116</v>
      </c>
      <c r="H279" s="15" t="s">
        <v>190</v>
      </c>
      <c r="I279" s="15" t="s">
        <v>1117</v>
      </c>
      <c r="J279" s="15" t="n">
        <v>69</v>
      </c>
      <c r="K279" s="15" t="n">
        <v>136</v>
      </c>
      <c r="L279" s="15" t="n">
        <f aca="false">IF(OR(J279="",K279=""),"",MAX(J279-K279,0))</f>
        <v>0</v>
      </c>
      <c r="M279" s="15" t="s">
        <v>99</v>
      </c>
      <c r="N279" s="17" t="n">
        <v>2013</v>
      </c>
      <c r="O279" s="15" t="n">
        <f aca="false">IF(N279="","",Scoring!$B$4-N279)</f>
        <v>13</v>
      </c>
      <c r="P279" s="15" t="n">
        <f aca="false">IF(N279="","",N279+14)</f>
        <v>2027</v>
      </c>
      <c r="Q279" s="15" t="n">
        <f aca="false">IF(N279="","",IF(N279&lt;Scoring!$B$12,"n/a (pre-1990)",N279+Scoring!$B$13))</f>
        <v>2042</v>
      </c>
      <c r="R279" s="15" t="str">
        <f aca="false">IF(J279="","Unknown",IF(J279&gt;=5,"Yes","No (under 5 units)"))</f>
        <v>Yes</v>
      </c>
      <c r="S279" s="15" t="s">
        <v>1086</v>
      </c>
      <c r="T279" s="18"/>
      <c r="U279" s="19"/>
      <c r="V279" s="18"/>
      <c r="W279" s="18"/>
      <c r="X279" s="20"/>
      <c r="Y279" s="18"/>
      <c r="Z279" s="18"/>
      <c r="AA279" s="21" t="n">
        <f aca="false">IF(U279&lt;&gt;"",(U279-Scoring!$B$3)/365.25,IF(N279="","",IF(N279&lt;Scoring!$B$12,"",(DATE(N279+Scoring!$B$13,12,31)-Scoring!$B$3)/365.25)))</f>
        <v>16.2464065708419</v>
      </c>
      <c r="AB279" s="22" t="n">
        <f aca="false">IF(T279="Y",0,IF(OR(D279="Expired (verified)",D279="Expiring: notice window (verified)",D279="Expiring: 10-yr horizon (verified)",D279="Past 30-yr mark (verify)",D279="30-yr mark: notice window (est.)",D279="Year-15 window"),1,0)+IF(ISNUMBER(O279),IF(O279&gt;=Scoring!$B$10,1,0),0)+IF(AND(ISNUMBER(L279),ISNUMBER(J279)),IF(J279&gt;0,IF(L279/J279&gt;=Scoring!$B$11,1,0),0),0)+IF(ISNUMBER(Z279),MIN(Z279,3),0))</f>
        <v>1</v>
      </c>
      <c r="AC279" s="22" t="n">
        <f aca="false">IF(AB279&gt;=3,Scoring!$C$24,IF(AB279=2,Scoring!$C$23,IF(AB279=1,Scoring!$C$22,0)))</f>
        <v>10</v>
      </c>
      <c r="AD279" s="22" t="n">
        <f aca="false">IF(T279="Y",0,IF(ISNUMBER(X279),IF(X279&gt;0.7,Scoring!$C$25,IF(X279&gt;=0.5,Scoring!$C$26,IF(X279&gt;=0.3,Scoring!$C$27,Scoring!$C$28))),Scoring!$C$29))</f>
        <v>10</v>
      </c>
      <c r="AE279" s="22" t="n">
        <f aca="false">IF(D279="Expiring: notice window (verified)",Scoring!$C$30,IF(OR(D279="Expired (verified)",D279="30-yr mark: notice window (est.)",D279="Year-15 window"),Scoring!$C$31,IF(D279="Expiring: 10-yr horizon (verified)",Scoring!$C$32,IF(D279="Past 30-yr mark (verify)",Scoring!$C$33,IF(OR(D279="Credit period",D279="Superseded record"),Scoring!$C$35,Scoring!$C$34)))))</f>
        <v>14</v>
      </c>
      <c r="AF279" s="22" t="n">
        <f aca="false">IF(T279="Y",0,IF(ISNUMBER(V279),IF(Scoring!$B$4-V279&gt;15,Scoring!$C$36,IF(Scoring!$B$4-V279&gt;=10,Scoring!$C$37,IF(Scoring!$B$4-V279&gt;=5,Scoring!$C$38,Scoring!$C$39))),IF(OR(N279="",D279="Out of program"),Scoring!$C$40,IF(O279&gt;15,Scoring!$C$36,IF(O279&gt;=10,Scoring!$C$37,IF(O279&gt;=5,Scoring!$C$38,Scoring!$C$39))))))</f>
        <v>12</v>
      </c>
      <c r="AG279" s="22" t="n">
        <f aca="false">IF(T279="Y",0,IF(Y279="Y",Scoring!$C$41,IF(ISNUMBER(O279),IF(O279&gt;=25,Scoring!$C$42,IF(O279&gt;=15,Scoring!$C$43,Scoring!$C$44)),Scoring!$C$44)))</f>
        <v>2</v>
      </c>
      <c r="AH279" s="22" t="n">
        <f aca="false">IF(T279="Y",0,IF(W279="",Scoring!$C$49,IFERROR(VLOOKUP(W279,Scoring!$B$45:$C$48,2,FALSE()),Scoring!$C$49)))</f>
        <v>5</v>
      </c>
      <c r="AI279" s="23" t="n">
        <f aca="false">C279+IF(ISNUMBER(J279),J279,0)/100000+(10000-ROW())/1000000000</f>
        <v>53.000699721</v>
      </c>
      <c r="AJ279" s="18"/>
      <c r="AK279" s="18"/>
      <c r="AL279" s="18"/>
      <c r="AM279" s="18"/>
    </row>
    <row r="280" customFormat="false" ht="15" hidden="false" customHeight="false" outlineLevel="0" collapsed="false">
      <c r="A280" s="15" t="n">
        <f aca="false">RANK(AI280,$AI$2:$AI$755)</f>
        <v>279</v>
      </c>
      <c r="B280" s="16" t="str">
        <f aca="false">IF(T280="Y","Superseded",IF(C280&gt;=Scoring!$B$16,"Immediate",IF(C280&gt;=Scoring!$B$17,"This week",IF(C280&gt;=Scoring!$B$18,"Nurture","Low"))))</f>
        <v>This week</v>
      </c>
      <c r="C280" s="3" t="n">
        <f aca="false">SUM(AC280:AH280)</f>
        <v>53</v>
      </c>
      <c r="D280" s="15" t="str">
        <f aca="false">IF(T280="Y","Superseded record",IF(AND(U280&lt;&gt;"",AA280&lt;0),"Expired (verified)",IF(AND(U280&lt;&gt;"",AA280&lt;=Scoring!$B$5),"Expiring: notice window (verified)",IF(AND(U280&lt;&gt;"",AA280&lt;=Scoring!$B$6),"Expiring: 10-yr horizon (verified)",IF(M280="No Longer Monitored","Out of program",IF(N280="","Unknown vintage",IF(N280&lt;Scoring!$B$12,"Pre-1990, still listed",IF(AND(U280="",AA280&lt;0),"Past 30-yr mark (verify)",IF(AND(U280="",AA280&lt;=Scoring!$B$5),"30-yr mark: notice window (est.)",IF(AND(O280&gt;=Scoring!$B$7,O280&lt;=Scoring!$B$8),"Year-15 window",IF(O280&gt;=Scoring!$B$9,"Recap window",IF(O280&gt;=11,"Late compliance","Credit period"))))))))))))</f>
        <v>Year-15 window</v>
      </c>
      <c r="E280" s="15" t="s">
        <v>1118</v>
      </c>
      <c r="F280" s="15" t="s">
        <v>1119</v>
      </c>
      <c r="G280" s="15" t="s">
        <v>1120</v>
      </c>
      <c r="H280" s="15" t="s">
        <v>120</v>
      </c>
      <c r="I280" s="15" t="s">
        <v>121</v>
      </c>
      <c r="J280" s="15" t="n">
        <v>62</v>
      </c>
      <c r="K280" s="15" t="n">
        <v>61</v>
      </c>
      <c r="L280" s="15" t="n">
        <f aca="false">IF(OR(J280="",K280=""),"",MAX(J280-K280,0))</f>
        <v>1</v>
      </c>
      <c r="M280" s="15" t="s">
        <v>99</v>
      </c>
      <c r="N280" s="17" t="n">
        <v>2012</v>
      </c>
      <c r="O280" s="15" t="n">
        <f aca="false">IF(N280="","",Scoring!$B$4-N280)</f>
        <v>14</v>
      </c>
      <c r="P280" s="15" t="n">
        <f aca="false">IF(N280="","",N280+14)</f>
        <v>2026</v>
      </c>
      <c r="Q280" s="15" t="n">
        <f aca="false">IF(N280="","",IF(N280&lt;Scoring!$B$12,"n/a (pre-1990)",N280+Scoring!$B$13))</f>
        <v>2041</v>
      </c>
      <c r="R280" s="15" t="str">
        <f aca="false">IF(J280="","Unknown",IF(J280&gt;=5,"Yes","No (under 5 units)"))</f>
        <v>Yes</v>
      </c>
      <c r="S280" s="15" t="s">
        <v>1121</v>
      </c>
      <c r="T280" s="18"/>
      <c r="U280" s="19"/>
      <c r="V280" s="18"/>
      <c r="W280" s="18"/>
      <c r="X280" s="20"/>
      <c r="Y280" s="18"/>
      <c r="Z280" s="18"/>
      <c r="AA280" s="21" t="n">
        <f aca="false">IF(U280&lt;&gt;"",(U280-Scoring!$B$3)/365.25,IF(N280="","",IF(N280&lt;Scoring!$B$12,"",(DATE(N280+Scoring!$B$13,12,31)-Scoring!$B$3)/365.25)))</f>
        <v>15.2470910335387</v>
      </c>
      <c r="AB280" s="22" t="n">
        <f aca="false">IF(T280="Y",0,IF(OR(D280="Expired (verified)",D280="Expiring: notice window (verified)",D280="Expiring: 10-yr horizon (verified)",D280="Past 30-yr mark (verify)",D280="30-yr mark: notice window (est.)",D280="Year-15 window"),1,0)+IF(ISNUMBER(O280),IF(O280&gt;=Scoring!$B$10,1,0),0)+IF(AND(ISNUMBER(L280),ISNUMBER(J280)),IF(J280&gt;0,IF(L280/J280&gt;=Scoring!$B$11,1,0),0),0)+IF(ISNUMBER(Z280),MIN(Z280,3),0))</f>
        <v>1</v>
      </c>
      <c r="AC280" s="22" t="n">
        <f aca="false">IF(AB280&gt;=3,Scoring!$C$24,IF(AB280=2,Scoring!$C$23,IF(AB280=1,Scoring!$C$22,0)))</f>
        <v>10</v>
      </c>
      <c r="AD280" s="22" t="n">
        <f aca="false">IF(T280="Y",0,IF(ISNUMBER(X280),IF(X280&gt;0.7,Scoring!$C$25,IF(X280&gt;=0.5,Scoring!$C$26,IF(X280&gt;=0.3,Scoring!$C$27,Scoring!$C$28))),Scoring!$C$29))</f>
        <v>10</v>
      </c>
      <c r="AE280" s="22" t="n">
        <f aca="false">IF(D280="Expiring: notice window (verified)",Scoring!$C$30,IF(OR(D280="Expired (verified)",D280="30-yr mark: notice window (est.)",D280="Year-15 window"),Scoring!$C$31,IF(D280="Expiring: 10-yr horizon (verified)",Scoring!$C$32,IF(D280="Past 30-yr mark (verify)",Scoring!$C$33,IF(OR(D280="Credit period",D280="Superseded record"),Scoring!$C$35,Scoring!$C$34)))))</f>
        <v>14</v>
      </c>
      <c r="AF280" s="22" t="n">
        <f aca="false">IF(T280="Y",0,IF(ISNUMBER(V280),IF(Scoring!$B$4-V280&gt;15,Scoring!$C$36,IF(Scoring!$B$4-V280&gt;=10,Scoring!$C$37,IF(Scoring!$B$4-V280&gt;=5,Scoring!$C$38,Scoring!$C$39))),IF(OR(N280="",D280="Out of program"),Scoring!$C$40,IF(O280&gt;15,Scoring!$C$36,IF(O280&gt;=10,Scoring!$C$37,IF(O280&gt;=5,Scoring!$C$38,Scoring!$C$39))))))</f>
        <v>12</v>
      </c>
      <c r="AG280" s="22" t="n">
        <f aca="false">IF(T280="Y",0,IF(Y280="Y",Scoring!$C$41,IF(ISNUMBER(O280),IF(O280&gt;=25,Scoring!$C$42,IF(O280&gt;=15,Scoring!$C$43,Scoring!$C$44)),Scoring!$C$44)))</f>
        <v>2</v>
      </c>
      <c r="AH280" s="22" t="n">
        <f aca="false">IF(T280="Y",0,IF(W280="",Scoring!$C$49,IFERROR(VLOOKUP(W280,Scoring!$B$45:$C$48,2,FALSE()),Scoring!$C$49)))</f>
        <v>5</v>
      </c>
      <c r="AI280" s="23" t="n">
        <f aca="false">C280+IF(ISNUMBER(J280),J280,0)/100000+(10000-ROW())/1000000000</f>
        <v>53.00062972</v>
      </c>
      <c r="AJ280" s="18"/>
      <c r="AK280" s="18"/>
      <c r="AL280" s="18"/>
      <c r="AM280" s="18"/>
    </row>
    <row r="281" customFormat="false" ht="15" hidden="false" customHeight="false" outlineLevel="0" collapsed="false">
      <c r="A281" s="15" t="n">
        <f aca="false">RANK(AI281,$AI$2:$AI$755)</f>
        <v>280</v>
      </c>
      <c r="B281" s="16" t="str">
        <f aca="false">IF(T281="Y","Superseded",IF(C281&gt;=Scoring!$B$16,"Immediate",IF(C281&gt;=Scoring!$B$17,"This week",IF(C281&gt;=Scoring!$B$18,"Nurture","Low"))))</f>
        <v>This week</v>
      </c>
      <c r="C281" s="3" t="n">
        <f aca="false">SUM(AC281:AH281)</f>
        <v>53</v>
      </c>
      <c r="D281" s="15" t="str">
        <f aca="false">IF(T281="Y","Superseded record",IF(AND(U281&lt;&gt;"",AA281&lt;0),"Expired (verified)",IF(AND(U281&lt;&gt;"",AA281&lt;=Scoring!$B$5),"Expiring: notice window (verified)",IF(AND(U281&lt;&gt;"",AA281&lt;=Scoring!$B$6),"Expiring: 10-yr horizon (verified)",IF(M281="No Longer Monitored","Out of program",IF(N281="","Unknown vintage",IF(N281&lt;Scoring!$B$12,"Pre-1990, still listed",IF(AND(U281="",AA281&lt;0),"Past 30-yr mark (verify)",IF(AND(U281="",AA281&lt;=Scoring!$B$5),"30-yr mark: notice window (est.)",IF(AND(O281&gt;=Scoring!$B$7,O281&lt;=Scoring!$B$8),"Year-15 window",IF(O281&gt;=Scoring!$B$9,"Recap window",IF(O281&gt;=11,"Late compliance","Credit period"))))))))))))</f>
        <v>Year-15 window</v>
      </c>
      <c r="E281" s="15" t="s">
        <v>1122</v>
      </c>
      <c r="F281" s="15" t="s">
        <v>1123</v>
      </c>
      <c r="G281" s="15" t="s">
        <v>1124</v>
      </c>
      <c r="H281" s="15" t="s">
        <v>536</v>
      </c>
      <c r="I281" s="15" t="s">
        <v>537</v>
      </c>
      <c r="J281" s="15" t="n">
        <v>56</v>
      </c>
      <c r="K281" s="15" t="n">
        <v>56</v>
      </c>
      <c r="L281" s="15" t="n">
        <f aca="false">IF(OR(J281="",K281=""),"",MAX(J281-K281,0))</f>
        <v>0</v>
      </c>
      <c r="M281" s="15" t="s">
        <v>99</v>
      </c>
      <c r="N281" s="17" t="n">
        <v>2012</v>
      </c>
      <c r="O281" s="15" t="n">
        <f aca="false">IF(N281="","",Scoring!$B$4-N281)</f>
        <v>14</v>
      </c>
      <c r="P281" s="15" t="n">
        <f aca="false">IF(N281="","",N281+14)</f>
        <v>2026</v>
      </c>
      <c r="Q281" s="15" t="n">
        <f aca="false">IF(N281="","",IF(N281&lt;Scoring!$B$12,"n/a (pre-1990)",N281+Scoring!$B$13))</f>
        <v>2041</v>
      </c>
      <c r="R281" s="15" t="str">
        <f aca="false">IF(J281="","Unknown",IF(J281&gt;=5,"Yes","No (under 5 units)"))</f>
        <v>Yes</v>
      </c>
      <c r="S281" s="15"/>
      <c r="T281" s="18"/>
      <c r="U281" s="19"/>
      <c r="V281" s="18"/>
      <c r="W281" s="18"/>
      <c r="X281" s="20"/>
      <c r="Y281" s="18"/>
      <c r="Z281" s="18"/>
      <c r="AA281" s="21" t="n">
        <f aca="false">IF(U281&lt;&gt;"",(U281-Scoring!$B$3)/365.25,IF(N281="","",IF(N281&lt;Scoring!$B$12,"",(DATE(N281+Scoring!$B$13,12,31)-Scoring!$B$3)/365.25)))</f>
        <v>15.2470910335387</v>
      </c>
      <c r="AB281" s="22" t="n">
        <f aca="false">IF(T281="Y",0,IF(OR(D281="Expired (verified)",D281="Expiring: notice window (verified)",D281="Expiring: 10-yr horizon (verified)",D281="Past 30-yr mark (verify)",D281="30-yr mark: notice window (est.)",D281="Year-15 window"),1,0)+IF(ISNUMBER(O281),IF(O281&gt;=Scoring!$B$10,1,0),0)+IF(AND(ISNUMBER(L281),ISNUMBER(J281)),IF(J281&gt;0,IF(L281/J281&gt;=Scoring!$B$11,1,0),0),0)+IF(ISNUMBER(Z281),MIN(Z281,3),0))</f>
        <v>1</v>
      </c>
      <c r="AC281" s="22" t="n">
        <f aca="false">IF(AB281&gt;=3,Scoring!$C$24,IF(AB281=2,Scoring!$C$23,IF(AB281=1,Scoring!$C$22,0)))</f>
        <v>10</v>
      </c>
      <c r="AD281" s="22" t="n">
        <f aca="false">IF(T281="Y",0,IF(ISNUMBER(X281),IF(X281&gt;0.7,Scoring!$C$25,IF(X281&gt;=0.5,Scoring!$C$26,IF(X281&gt;=0.3,Scoring!$C$27,Scoring!$C$28))),Scoring!$C$29))</f>
        <v>10</v>
      </c>
      <c r="AE281" s="22" t="n">
        <f aca="false">IF(D281="Expiring: notice window (verified)",Scoring!$C$30,IF(OR(D281="Expired (verified)",D281="30-yr mark: notice window (est.)",D281="Year-15 window"),Scoring!$C$31,IF(D281="Expiring: 10-yr horizon (verified)",Scoring!$C$32,IF(D281="Past 30-yr mark (verify)",Scoring!$C$33,IF(OR(D281="Credit period",D281="Superseded record"),Scoring!$C$35,Scoring!$C$34)))))</f>
        <v>14</v>
      </c>
      <c r="AF281" s="22" t="n">
        <f aca="false">IF(T281="Y",0,IF(ISNUMBER(V281),IF(Scoring!$B$4-V281&gt;15,Scoring!$C$36,IF(Scoring!$B$4-V281&gt;=10,Scoring!$C$37,IF(Scoring!$B$4-V281&gt;=5,Scoring!$C$38,Scoring!$C$39))),IF(OR(N281="",D281="Out of program"),Scoring!$C$40,IF(O281&gt;15,Scoring!$C$36,IF(O281&gt;=10,Scoring!$C$37,IF(O281&gt;=5,Scoring!$C$38,Scoring!$C$39))))))</f>
        <v>12</v>
      </c>
      <c r="AG281" s="22" t="n">
        <f aca="false">IF(T281="Y",0,IF(Y281="Y",Scoring!$C$41,IF(ISNUMBER(O281),IF(O281&gt;=25,Scoring!$C$42,IF(O281&gt;=15,Scoring!$C$43,Scoring!$C$44)),Scoring!$C$44)))</f>
        <v>2</v>
      </c>
      <c r="AH281" s="22" t="n">
        <f aca="false">IF(T281="Y",0,IF(W281="",Scoring!$C$49,IFERROR(VLOOKUP(W281,Scoring!$B$45:$C$48,2,FALSE()),Scoring!$C$49)))</f>
        <v>5</v>
      </c>
      <c r="AI281" s="23" t="n">
        <f aca="false">C281+IF(ISNUMBER(J281),J281,0)/100000+(10000-ROW())/1000000000</f>
        <v>53.000569719</v>
      </c>
      <c r="AJ281" s="18"/>
      <c r="AK281" s="18"/>
      <c r="AL281" s="18"/>
      <c r="AM281" s="18"/>
    </row>
    <row r="282" customFormat="false" ht="15" hidden="false" customHeight="false" outlineLevel="0" collapsed="false">
      <c r="A282" s="15" t="n">
        <f aca="false">RANK(AI282,$AI$2:$AI$755)</f>
        <v>281</v>
      </c>
      <c r="B282" s="16" t="str">
        <f aca="false">IF(T282="Y","Superseded",IF(C282&gt;=Scoring!$B$16,"Immediate",IF(C282&gt;=Scoring!$B$17,"This week",IF(C282&gt;=Scoring!$B$18,"Nurture","Low"))))</f>
        <v>This week</v>
      </c>
      <c r="C282" s="3" t="n">
        <f aca="false">SUM(AC282:AH282)</f>
        <v>53</v>
      </c>
      <c r="D282" s="15" t="str">
        <f aca="false">IF(T282="Y","Superseded record",IF(AND(U282&lt;&gt;"",AA282&lt;0),"Expired (verified)",IF(AND(U282&lt;&gt;"",AA282&lt;=Scoring!$B$5),"Expiring: notice window (verified)",IF(AND(U282&lt;&gt;"",AA282&lt;=Scoring!$B$6),"Expiring: 10-yr horizon (verified)",IF(M282="No Longer Monitored","Out of program",IF(N282="","Unknown vintage",IF(N282&lt;Scoring!$B$12,"Pre-1990, still listed",IF(AND(U282="",AA282&lt;0),"Past 30-yr mark (verify)",IF(AND(U282="",AA282&lt;=Scoring!$B$5),"30-yr mark: notice window (est.)",IF(AND(O282&gt;=Scoring!$B$7,O282&lt;=Scoring!$B$8),"Year-15 window",IF(O282&gt;=Scoring!$B$9,"Recap window",IF(O282&gt;=11,"Late compliance","Credit period"))))))))))))</f>
        <v>Year-15 window</v>
      </c>
      <c r="E282" s="15" t="s">
        <v>1125</v>
      </c>
      <c r="F282" s="15" t="s">
        <v>1126</v>
      </c>
      <c r="G282" s="15" t="s">
        <v>1127</v>
      </c>
      <c r="H282" s="15" t="s">
        <v>232</v>
      </c>
      <c r="I282" s="15" t="s">
        <v>640</v>
      </c>
      <c r="J282" s="15" t="n">
        <v>56</v>
      </c>
      <c r="K282" s="15" t="n">
        <v>56</v>
      </c>
      <c r="L282" s="15" t="n">
        <f aca="false">IF(OR(J282="",K282=""),"",MAX(J282-K282,0))</f>
        <v>0</v>
      </c>
      <c r="M282" s="15" t="s">
        <v>99</v>
      </c>
      <c r="N282" s="17" t="n">
        <v>2012</v>
      </c>
      <c r="O282" s="15" t="n">
        <f aca="false">IF(N282="","",Scoring!$B$4-N282)</f>
        <v>14</v>
      </c>
      <c r="P282" s="15" t="n">
        <f aca="false">IF(N282="","",N282+14)</f>
        <v>2026</v>
      </c>
      <c r="Q282" s="15" t="n">
        <f aca="false">IF(N282="","",IF(N282&lt;Scoring!$B$12,"n/a (pre-1990)",N282+Scoring!$B$13))</f>
        <v>2041</v>
      </c>
      <c r="R282" s="15" t="str">
        <f aca="false">IF(J282="","Unknown",IF(J282&gt;=5,"Yes","No (under 5 units)"))</f>
        <v>Yes</v>
      </c>
      <c r="S282" s="15"/>
      <c r="T282" s="18"/>
      <c r="U282" s="19"/>
      <c r="V282" s="18"/>
      <c r="W282" s="18"/>
      <c r="X282" s="20"/>
      <c r="Y282" s="18"/>
      <c r="Z282" s="18"/>
      <c r="AA282" s="21" t="n">
        <f aca="false">IF(U282&lt;&gt;"",(U282-Scoring!$B$3)/365.25,IF(N282="","",IF(N282&lt;Scoring!$B$12,"",(DATE(N282+Scoring!$B$13,12,31)-Scoring!$B$3)/365.25)))</f>
        <v>15.2470910335387</v>
      </c>
      <c r="AB282" s="22" t="n">
        <f aca="false">IF(T282="Y",0,IF(OR(D282="Expired (verified)",D282="Expiring: notice window (verified)",D282="Expiring: 10-yr horizon (verified)",D282="Past 30-yr mark (verify)",D282="30-yr mark: notice window (est.)",D282="Year-15 window"),1,0)+IF(ISNUMBER(O282),IF(O282&gt;=Scoring!$B$10,1,0),0)+IF(AND(ISNUMBER(L282),ISNUMBER(J282)),IF(J282&gt;0,IF(L282/J282&gt;=Scoring!$B$11,1,0),0),0)+IF(ISNUMBER(Z282),MIN(Z282,3),0))</f>
        <v>1</v>
      </c>
      <c r="AC282" s="22" t="n">
        <f aca="false">IF(AB282&gt;=3,Scoring!$C$24,IF(AB282=2,Scoring!$C$23,IF(AB282=1,Scoring!$C$22,0)))</f>
        <v>10</v>
      </c>
      <c r="AD282" s="22" t="n">
        <f aca="false">IF(T282="Y",0,IF(ISNUMBER(X282),IF(X282&gt;0.7,Scoring!$C$25,IF(X282&gt;=0.5,Scoring!$C$26,IF(X282&gt;=0.3,Scoring!$C$27,Scoring!$C$28))),Scoring!$C$29))</f>
        <v>10</v>
      </c>
      <c r="AE282" s="22" t="n">
        <f aca="false">IF(D282="Expiring: notice window (verified)",Scoring!$C$30,IF(OR(D282="Expired (verified)",D282="30-yr mark: notice window (est.)",D282="Year-15 window"),Scoring!$C$31,IF(D282="Expiring: 10-yr horizon (verified)",Scoring!$C$32,IF(D282="Past 30-yr mark (verify)",Scoring!$C$33,IF(OR(D282="Credit period",D282="Superseded record"),Scoring!$C$35,Scoring!$C$34)))))</f>
        <v>14</v>
      </c>
      <c r="AF282" s="22" t="n">
        <f aca="false">IF(T282="Y",0,IF(ISNUMBER(V282),IF(Scoring!$B$4-V282&gt;15,Scoring!$C$36,IF(Scoring!$B$4-V282&gt;=10,Scoring!$C$37,IF(Scoring!$B$4-V282&gt;=5,Scoring!$C$38,Scoring!$C$39))),IF(OR(N282="",D282="Out of program"),Scoring!$C$40,IF(O282&gt;15,Scoring!$C$36,IF(O282&gt;=10,Scoring!$C$37,IF(O282&gt;=5,Scoring!$C$38,Scoring!$C$39))))))</f>
        <v>12</v>
      </c>
      <c r="AG282" s="22" t="n">
        <f aca="false">IF(T282="Y",0,IF(Y282="Y",Scoring!$C$41,IF(ISNUMBER(O282),IF(O282&gt;=25,Scoring!$C$42,IF(O282&gt;=15,Scoring!$C$43,Scoring!$C$44)),Scoring!$C$44)))</f>
        <v>2</v>
      </c>
      <c r="AH282" s="22" t="n">
        <f aca="false">IF(T282="Y",0,IF(W282="",Scoring!$C$49,IFERROR(VLOOKUP(W282,Scoring!$B$45:$C$48,2,FALSE()),Scoring!$C$49)))</f>
        <v>5</v>
      </c>
      <c r="AI282" s="23" t="n">
        <f aca="false">C282+IF(ISNUMBER(J282),J282,0)/100000+(10000-ROW())/1000000000</f>
        <v>53.000569718</v>
      </c>
      <c r="AJ282" s="18"/>
      <c r="AK282" s="18"/>
      <c r="AL282" s="18"/>
      <c r="AM282" s="18"/>
    </row>
    <row r="283" customFormat="false" ht="15" hidden="false" customHeight="false" outlineLevel="0" collapsed="false">
      <c r="A283" s="15" t="n">
        <f aca="false">RANK(AI283,$AI$2:$AI$755)</f>
        <v>282</v>
      </c>
      <c r="B283" s="16" t="str">
        <f aca="false">IF(T283="Y","Superseded",IF(C283&gt;=Scoring!$B$16,"Immediate",IF(C283&gt;=Scoring!$B$17,"This week",IF(C283&gt;=Scoring!$B$18,"Nurture","Low"))))</f>
        <v>This week</v>
      </c>
      <c r="C283" s="3" t="n">
        <f aca="false">SUM(AC283:AH283)</f>
        <v>53</v>
      </c>
      <c r="D283" s="15" t="str">
        <f aca="false">IF(T283="Y","Superseded record",IF(AND(U283&lt;&gt;"",AA283&lt;0),"Expired (verified)",IF(AND(U283&lt;&gt;"",AA283&lt;=Scoring!$B$5),"Expiring: notice window (verified)",IF(AND(U283&lt;&gt;"",AA283&lt;=Scoring!$B$6),"Expiring: 10-yr horizon (verified)",IF(M283="No Longer Monitored","Out of program",IF(N283="","Unknown vintage",IF(N283&lt;Scoring!$B$12,"Pre-1990, still listed",IF(AND(U283="",AA283&lt;0),"Past 30-yr mark (verify)",IF(AND(U283="",AA283&lt;=Scoring!$B$5),"30-yr mark: notice window (est.)",IF(AND(O283&gt;=Scoring!$B$7,O283&lt;=Scoring!$B$8),"Year-15 window",IF(O283&gt;=Scoring!$B$9,"Recap window",IF(O283&gt;=11,"Late compliance","Credit period"))))))))))))</f>
        <v>Year-15 window</v>
      </c>
      <c r="E283" s="15" t="s">
        <v>1128</v>
      </c>
      <c r="F283" s="15" t="s">
        <v>1129</v>
      </c>
      <c r="G283" s="15" t="s">
        <v>1130</v>
      </c>
      <c r="H283" s="15" t="s">
        <v>97</v>
      </c>
      <c r="I283" s="15" t="s">
        <v>929</v>
      </c>
      <c r="J283" s="15" t="n">
        <v>55</v>
      </c>
      <c r="K283" s="15" t="n">
        <v>55</v>
      </c>
      <c r="L283" s="15" t="n">
        <f aca="false">IF(OR(J283="",K283=""),"",MAX(J283-K283,0))</f>
        <v>0</v>
      </c>
      <c r="M283" s="15" t="s">
        <v>99</v>
      </c>
      <c r="N283" s="17" t="n">
        <v>2012</v>
      </c>
      <c r="O283" s="15" t="n">
        <f aca="false">IF(N283="","",Scoring!$B$4-N283)</f>
        <v>14</v>
      </c>
      <c r="P283" s="15" t="n">
        <f aca="false">IF(N283="","",N283+14)</f>
        <v>2026</v>
      </c>
      <c r="Q283" s="15" t="n">
        <f aca="false">IF(N283="","",IF(N283&lt;Scoring!$B$12,"n/a (pre-1990)",N283+Scoring!$B$13))</f>
        <v>2041</v>
      </c>
      <c r="R283" s="15" t="str">
        <f aca="false">IF(J283="","Unknown",IF(J283&gt;=5,"Yes","No (under 5 units)"))</f>
        <v>Yes</v>
      </c>
      <c r="S283" s="15"/>
      <c r="T283" s="18"/>
      <c r="U283" s="19"/>
      <c r="V283" s="18"/>
      <c r="W283" s="18"/>
      <c r="X283" s="20"/>
      <c r="Y283" s="18"/>
      <c r="Z283" s="18"/>
      <c r="AA283" s="21" t="n">
        <f aca="false">IF(U283&lt;&gt;"",(U283-Scoring!$B$3)/365.25,IF(N283="","",IF(N283&lt;Scoring!$B$12,"",(DATE(N283+Scoring!$B$13,12,31)-Scoring!$B$3)/365.25)))</f>
        <v>15.2470910335387</v>
      </c>
      <c r="AB283" s="22" t="n">
        <f aca="false">IF(T283="Y",0,IF(OR(D283="Expired (verified)",D283="Expiring: notice window (verified)",D283="Expiring: 10-yr horizon (verified)",D283="Past 30-yr mark (verify)",D283="30-yr mark: notice window (est.)",D283="Year-15 window"),1,0)+IF(ISNUMBER(O283),IF(O283&gt;=Scoring!$B$10,1,0),0)+IF(AND(ISNUMBER(L283),ISNUMBER(J283)),IF(J283&gt;0,IF(L283/J283&gt;=Scoring!$B$11,1,0),0),0)+IF(ISNUMBER(Z283),MIN(Z283,3),0))</f>
        <v>1</v>
      </c>
      <c r="AC283" s="22" t="n">
        <f aca="false">IF(AB283&gt;=3,Scoring!$C$24,IF(AB283=2,Scoring!$C$23,IF(AB283=1,Scoring!$C$22,0)))</f>
        <v>10</v>
      </c>
      <c r="AD283" s="22" t="n">
        <f aca="false">IF(T283="Y",0,IF(ISNUMBER(X283),IF(X283&gt;0.7,Scoring!$C$25,IF(X283&gt;=0.5,Scoring!$C$26,IF(X283&gt;=0.3,Scoring!$C$27,Scoring!$C$28))),Scoring!$C$29))</f>
        <v>10</v>
      </c>
      <c r="AE283" s="22" t="n">
        <f aca="false">IF(D283="Expiring: notice window (verified)",Scoring!$C$30,IF(OR(D283="Expired (verified)",D283="30-yr mark: notice window (est.)",D283="Year-15 window"),Scoring!$C$31,IF(D283="Expiring: 10-yr horizon (verified)",Scoring!$C$32,IF(D283="Past 30-yr mark (verify)",Scoring!$C$33,IF(OR(D283="Credit period",D283="Superseded record"),Scoring!$C$35,Scoring!$C$34)))))</f>
        <v>14</v>
      </c>
      <c r="AF283" s="22" t="n">
        <f aca="false">IF(T283="Y",0,IF(ISNUMBER(V283),IF(Scoring!$B$4-V283&gt;15,Scoring!$C$36,IF(Scoring!$B$4-V283&gt;=10,Scoring!$C$37,IF(Scoring!$B$4-V283&gt;=5,Scoring!$C$38,Scoring!$C$39))),IF(OR(N283="",D283="Out of program"),Scoring!$C$40,IF(O283&gt;15,Scoring!$C$36,IF(O283&gt;=10,Scoring!$C$37,IF(O283&gt;=5,Scoring!$C$38,Scoring!$C$39))))))</f>
        <v>12</v>
      </c>
      <c r="AG283" s="22" t="n">
        <f aca="false">IF(T283="Y",0,IF(Y283="Y",Scoring!$C$41,IF(ISNUMBER(O283),IF(O283&gt;=25,Scoring!$C$42,IF(O283&gt;=15,Scoring!$C$43,Scoring!$C$44)),Scoring!$C$44)))</f>
        <v>2</v>
      </c>
      <c r="AH283" s="22" t="n">
        <f aca="false">IF(T283="Y",0,IF(W283="",Scoring!$C$49,IFERROR(VLOOKUP(W283,Scoring!$B$45:$C$48,2,FALSE()),Scoring!$C$49)))</f>
        <v>5</v>
      </c>
      <c r="AI283" s="23" t="n">
        <f aca="false">C283+IF(ISNUMBER(J283),J283,0)/100000+(10000-ROW())/1000000000</f>
        <v>53.000559717</v>
      </c>
      <c r="AJ283" s="18"/>
      <c r="AK283" s="18"/>
      <c r="AL283" s="18"/>
      <c r="AM283" s="18"/>
    </row>
    <row r="284" customFormat="false" ht="15" hidden="false" customHeight="false" outlineLevel="0" collapsed="false">
      <c r="A284" s="15" t="n">
        <f aca="false">RANK(AI284,$AI$2:$AI$755)</f>
        <v>283</v>
      </c>
      <c r="B284" s="16" t="str">
        <f aca="false">IF(T284="Y","Superseded",IF(C284&gt;=Scoring!$B$16,"Immediate",IF(C284&gt;=Scoring!$B$17,"This week",IF(C284&gt;=Scoring!$B$18,"Nurture","Low"))))</f>
        <v>This week</v>
      </c>
      <c r="C284" s="3" t="n">
        <f aca="false">SUM(AC284:AH284)</f>
        <v>53</v>
      </c>
      <c r="D284" s="15" t="str">
        <f aca="false">IF(T284="Y","Superseded record",IF(AND(U284&lt;&gt;"",AA284&lt;0),"Expired (verified)",IF(AND(U284&lt;&gt;"",AA284&lt;=Scoring!$B$5),"Expiring: notice window (verified)",IF(AND(U284&lt;&gt;"",AA284&lt;=Scoring!$B$6),"Expiring: 10-yr horizon (verified)",IF(M284="No Longer Monitored","Out of program",IF(N284="","Unknown vintage",IF(N284&lt;Scoring!$B$12,"Pre-1990, still listed",IF(AND(U284="",AA284&lt;0),"Past 30-yr mark (verify)",IF(AND(U284="",AA284&lt;=Scoring!$B$5),"30-yr mark: notice window (est.)",IF(AND(O284&gt;=Scoring!$B$7,O284&lt;=Scoring!$B$8),"Year-15 window",IF(O284&gt;=Scoring!$B$9,"Recap window",IF(O284&gt;=11,"Late compliance","Credit period"))))))))))))</f>
        <v>Year-15 window</v>
      </c>
      <c r="E284" s="15" t="s">
        <v>1131</v>
      </c>
      <c r="F284" s="15" t="s">
        <v>1132</v>
      </c>
      <c r="G284" s="15" t="s">
        <v>1133</v>
      </c>
      <c r="H284" s="15" t="s">
        <v>240</v>
      </c>
      <c r="I284" s="15" t="s">
        <v>733</v>
      </c>
      <c r="J284" s="15" t="n">
        <v>55</v>
      </c>
      <c r="K284" s="15" t="n">
        <v>54</v>
      </c>
      <c r="L284" s="15" t="n">
        <f aca="false">IF(OR(J284="",K284=""),"",MAX(J284-K284,0))</f>
        <v>1</v>
      </c>
      <c r="M284" s="15" t="s">
        <v>99</v>
      </c>
      <c r="N284" s="17" t="n">
        <v>2013</v>
      </c>
      <c r="O284" s="15" t="n">
        <f aca="false">IF(N284="","",Scoring!$B$4-N284)</f>
        <v>13</v>
      </c>
      <c r="P284" s="15" t="n">
        <f aca="false">IF(N284="","",N284+14)</f>
        <v>2027</v>
      </c>
      <c r="Q284" s="15" t="n">
        <f aca="false">IF(N284="","",IF(N284&lt;Scoring!$B$12,"n/a (pre-1990)",N284+Scoring!$B$13))</f>
        <v>2042</v>
      </c>
      <c r="R284" s="15" t="str">
        <f aca="false">IF(J284="","Unknown",IF(J284&gt;=5,"Yes","No (under 5 units)"))</f>
        <v>Yes</v>
      </c>
      <c r="S284" s="15"/>
      <c r="T284" s="18"/>
      <c r="U284" s="19"/>
      <c r="V284" s="18"/>
      <c r="W284" s="18"/>
      <c r="X284" s="20"/>
      <c r="Y284" s="18"/>
      <c r="Z284" s="18"/>
      <c r="AA284" s="21" t="n">
        <f aca="false">IF(U284&lt;&gt;"",(U284-Scoring!$B$3)/365.25,IF(N284="","",IF(N284&lt;Scoring!$B$12,"",(DATE(N284+Scoring!$B$13,12,31)-Scoring!$B$3)/365.25)))</f>
        <v>16.2464065708419</v>
      </c>
      <c r="AB284" s="22" t="n">
        <f aca="false">IF(T284="Y",0,IF(OR(D284="Expired (verified)",D284="Expiring: notice window (verified)",D284="Expiring: 10-yr horizon (verified)",D284="Past 30-yr mark (verify)",D284="30-yr mark: notice window (est.)",D284="Year-15 window"),1,0)+IF(ISNUMBER(O284),IF(O284&gt;=Scoring!$B$10,1,0),0)+IF(AND(ISNUMBER(L284),ISNUMBER(J284)),IF(J284&gt;0,IF(L284/J284&gt;=Scoring!$B$11,1,0),0),0)+IF(ISNUMBER(Z284),MIN(Z284,3),0))</f>
        <v>1</v>
      </c>
      <c r="AC284" s="22" t="n">
        <f aca="false">IF(AB284&gt;=3,Scoring!$C$24,IF(AB284=2,Scoring!$C$23,IF(AB284=1,Scoring!$C$22,0)))</f>
        <v>10</v>
      </c>
      <c r="AD284" s="22" t="n">
        <f aca="false">IF(T284="Y",0,IF(ISNUMBER(X284),IF(X284&gt;0.7,Scoring!$C$25,IF(X284&gt;=0.5,Scoring!$C$26,IF(X284&gt;=0.3,Scoring!$C$27,Scoring!$C$28))),Scoring!$C$29))</f>
        <v>10</v>
      </c>
      <c r="AE284" s="22" t="n">
        <f aca="false">IF(D284="Expiring: notice window (verified)",Scoring!$C$30,IF(OR(D284="Expired (verified)",D284="30-yr mark: notice window (est.)",D284="Year-15 window"),Scoring!$C$31,IF(D284="Expiring: 10-yr horizon (verified)",Scoring!$C$32,IF(D284="Past 30-yr mark (verify)",Scoring!$C$33,IF(OR(D284="Credit period",D284="Superseded record"),Scoring!$C$35,Scoring!$C$34)))))</f>
        <v>14</v>
      </c>
      <c r="AF284" s="22" t="n">
        <f aca="false">IF(T284="Y",0,IF(ISNUMBER(V284),IF(Scoring!$B$4-V284&gt;15,Scoring!$C$36,IF(Scoring!$B$4-V284&gt;=10,Scoring!$C$37,IF(Scoring!$B$4-V284&gt;=5,Scoring!$C$38,Scoring!$C$39))),IF(OR(N284="",D284="Out of program"),Scoring!$C$40,IF(O284&gt;15,Scoring!$C$36,IF(O284&gt;=10,Scoring!$C$37,IF(O284&gt;=5,Scoring!$C$38,Scoring!$C$39))))))</f>
        <v>12</v>
      </c>
      <c r="AG284" s="22" t="n">
        <f aca="false">IF(T284="Y",0,IF(Y284="Y",Scoring!$C$41,IF(ISNUMBER(O284),IF(O284&gt;=25,Scoring!$C$42,IF(O284&gt;=15,Scoring!$C$43,Scoring!$C$44)),Scoring!$C$44)))</f>
        <v>2</v>
      </c>
      <c r="AH284" s="22" t="n">
        <f aca="false">IF(T284="Y",0,IF(W284="",Scoring!$C$49,IFERROR(VLOOKUP(W284,Scoring!$B$45:$C$48,2,FALSE()),Scoring!$C$49)))</f>
        <v>5</v>
      </c>
      <c r="AI284" s="23" t="n">
        <f aca="false">C284+IF(ISNUMBER(J284),J284,0)/100000+(10000-ROW())/1000000000</f>
        <v>53.000559716</v>
      </c>
      <c r="AJ284" s="18"/>
      <c r="AK284" s="18"/>
      <c r="AL284" s="18"/>
      <c r="AM284" s="18"/>
    </row>
    <row r="285" customFormat="false" ht="15" hidden="false" customHeight="false" outlineLevel="0" collapsed="false">
      <c r="A285" s="15" t="n">
        <f aca="false">RANK(AI285,$AI$2:$AI$755)</f>
        <v>284</v>
      </c>
      <c r="B285" s="16" t="str">
        <f aca="false">IF(T285="Y","Superseded",IF(C285&gt;=Scoring!$B$16,"Immediate",IF(C285&gt;=Scoring!$B$17,"This week",IF(C285&gt;=Scoring!$B$18,"Nurture","Low"))))</f>
        <v>This week</v>
      </c>
      <c r="C285" s="3" t="n">
        <f aca="false">SUM(AC285:AH285)</f>
        <v>53</v>
      </c>
      <c r="D285" s="15" t="str">
        <f aca="false">IF(T285="Y","Superseded record",IF(AND(U285&lt;&gt;"",AA285&lt;0),"Expired (verified)",IF(AND(U285&lt;&gt;"",AA285&lt;=Scoring!$B$5),"Expiring: notice window (verified)",IF(AND(U285&lt;&gt;"",AA285&lt;=Scoring!$B$6),"Expiring: 10-yr horizon (verified)",IF(M285="No Longer Monitored","Out of program",IF(N285="","Unknown vintage",IF(N285&lt;Scoring!$B$12,"Pre-1990, still listed",IF(AND(U285="",AA285&lt;0),"Past 30-yr mark (verify)",IF(AND(U285="",AA285&lt;=Scoring!$B$5),"30-yr mark: notice window (est.)",IF(AND(O285&gt;=Scoring!$B$7,O285&lt;=Scoring!$B$8),"Year-15 window",IF(O285&gt;=Scoring!$B$9,"Recap window",IF(O285&gt;=11,"Late compliance","Credit period"))))))))))))</f>
        <v>Year-15 window</v>
      </c>
      <c r="E285" s="15" t="s">
        <v>1134</v>
      </c>
      <c r="F285" s="15" t="s">
        <v>1135</v>
      </c>
      <c r="G285" s="15" t="s">
        <v>1136</v>
      </c>
      <c r="H285" s="15" t="s">
        <v>232</v>
      </c>
      <c r="I285" s="15" t="s">
        <v>233</v>
      </c>
      <c r="J285" s="15" t="n">
        <v>54</v>
      </c>
      <c r="K285" s="15" t="n">
        <v>108</v>
      </c>
      <c r="L285" s="15" t="n">
        <f aca="false">IF(OR(J285="",K285=""),"",MAX(J285-K285,0))</f>
        <v>0</v>
      </c>
      <c r="M285" s="15" t="s">
        <v>99</v>
      </c>
      <c r="N285" s="17" t="n">
        <v>2013</v>
      </c>
      <c r="O285" s="15" t="n">
        <f aca="false">IF(N285="","",Scoring!$B$4-N285)</f>
        <v>13</v>
      </c>
      <c r="P285" s="15" t="n">
        <f aca="false">IF(N285="","",N285+14)</f>
        <v>2027</v>
      </c>
      <c r="Q285" s="15" t="n">
        <f aca="false">IF(N285="","",IF(N285&lt;Scoring!$B$12,"n/a (pre-1990)",N285+Scoring!$B$13))</f>
        <v>2042</v>
      </c>
      <c r="R285" s="15" t="str">
        <f aca="false">IF(J285="","Unknown",IF(J285&gt;=5,"Yes","No (under 5 units)"))</f>
        <v>Yes</v>
      </c>
      <c r="S285" s="15" t="s">
        <v>1086</v>
      </c>
      <c r="T285" s="18"/>
      <c r="U285" s="19"/>
      <c r="V285" s="18"/>
      <c r="W285" s="18"/>
      <c r="X285" s="20"/>
      <c r="Y285" s="18"/>
      <c r="Z285" s="18"/>
      <c r="AA285" s="21" t="n">
        <f aca="false">IF(U285&lt;&gt;"",(U285-Scoring!$B$3)/365.25,IF(N285="","",IF(N285&lt;Scoring!$B$12,"",(DATE(N285+Scoring!$B$13,12,31)-Scoring!$B$3)/365.25)))</f>
        <v>16.2464065708419</v>
      </c>
      <c r="AB285" s="22" t="n">
        <f aca="false">IF(T285="Y",0,IF(OR(D285="Expired (verified)",D285="Expiring: notice window (verified)",D285="Expiring: 10-yr horizon (verified)",D285="Past 30-yr mark (verify)",D285="30-yr mark: notice window (est.)",D285="Year-15 window"),1,0)+IF(ISNUMBER(O285),IF(O285&gt;=Scoring!$B$10,1,0),0)+IF(AND(ISNUMBER(L285),ISNUMBER(J285)),IF(J285&gt;0,IF(L285/J285&gt;=Scoring!$B$11,1,0),0),0)+IF(ISNUMBER(Z285),MIN(Z285,3),0))</f>
        <v>1</v>
      </c>
      <c r="AC285" s="22" t="n">
        <f aca="false">IF(AB285&gt;=3,Scoring!$C$24,IF(AB285=2,Scoring!$C$23,IF(AB285=1,Scoring!$C$22,0)))</f>
        <v>10</v>
      </c>
      <c r="AD285" s="22" t="n">
        <f aca="false">IF(T285="Y",0,IF(ISNUMBER(X285),IF(X285&gt;0.7,Scoring!$C$25,IF(X285&gt;=0.5,Scoring!$C$26,IF(X285&gt;=0.3,Scoring!$C$27,Scoring!$C$28))),Scoring!$C$29))</f>
        <v>10</v>
      </c>
      <c r="AE285" s="22" t="n">
        <f aca="false">IF(D285="Expiring: notice window (verified)",Scoring!$C$30,IF(OR(D285="Expired (verified)",D285="30-yr mark: notice window (est.)",D285="Year-15 window"),Scoring!$C$31,IF(D285="Expiring: 10-yr horizon (verified)",Scoring!$C$32,IF(D285="Past 30-yr mark (verify)",Scoring!$C$33,IF(OR(D285="Credit period",D285="Superseded record"),Scoring!$C$35,Scoring!$C$34)))))</f>
        <v>14</v>
      </c>
      <c r="AF285" s="22" t="n">
        <f aca="false">IF(T285="Y",0,IF(ISNUMBER(V285),IF(Scoring!$B$4-V285&gt;15,Scoring!$C$36,IF(Scoring!$B$4-V285&gt;=10,Scoring!$C$37,IF(Scoring!$B$4-V285&gt;=5,Scoring!$C$38,Scoring!$C$39))),IF(OR(N285="",D285="Out of program"),Scoring!$C$40,IF(O285&gt;15,Scoring!$C$36,IF(O285&gt;=10,Scoring!$C$37,IF(O285&gt;=5,Scoring!$C$38,Scoring!$C$39))))))</f>
        <v>12</v>
      </c>
      <c r="AG285" s="22" t="n">
        <f aca="false">IF(T285="Y",0,IF(Y285="Y",Scoring!$C$41,IF(ISNUMBER(O285),IF(O285&gt;=25,Scoring!$C$42,IF(O285&gt;=15,Scoring!$C$43,Scoring!$C$44)),Scoring!$C$44)))</f>
        <v>2</v>
      </c>
      <c r="AH285" s="22" t="n">
        <f aca="false">IF(T285="Y",0,IF(W285="",Scoring!$C$49,IFERROR(VLOOKUP(W285,Scoring!$B$45:$C$48,2,FALSE()),Scoring!$C$49)))</f>
        <v>5</v>
      </c>
      <c r="AI285" s="23" t="n">
        <f aca="false">C285+IF(ISNUMBER(J285),J285,0)/100000+(10000-ROW())/1000000000</f>
        <v>53.000549715</v>
      </c>
      <c r="AJ285" s="18"/>
      <c r="AK285" s="18"/>
      <c r="AL285" s="18"/>
      <c r="AM285" s="18"/>
    </row>
    <row r="286" customFormat="false" ht="15" hidden="false" customHeight="false" outlineLevel="0" collapsed="false">
      <c r="A286" s="15" t="n">
        <f aca="false">RANK(AI286,$AI$2:$AI$755)</f>
        <v>285</v>
      </c>
      <c r="B286" s="16" t="str">
        <f aca="false">IF(T286="Y","Superseded",IF(C286&gt;=Scoring!$B$16,"Immediate",IF(C286&gt;=Scoring!$B$17,"This week",IF(C286&gt;=Scoring!$B$18,"Nurture","Low"))))</f>
        <v>This week</v>
      </c>
      <c r="C286" s="3" t="n">
        <f aca="false">SUM(AC286:AH286)</f>
        <v>53</v>
      </c>
      <c r="D286" s="15" t="str">
        <f aca="false">IF(T286="Y","Superseded record",IF(AND(U286&lt;&gt;"",AA286&lt;0),"Expired (verified)",IF(AND(U286&lt;&gt;"",AA286&lt;=Scoring!$B$5),"Expiring: notice window (verified)",IF(AND(U286&lt;&gt;"",AA286&lt;=Scoring!$B$6),"Expiring: 10-yr horizon (verified)",IF(M286="No Longer Monitored","Out of program",IF(N286="","Unknown vintage",IF(N286&lt;Scoring!$B$12,"Pre-1990, still listed",IF(AND(U286="",AA286&lt;0),"Past 30-yr mark (verify)",IF(AND(U286="",AA286&lt;=Scoring!$B$5),"30-yr mark: notice window (est.)",IF(AND(O286&gt;=Scoring!$B$7,O286&lt;=Scoring!$B$8),"Year-15 window",IF(O286&gt;=Scoring!$B$9,"Recap window",IF(O286&gt;=11,"Late compliance","Credit period"))))))))))))</f>
        <v>Year-15 window</v>
      </c>
      <c r="E286" s="15" t="s">
        <v>1137</v>
      </c>
      <c r="F286" s="15" t="s">
        <v>1138</v>
      </c>
      <c r="G286" s="15" t="s">
        <v>1139</v>
      </c>
      <c r="H286" s="15" t="s">
        <v>97</v>
      </c>
      <c r="I286" s="15" t="s">
        <v>195</v>
      </c>
      <c r="J286" s="15" t="n">
        <v>54</v>
      </c>
      <c r="K286" s="15" t="n">
        <v>54</v>
      </c>
      <c r="L286" s="15" t="n">
        <f aca="false">IF(OR(J286="",K286=""),"",MAX(J286-K286,0))</f>
        <v>0</v>
      </c>
      <c r="M286" s="15" t="s">
        <v>99</v>
      </c>
      <c r="N286" s="17" t="n">
        <v>2013</v>
      </c>
      <c r="O286" s="15" t="n">
        <f aca="false">IF(N286="","",Scoring!$B$4-N286)</f>
        <v>13</v>
      </c>
      <c r="P286" s="15" t="n">
        <f aca="false">IF(N286="","",N286+14)</f>
        <v>2027</v>
      </c>
      <c r="Q286" s="15" t="n">
        <f aca="false">IF(N286="","",IF(N286&lt;Scoring!$B$12,"n/a (pre-1990)",N286+Scoring!$B$13))</f>
        <v>2042</v>
      </c>
      <c r="R286" s="15" t="str">
        <f aca="false">IF(J286="","Unknown",IF(J286&gt;=5,"Yes","No (under 5 units)"))</f>
        <v>Yes</v>
      </c>
      <c r="S286" s="15"/>
      <c r="T286" s="18"/>
      <c r="U286" s="19"/>
      <c r="V286" s="18"/>
      <c r="W286" s="18"/>
      <c r="X286" s="20"/>
      <c r="Y286" s="18"/>
      <c r="Z286" s="18"/>
      <c r="AA286" s="21" t="n">
        <f aca="false">IF(U286&lt;&gt;"",(U286-Scoring!$B$3)/365.25,IF(N286="","",IF(N286&lt;Scoring!$B$12,"",(DATE(N286+Scoring!$B$13,12,31)-Scoring!$B$3)/365.25)))</f>
        <v>16.2464065708419</v>
      </c>
      <c r="AB286" s="22" t="n">
        <f aca="false">IF(T286="Y",0,IF(OR(D286="Expired (verified)",D286="Expiring: notice window (verified)",D286="Expiring: 10-yr horizon (verified)",D286="Past 30-yr mark (verify)",D286="30-yr mark: notice window (est.)",D286="Year-15 window"),1,0)+IF(ISNUMBER(O286),IF(O286&gt;=Scoring!$B$10,1,0),0)+IF(AND(ISNUMBER(L286),ISNUMBER(J286)),IF(J286&gt;0,IF(L286/J286&gt;=Scoring!$B$11,1,0),0),0)+IF(ISNUMBER(Z286),MIN(Z286,3),0))</f>
        <v>1</v>
      </c>
      <c r="AC286" s="22" t="n">
        <f aca="false">IF(AB286&gt;=3,Scoring!$C$24,IF(AB286=2,Scoring!$C$23,IF(AB286=1,Scoring!$C$22,0)))</f>
        <v>10</v>
      </c>
      <c r="AD286" s="22" t="n">
        <f aca="false">IF(T286="Y",0,IF(ISNUMBER(X286),IF(X286&gt;0.7,Scoring!$C$25,IF(X286&gt;=0.5,Scoring!$C$26,IF(X286&gt;=0.3,Scoring!$C$27,Scoring!$C$28))),Scoring!$C$29))</f>
        <v>10</v>
      </c>
      <c r="AE286" s="22" t="n">
        <f aca="false">IF(D286="Expiring: notice window (verified)",Scoring!$C$30,IF(OR(D286="Expired (verified)",D286="30-yr mark: notice window (est.)",D286="Year-15 window"),Scoring!$C$31,IF(D286="Expiring: 10-yr horizon (verified)",Scoring!$C$32,IF(D286="Past 30-yr mark (verify)",Scoring!$C$33,IF(OR(D286="Credit period",D286="Superseded record"),Scoring!$C$35,Scoring!$C$34)))))</f>
        <v>14</v>
      </c>
      <c r="AF286" s="22" t="n">
        <f aca="false">IF(T286="Y",0,IF(ISNUMBER(V286),IF(Scoring!$B$4-V286&gt;15,Scoring!$C$36,IF(Scoring!$B$4-V286&gt;=10,Scoring!$C$37,IF(Scoring!$B$4-V286&gt;=5,Scoring!$C$38,Scoring!$C$39))),IF(OR(N286="",D286="Out of program"),Scoring!$C$40,IF(O286&gt;15,Scoring!$C$36,IF(O286&gt;=10,Scoring!$C$37,IF(O286&gt;=5,Scoring!$C$38,Scoring!$C$39))))))</f>
        <v>12</v>
      </c>
      <c r="AG286" s="22" t="n">
        <f aca="false">IF(T286="Y",0,IF(Y286="Y",Scoring!$C$41,IF(ISNUMBER(O286),IF(O286&gt;=25,Scoring!$C$42,IF(O286&gt;=15,Scoring!$C$43,Scoring!$C$44)),Scoring!$C$44)))</f>
        <v>2</v>
      </c>
      <c r="AH286" s="22" t="n">
        <f aca="false">IF(T286="Y",0,IF(W286="",Scoring!$C$49,IFERROR(VLOOKUP(W286,Scoring!$B$45:$C$48,2,FALSE()),Scoring!$C$49)))</f>
        <v>5</v>
      </c>
      <c r="AI286" s="23" t="n">
        <f aca="false">C286+IF(ISNUMBER(J286),J286,0)/100000+(10000-ROW())/1000000000</f>
        <v>53.000549714</v>
      </c>
      <c r="AJ286" s="18"/>
      <c r="AK286" s="18"/>
      <c r="AL286" s="18"/>
      <c r="AM286" s="18"/>
    </row>
    <row r="287" customFormat="false" ht="15" hidden="false" customHeight="false" outlineLevel="0" collapsed="false">
      <c r="A287" s="15" t="n">
        <f aca="false">RANK(AI287,$AI$2:$AI$755)</f>
        <v>286</v>
      </c>
      <c r="B287" s="16" t="str">
        <f aca="false">IF(T287="Y","Superseded",IF(C287&gt;=Scoring!$B$16,"Immediate",IF(C287&gt;=Scoring!$B$17,"This week",IF(C287&gt;=Scoring!$B$18,"Nurture","Low"))))</f>
        <v>This week</v>
      </c>
      <c r="C287" s="3" t="n">
        <f aca="false">SUM(AC287:AH287)</f>
        <v>53</v>
      </c>
      <c r="D287" s="15" t="str">
        <f aca="false">IF(T287="Y","Superseded record",IF(AND(U287&lt;&gt;"",AA287&lt;0),"Expired (verified)",IF(AND(U287&lt;&gt;"",AA287&lt;=Scoring!$B$5),"Expiring: notice window (verified)",IF(AND(U287&lt;&gt;"",AA287&lt;=Scoring!$B$6),"Expiring: 10-yr horizon (verified)",IF(M287="No Longer Monitored","Out of program",IF(N287="","Unknown vintage",IF(N287&lt;Scoring!$B$12,"Pre-1990, still listed",IF(AND(U287="",AA287&lt;0),"Past 30-yr mark (verify)",IF(AND(U287="",AA287&lt;=Scoring!$B$5),"30-yr mark: notice window (est.)",IF(AND(O287&gt;=Scoring!$B$7,O287&lt;=Scoring!$B$8),"Year-15 window",IF(O287&gt;=Scoring!$B$9,"Recap window",IF(O287&gt;=11,"Late compliance","Credit period"))))))))))))</f>
        <v>Year-15 window</v>
      </c>
      <c r="E287" s="15" t="s">
        <v>1140</v>
      </c>
      <c r="F287" s="15" t="s">
        <v>1141</v>
      </c>
      <c r="G287" s="15" t="s">
        <v>1142</v>
      </c>
      <c r="H287" s="15" t="s">
        <v>240</v>
      </c>
      <c r="I287" s="15" t="s">
        <v>241</v>
      </c>
      <c r="J287" s="15" t="n">
        <v>50</v>
      </c>
      <c r="K287" s="15" t="n">
        <v>49</v>
      </c>
      <c r="L287" s="15" t="n">
        <f aca="false">IF(OR(J287="",K287=""),"",MAX(J287-K287,0))</f>
        <v>1</v>
      </c>
      <c r="M287" s="15" t="s">
        <v>99</v>
      </c>
      <c r="N287" s="17" t="n">
        <v>2012</v>
      </c>
      <c r="O287" s="15" t="n">
        <f aca="false">IF(N287="","",Scoring!$B$4-N287)</f>
        <v>14</v>
      </c>
      <c r="P287" s="15" t="n">
        <f aca="false">IF(N287="","",N287+14)</f>
        <v>2026</v>
      </c>
      <c r="Q287" s="15" t="n">
        <f aca="false">IF(N287="","",IF(N287&lt;Scoring!$B$12,"n/a (pre-1990)",N287+Scoring!$B$13))</f>
        <v>2041</v>
      </c>
      <c r="R287" s="15" t="str">
        <f aca="false">IF(J287="","Unknown",IF(J287&gt;=5,"Yes","No (under 5 units)"))</f>
        <v>Yes</v>
      </c>
      <c r="S287" s="15"/>
      <c r="T287" s="18"/>
      <c r="U287" s="19"/>
      <c r="V287" s="18"/>
      <c r="W287" s="18"/>
      <c r="X287" s="20"/>
      <c r="Y287" s="18"/>
      <c r="Z287" s="18"/>
      <c r="AA287" s="21" t="n">
        <f aca="false">IF(U287&lt;&gt;"",(U287-Scoring!$B$3)/365.25,IF(N287="","",IF(N287&lt;Scoring!$B$12,"",(DATE(N287+Scoring!$B$13,12,31)-Scoring!$B$3)/365.25)))</f>
        <v>15.2470910335387</v>
      </c>
      <c r="AB287" s="22" t="n">
        <f aca="false">IF(T287="Y",0,IF(OR(D287="Expired (verified)",D287="Expiring: notice window (verified)",D287="Expiring: 10-yr horizon (verified)",D287="Past 30-yr mark (verify)",D287="30-yr mark: notice window (est.)",D287="Year-15 window"),1,0)+IF(ISNUMBER(O287),IF(O287&gt;=Scoring!$B$10,1,0),0)+IF(AND(ISNUMBER(L287),ISNUMBER(J287)),IF(J287&gt;0,IF(L287/J287&gt;=Scoring!$B$11,1,0),0),0)+IF(ISNUMBER(Z287),MIN(Z287,3),0))</f>
        <v>1</v>
      </c>
      <c r="AC287" s="22" t="n">
        <f aca="false">IF(AB287&gt;=3,Scoring!$C$24,IF(AB287=2,Scoring!$C$23,IF(AB287=1,Scoring!$C$22,0)))</f>
        <v>10</v>
      </c>
      <c r="AD287" s="22" t="n">
        <f aca="false">IF(T287="Y",0,IF(ISNUMBER(X287),IF(X287&gt;0.7,Scoring!$C$25,IF(X287&gt;=0.5,Scoring!$C$26,IF(X287&gt;=0.3,Scoring!$C$27,Scoring!$C$28))),Scoring!$C$29))</f>
        <v>10</v>
      </c>
      <c r="AE287" s="22" t="n">
        <f aca="false">IF(D287="Expiring: notice window (verified)",Scoring!$C$30,IF(OR(D287="Expired (verified)",D287="30-yr mark: notice window (est.)",D287="Year-15 window"),Scoring!$C$31,IF(D287="Expiring: 10-yr horizon (verified)",Scoring!$C$32,IF(D287="Past 30-yr mark (verify)",Scoring!$C$33,IF(OR(D287="Credit period",D287="Superseded record"),Scoring!$C$35,Scoring!$C$34)))))</f>
        <v>14</v>
      </c>
      <c r="AF287" s="22" t="n">
        <f aca="false">IF(T287="Y",0,IF(ISNUMBER(V287),IF(Scoring!$B$4-V287&gt;15,Scoring!$C$36,IF(Scoring!$B$4-V287&gt;=10,Scoring!$C$37,IF(Scoring!$B$4-V287&gt;=5,Scoring!$C$38,Scoring!$C$39))),IF(OR(N287="",D287="Out of program"),Scoring!$C$40,IF(O287&gt;15,Scoring!$C$36,IF(O287&gt;=10,Scoring!$C$37,IF(O287&gt;=5,Scoring!$C$38,Scoring!$C$39))))))</f>
        <v>12</v>
      </c>
      <c r="AG287" s="22" t="n">
        <f aca="false">IF(T287="Y",0,IF(Y287="Y",Scoring!$C$41,IF(ISNUMBER(O287),IF(O287&gt;=25,Scoring!$C$42,IF(O287&gt;=15,Scoring!$C$43,Scoring!$C$44)),Scoring!$C$44)))</f>
        <v>2</v>
      </c>
      <c r="AH287" s="22" t="n">
        <f aca="false">IF(T287="Y",0,IF(W287="",Scoring!$C$49,IFERROR(VLOOKUP(W287,Scoring!$B$45:$C$48,2,FALSE()),Scoring!$C$49)))</f>
        <v>5</v>
      </c>
      <c r="AI287" s="23" t="n">
        <f aca="false">C287+IF(ISNUMBER(J287),J287,0)/100000+(10000-ROW())/1000000000</f>
        <v>53.000509713</v>
      </c>
      <c r="AJ287" s="18"/>
      <c r="AK287" s="18"/>
      <c r="AL287" s="18"/>
      <c r="AM287" s="18"/>
    </row>
    <row r="288" customFormat="false" ht="15" hidden="false" customHeight="false" outlineLevel="0" collapsed="false">
      <c r="A288" s="15" t="n">
        <f aca="false">RANK(AI288,$AI$2:$AI$755)</f>
        <v>287</v>
      </c>
      <c r="B288" s="16" t="str">
        <f aca="false">IF(T288="Y","Superseded",IF(C288&gt;=Scoring!$B$16,"Immediate",IF(C288&gt;=Scoring!$B$17,"This week",IF(C288&gt;=Scoring!$B$18,"Nurture","Low"))))</f>
        <v>This week</v>
      </c>
      <c r="C288" s="3" t="n">
        <f aca="false">SUM(AC288:AH288)</f>
        <v>53</v>
      </c>
      <c r="D288" s="15" t="str">
        <f aca="false">IF(T288="Y","Superseded record",IF(AND(U288&lt;&gt;"",AA288&lt;0),"Expired (verified)",IF(AND(U288&lt;&gt;"",AA288&lt;=Scoring!$B$5),"Expiring: notice window (verified)",IF(AND(U288&lt;&gt;"",AA288&lt;=Scoring!$B$6),"Expiring: 10-yr horizon (verified)",IF(M288="No Longer Monitored","Out of program",IF(N288="","Unknown vintage",IF(N288&lt;Scoring!$B$12,"Pre-1990, still listed",IF(AND(U288="",AA288&lt;0),"Past 30-yr mark (verify)",IF(AND(U288="",AA288&lt;=Scoring!$B$5),"30-yr mark: notice window (est.)",IF(AND(O288&gt;=Scoring!$B$7,O288&lt;=Scoring!$B$8),"Year-15 window",IF(O288&gt;=Scoring!$B$9,"Recap window",IF(O288&gt;=11,"Late compliance","Credit period"))))))))))))</f>
        <v>Year-15 window</v>
      </c>
      <c r="E288" s="15" t="s">
        <v>1143</v>
      </c>
      <c r="F288" s="15" t="s">
        <v>1144</v>
      </c>
      <c r="G288" s="15" t="s">
        <v>1145</v>
      </c>
      <c r="H288" s="15" t="s">
        <v>1146</v>
      </c>
      <c r="I288" s="15"/>
      <c r="J288" s="15" t="n">
        <v>50</v>
      </c>
      <c r="K288" s="15" t="n">
        <v>49</v>
      </c>
      <c r="L288" s="15" t="n">
        <f aca="false">IF(OR(J288="",K288=""),"",MAX(J288-K288,0))</f>
        <v>1</v>
      </c>
      <c r="M288" s="15" t="s">
        <v>99</v>
      </c>
      <c r="N288" s="17" t="n">
        <v>2013</v>
      </c>
      <c r="O288" s="15" t="n">
        <f aca="false">IF(N288="","",Scoring!$B$4-N288)</f>
        <v>13</v>
      </c>
      <c r="P288" s="15" t="n">
        <f aca="false">IF(N288="","",N288+14)</f>
        <v>2027</v>
      </c>
      <c r="Q288" s="15" t="n">
        <f aca="false">IF(N288="","",IF(N288&lt;Scoring!$B$12,"n/a (pre-1990)",N288+Scoring!$B$13))</f>
        <v>2042</v>
      </c>
      <c r="R288" s="15" t="str">
        <f aca="false">IF(J288="","Unknown",IF(J288&gt;=5,"Yes","No (under 5 units)"))</f>
        <v>Yes</v>
      </c>
      <c r="S288" s="15"/>
      <c r="T288" s="18"/>
      <c r="U288" s="19"/>
      <c r="V288" s="18"/>
      <c r="W288" s="18"/>
      <c r="X288" s="20"/>
      <c r="Y288" s="18"/>
      <c r="Z288" s="18"/>
      <c r="AA288" s="21" t="n">
        <f aca="false">IF(U288&lt;&gt;"",(U288-Scoring!$B$3)/365.25,IF(N288="","",IF(N288&lt;Scoring!$B$12,"",(DATE(N288+Scoring!$B$13,12,31)-Scoring!$B$3)/365.25)))</f>
        <v>16.2464065708419</v>
      </c>
      <c r="AB288" s="22" t="n">
        <f aca="false">IF(T288="Y",0,IF(OR(D288="Expired (verified)",D288="Expiring: notice window (verified)",D288="Expiring: 10-yr horizon (verified)",D288="Past 30-yr mark (verify)",D288="30-yr mark: notice window (est.)",D288="Year-15 window"),1,0)+IF(ISNUMBER(O288),IF(O288&gt;=Scoring!$B$10,1,0),0)+IF(AND(ISNUMBER(L288),ISNUMBER(J288)),IF(J288&gt;0,IF(L288/J288&gt;=Scoring!$B$11,1,0),0),0)+IF(ISNUMBER(Z288),MIN(Z288,3),0))</f>
        <v>1</v>
      </c>
      <c r="AC288" s="22" t="n">
        <f aca="false">IF(AB288&gt;=3,Scoring!$C$24,IF(AB288=2,Scoring!$C$23,IF(AB288=1,Scoring!$C$22,0)))</f>
        <v>10</v>
      </c>
      <c r="AD288" s="22" t="n">
        <f aca="false">IF(T288="Y",0,IF(ISNUMBER(X288),IF(X288&gt;0.7,Scoring!$C$25,IF(X288&gt;=0.5,Scoring!$C$26,IF(X288&gt;=0.3,Scoring!$C$27,Scoring!$C$28))),Scoring!$C$29))</f>
        <v>10</v>
      </c>
      <c r="AE288" s="22" t="n">
        <f aca="false">IF(D288="Expiring: notice window (verified)",Scoring!$C$30,IF(OR(D288="Expired (verified)",D288="30-yr mark: notice window (est.)",D288="Year-15 window"),Scoring!$C$31,IF(D288="Expiring: 10-yr horizon (verified)",Scoring!$C$32,IF(D288="Past 30-yr mark (verify)",Scoring!$C$33,IF(OR(D288="Credit period",D288="Superseded record"),Scoring!$C$35,Scoring!$C$34)))))</f>
        <v>14</v>
      </c>
      <c r="AF288" s="22" t="n">
        <f aca="false">IF(T288="Y",0,IF(ISNUMBER(V288),IF(Scoring!$B$4-V288&gt;15,Scoring!$C$36,IF(Scoring!$B$4-V288&gt;=10,Scoring!$C$37,IF(Scoring!$B$4-V288&gt;=5,Scoring!$C$38,Scoring!$C$39))),IF(OR(N288="",D288="Out of program"),Scoring!$C$40,IF(O288&gt;15,Scoring!$C$36,IF(O288&gt;=10,Scoring!$C$37,IF(O288&gt;=5,Scoring!$C$38,Scoring!$C$39))))))</f>
        <v>12</v>
      </c>
      <c r="AG288" s="22" t="n">
        <f aca="false">IF(T288="Y",0,IF(Y288="Y",Scoring!$C$41,IF(ISNUMBER(O288),IF(O288&gt;=25,Scoring!$C$42,IF(O288&gt;=15,Scoring!$C$43,Scoring!$C$44)),Scoring!$C$44)))</f>
        <v>2</v>
      </c>
      <c r="AH288" s="22" t="n">
        <f aca="false">IF(T288="Y",0,IF(W288="",Scoring!$C$49,IFERROR(VLOOKUP(W288,Scoring!$B$45:$C$48,2,FALSE()),Scoring!$C$49)))</f>
        <v>5</v>
      </c>
      <c r="AI288" s="23" t="n">
        <f aca="false">C288+IF(ISNUMBER(J288),J288,0)/100000+(10000-ROW())/1000000000</f>
        <v>53.000509712</v>
      </c>
      <c r="AJ288" s="18"/>
      <c r="AK288" s="18"/>
      <c r="AL288" s="18"/>
      <c r="AM288" s="18"/>
    </row>
    <row r="289" customFormat="false" ht="15" hidden="false" customHeight="false" outlineLevel="0" collapsed="false">
      <c r="A289" s="15" t="n">
        <f aca="false">RANK(AI289,$AI$2:$AI$755)</f>
        <v>288</v>
      </c>
      <c r="B289" s="16" t="str">
        <f aca="false">IF(T289="Y","Superseded",IF(C289&gt;=Scoring!$B$16,"Immediate",IF(C289&gt;=Scoring!$B$17,"This week",IF(C289&gt;=Scoring!$B$18,"Nurture","Low"))))</f>
        <v>This week</v>
      </c>
      <c r="C289" s="3" t="n">
        <f aca="false">SUM(AC289:AH289)</f>
        <v>53</v>
      </c>
      <c r="D289" s="15" t="str">
        <f aca="false">IF(T289="Y","Superseded record",IF(AND(U289&lt;&gt;"",AA289&lt;0),"Expired (verified)",IF(AND(U289&lt;&gt;"",AA289&lt;=Scoring!$B$5),"Expiring: notice window (verified)",IF(AND(U289&lt;&gt;"",AA289&lt;=Scoring!$B$6),"Expiring: 10-yr horizon (verified)",IF(M289="No Longer Monitored","Out of program",IF(N289="","Unknown vintage",IF(N289&lt;Scoring!$B$12,"Pre-1990, still listed",IF(AND(U289="",AA289&lt;0),"Past 30-yr mark (verify)",IF(AND(U289="",AA289&lt;=Scoring!$B$5),"30-yr mark: notice window (est.)",IF(AND(O289&gt;=Scoring!$B$7,O289&lt;=Scoring!$B$8),"Year-15 window",IF(O289&gt;=Scoring!$B$9,"Recap window",IF(O289&gt;=11,"Late compliance","Credit period"))))))))))))</f>
        <v>Year-15 window</v>
      </c>
      <c r="E289" s="15" t="s">
        <v>1147</v>
      </c>
      <c r="F289" s="15" t="s">
        <v>1148</v>
      </c>
      <c r="G289" s="15" t="s">
        <v>1149</v>
      </c>
      <c r="H289" s="15" t="s">
        <v>1150</v>
      </c>
      <c r="I289" s="15" t="s">
        <v>1151</v>
      </c>
      <c r="J289" s="15" t="n">
        <v>50</v>
      </c>
      <c r="K289" s="15" t="n">
        <v>49</v>
      </c>
      <c r="L289" s="15" t="n">
        <f aca="false">IF(OR(J289="",K289=""),"",MAX(J289-K289,0))</f>
        <v>1</v>
      </c>
      <c r="M289" s="15" t="s">
        <v>99</v>
      </c>
      <c r="N289" s="17" t="n">
        <v>2013</v>
      </c>
      <c r="O289" s="15" t="n">
        <f aca="false">IF(N289="","",Scoring!$B$4-N289)</f>
        <v>13</v>
      </c>
      <c r="P289" s="15" t="n">
        <f aca="false">IF(N289="","",N289+14)</f>
        <v>2027</v>
      </c>
      <c r="Q289" s="15" t="n">
        <f aca="false">IF(N289="","",IF(N289&lt;Scoring!$B$12,"n/a (pre-1990)",N289+Scoring!$B$13))</f>
        <v>2042</v>
      </c>
      <c r="R289" s="15" t="str">
        <f aca="false">IF(J289="","Unknown",IF(J289&gt;=5,"Yes","No (under 5 units)"))</f>
        <v>Yes</v>
      </c>
      <c r="S289" s="15"/>
      <c r="T289" s="18"/>
      <c r="U289" s="19"/>
      <c r="V289" s="18"/>
      <c r="W289" s="18"/>
      <c r="X289" s="20"/>
      <c r="Y289" s="18"/>
      <c r="Z289" s="18"/>
      <c r="AA289" s="21" t="n">
        <f aca="false">IF(U289&lt;&gt;"",(U289-Scoring!$B$3)/365.25,IF(N289="","",IF(N289&lt;Scoring!$B$12,"",(DATE(N289+Scoring!$B$13,12,31)-Scoring!$B$3)/365.25)))</f>
        <v>16.2464065708419</v>
      </c>
      <c r="AB289" s="22" t="n">
        <f aca="false">IF(T289="Y",0,IF(OR(D289="Expired (verified)",D289="Expiring: notice window (verified)",D289="Expiring: 10-yr horizon (verified)",D289="Past 30-yr mark (verify)",D289="30-yr mark: notice window (est.)",D289="Year-15 window"),1,0)+IF(ISNUMBER(O289),IF(O289&gt;=Scoring!$B$10,1,0),0)+IF(AND(ISNUMBER(L289),ISNUMBER(J289)),IF(J289&gt;0,IF(L289/J289&gt;=Scoring!$B$11,1,0),0),0)+IF(ISNUMBER(Z289),MIN(Z289,3),0))</f>
        <v>1</v>
      </c>
      <c r="AC289" s="22" t="n">
        <f aca="false">IF(AB289&gt;=3,Scoring!$C$24,IF(AB289=2,Scoring!$C$23,IF(AB289=1,Scoring!$C$22,0)))</f>
        <v>10</v>
      </c>
      <c r="AD289" s="22" t="n">
        <f aca="false">IF(T289="Y",0,IF(ISNUMBER(X289),IF(X289&gt;0.7,Scoring!$C$25,IF(X289&gt;=0.5,Scoring!$C$26,IF(X289&gt;=0.3,Scoring!$C$27,Scoring!$C$28))),Scoring!$C$29))</f>
        <v>10</v>
      </c>
      <c r="AE289" s="22" t="n">
        <f aca="false">IF(D289="Expiring: notice window (verified)",Scoring!$C$30,IF(OR(D289="Expired (verified)",D289="30-yr mark: notice window (est.)",D289="Year-15 window"),Scoring!$C$31,IF(D289="Expiring: 10-yr horizon (verified)",Scoring!$C$32,IF(D289="Past 30-yr mark (verify)",Scoring!$C$33,IF(OR(D289="Credit period",D289="Superseded record"),Scoring!$C$35,Scoring!$C$34)))))</f>
        <v>14</v>
      </c>
      <c r="AF289" s="22" t="n">
        <f aca="false">IF(T289="Y",0,IF(ISNUMBER(V289),IF(Scoring!$B$4-V289&gt;15,Scoring!$C$36,IF(Scoring!$B$4-V289&gt;=10,Scoring!$C$37,IF(Scoring!$B$4-V289&gt;=5,Scoring!$C$38,Scoring!$C$39))),IF(OR(N289="",D289="Out of program"),Scoring!$C$40,IF(O289&gt;15,Scoring!$C$36,IF(O289&gt;=10,Scoring!$C$37,IF(O289&gt;=5,Scoring!$C$38,Scoring!$C$39))))))</f>
        <v>12</v>
      </c>
      <c r="AG289" s="22" t="n">
        <f aca="false">IF(T289="Y",0,IF(Y289="Y",Scoring!$C$41,IF(ISNUMBER(O289),IF(O289&gt;=25,Scoring!$C$42,IF(O289&gt;=15,Scoring!$C$43,Scoring!$C$44)),Scoring!$C$44)))</f>
        <v>2</v>
      </c>
      <c r="AH289" s="22" t="n">
        <f aca="false">IF(T289="Y",0,IF(W289="",Scoring!$C$49,IFERROR(VLOOKUP(W289,Scoring!$B$45:$C$48,2,FALSE()),Scoring!$C$49)))</f>
        <v>5</v>
      </c>
      <c r="AI289" s="23" t="n">
        <f aca="false">C289+IF(ISNUMBER(J289),J289,0)/100000+(10000-ROW())/1000000000</f>
        <v>53.000509711</v>
      </c>
      <c r="AJ289" s="18"/>
      <c r="AK289" s="18"/>
      <c r="AL289" s="18"/>
      <c r="AM289" s="18"/>
    </row>
    <row r="290" customFormat="false" ht="15" hidden="false" customHeight="false" outlineLevel="0" collapsed="false">
      <c r="A290" s="15" t="n">
        <f aca="false">RANK(AI290,$AI$2:$AI$755)</f>
        <v>289</v>
      </c>
      <c r="B290" s="16" t="str">
        <f aca="false">IF(T290="Y","Superseded",IF(C290&gt;=Scoring!$B$16,"Immediate",IF(C290&gt;=Scoring!$B$17,"This week",IF(C290&gt;=Scoring!$B$18,"Nurture","Low"))))</f>
        <v>This week</v>
      </c>
      <c r="C290" s="3" t="n">
        <f aca="false">SUM(AC290:AH290)</f>
        <v>53</v>
      </c>
      <c r="D290" s="15" t="str">
        <f aca="false">IF(T290="Y","Superseded record",IF(AND(U290&lt;&gt;"",AA290&lt;0),"Expired (verified)",IF(AND(U290&lt;&gt;"",AA290&lt;=Scoring!$B$5),"Expiring: notice window (verified)",IF(AND(U290&lt;&gt;"",AA290&lt;=Scoring!$B$6),"Expiring: 10-yr horizon (verified)",IF(M290="No Longer Monitored","Out of program",IF(N290="","Unknown vintage",IF(N290&lt;Scoring!$B$12,"Pre-1990, still listed",IF(AND(U290="",AA290&lt;0),"Past 30-yr mark (verify)",IF(AND(U290="",AA290&lt;=Scoring!$B$5),"30-yr mark: notice window (est.)",IF(AND(O290&gt;=Scoring!$B$7,O290&lt;=Scoring!$B$8),"Year-15 window",IF(O290&gt;=Scoring!$B$9,"Recap window",IF(O290&gt;=11,"Late compliance","Credit period"))))))))))))</f>
        <v>Year-15 window</v>
      </c>
      <c r="E290" s="15" t="s">
        <v>1152</v>
      </c>
      <c r="F290" s="15" t="s">
        <v>1153</v>
      </c>
      <c r="G290" s="15" t="s">
        <v>1154</v>
      </c>
      <c r="H290" s="15" t="s">
        <v>1150</v>
      </c>
      <c r="I290" s="15" t="s">
        <v>1155</v>
      </c>
      <c r="J290" s="15" t="n">
        <v>49</v>
      </c>
      <c r="K290" s="15" t="n">
        <v>47</v>
      </c>
      <c r="L290" s="15" t="n">
        <f aca="false">IF(OR(J290="",K290=""),"",MAX(J290-K290,0))</f>
        <v>2</v>
      </c>
      <c r="M290" s="15" t="s">
        <v>99</v>
      </c>
      <c r="N290" s="17" t="n">
        <v>2012</v>
      </c>
      <c r="O290" s="15" t="n">
        <f aca="false">IF(N290="","",Scoring!$B$4-N290)</f>
        <v>14</v>
      </c>
      <c r="P290" s="15" t="n">
        <f aca="false">IF(N290="","",N290+14)</f>
        <v>2026</v>
      </c>
      <c r="Q290" s="15" t="n">
        <f aca="false">IF(N290="","",IF(N290&lt;Scoring!$B$12,"n/a (pre-1990)",N290+Scoring!$B$13))</f>
        <v>2041</v>
      </c>
      <c r="R290" s="15" t="str">
        <f aca="false">IF(J290="","Unknown",IF(J290&gt;=5,"Yes","No (under 5 units)"))</f>
        <v>Yes</v>
      </c>
      <c r="S290" s="15"/>
      <c r="T290" s="18"/>
      <c r="U290" s="19"/>
      <c r="V290" s="18"/>
      <c r="W290" s="18"/>
      <c r="X290" s="20"/>
      <c r="Y290" s="18"/>
      <c r="Z290" s="18"/>
      <c r="AA290" s="21" t="n">
        <f aca="false">IF(U290&lt;&gt;"",(U290-Scoring!$B$3)/365.25,IF(N290="","",IF(N290&lt;Scoring!$B$12,"",(DATE(N290+Scoring!$B$13,12,31)-Scoring!$B$3)/365.25)))</f>
        <v>15.2470910335387</v>
      </c>
      <c r="AB290" s="22" t="n">
        <f aca="false">IF(T290="Y",0,IF(OR(D290="Expired (verified)",D290="Expiring: notice window (verified)",D290="Expiring: 10-yr horizon (verified)",D290="Past 30-yr mark (verify)",D290="30-yr mark: notice window (est.)",D290="Year-15 window"),1,0)+IF(ISNUMBER(O290),IF(O290&gt;=Scoring!$B$10,1,0),0)+IF(AND(ISNUMBER(L290),ISNUMBER(J290)),IF(J290&gt;0,IF(L290/J290&gt;=Scoring!$B$11,1,0),0),0)+IF(ISNUMBER(Z290),MIN(Z290,3),0))</f>
        <v>1</v>
      </c>
      <c r="AC290" s="22" t="n">
        <f aca="false">IF(AB290&gt;=3,Scoring!$C$24,IF(AB290=2,Scoring!$C$23,IF(AB290=1,Scoring!$C$22,0)))</f>
        <v>10</v>
      </c>
      <c r="AD290" s="22" t="n">
        <f aca="false">IF(T290="Y",0,IF(ISNUMBER(X290),IF(X290&gt;0.7,Scoring!$C$25,IF(X290&gt;=0.5,Scoring!$C$26,IF(X290&gt;=0.3,Scoring!$C$27,Scoring!$C$28))),Scoring!$C$29))</f>
        <v>10</v>
      </c>
      <c r="AE290" s="22" t="n">
        <f aca="false">IF(D290="Expiring: notice window (verified)",Scoring!$C$30,IF(OR(D290="Expired (verified)",D290="30-yr mark: notice window (est.)",D290="Year-15 window"),Scoring!$C$31,IF(D290="Expiring: 10-yr horizon (verified)",Scoring!$C$32,IF(D290="Past 30-yr mark (verify)",Scoring!$C$33,IF(OR(D290="Credit period",D290="Superseded record"),Scoring!$C$35,Scoring!$C$34)))))</f>
        <v>14</v>
      </c>
      <c r="AF290" s="22" t="n">
        <f aca="false">IF(T290="Y",0,IF(ISNUMBER(V290),IF(Scoring!$B$4-V290&gt;15,Scoring!$C$36,IF(Scoring!$B$4-V290&gt;=10,Scoring!$C$37,IF(Scoring!$B$4-V290&gt;=5,Scoring!$C$38,Scoring!$C$39))),IF(OR(N290="",D290="Out of program"),Scoring!$C$40,IF(O290&gt;15,Scoring!$C$36,IF(O290&gt;=10,Scoring!$C$37,IF(O290&gt;=5,Scoring!$C$38,Scoring!$C$39))))))</f>
        <v>12</v>
      </c>
      <c r="AG290" s="22" t="n">
        <f aca="false">IF(T290="Y",0,IF(Y290="Y",Scoring!$C$41,IF(ISNUMBER(O290),IF(O290&gt;=25,Scoring!$C$42,IF(O290&gt;=15,Scoring!$C$43,Scoring!$C$44)),Scoring!$C$44)))</f>
        <v>2</v>
      </c>
      <c r="AH290" s="22" t="n">
        <f aca="false">IF(T290="Y",0,IF(W290="",Scoring!$C$49,IFERROR(VLOOKUP(W290,Scoring!$B$45:$C$48,2,FALSE()),Scoring!$C$49)))</f>
        <v>5</v>
      </c>
      <c r="AI290" s="23" t="n">
        <f aca="false">C290+IF(ISNUMBER(J290),J290,0)/100000+(10000-ROW())/1000000000</f>
        <v>53.00049971</v>
      </c>
      <c r="AJ290" s="18"/>
      <c r="AK290" s="18"/>
      <c r="AL290" s="18"/>
      <c r="AM290" s="18"/>
    </row>
    <row r="291" customFormat="false" ht="15" hidden="false" customHeight="false" outlineLevel="0" collapsed="false">
      <c r="A291" s="15" t="n">
        <f aca="false">RANK(AI291,$AI$2:$AI$755)</f>
        <v>290</v>
      </c>
      <c r="B291" s="16" t="str">
        <f aca="false">IF(T291="Y","Superseded",IF(C291&gt;=Scoring!$B$16,"Immediate",IF(C291&gt;=Scoring!$B$17,"This week",IF(C291&gt;=Scoring!$B$18,"Nurture","Low"))))</f>
        <v>This week</v>
      </c>
      <c r="C291" s="3" t="n">
        <f aca="false">SUM(AC291:AH291)</f>
        <v>53</v>
      </c>
      <c r="D291" s="15" t="str">
        <f aca="false">IF(T291="Y","Superseded record",IF(AND(U291&lt;&gt;"",AA291&lt;0),"Expired (verified)",IF(AND(U291&lt;&gt;"",AA291&lt;=Scoring!$B$5),"Expiring: notice window (verified)",IF(AND(U291&lt;&gt;"",AA291&lt;=Scoring!$B$6),"Expiring: 10-yr horizon (verified)",IF(M291="No Longer Monitored","Out of program",IF(N291="","Unknown vintage",IF(N291&lt;Scoring!$B$12,"Pre-1990, still listed",IF(AND(U291="",AA291&lt;0),"Past 30-yr mark (verify)",IF(AND(U291="",AA291&lt;=Scoring!$B$5),"30-yr mark: notice window (est.)",IF(AND(O291&gt;=Scoring!$B$7,O291&lt;=Scoring!$B$8),"Year-15 window",IF(O291&gt;=Scoring!$B$9,"Recap window",IF(O291&gt;=11,"Late compliance","Credit period"))))))))))))</f>
        <v>Year-15 window</v>
      </c>
      <c r="E291" s="15" t="s">
        <v>1156</v>
      </c>
      <c r="F291" s="15" t="s">
        <v>1157</v>
      </c>
      <c r="G291" s="15" t="s">
        <v>1158</v>
      </c>
      <c r="H291" s="15" t="s">
        <v>97</v>
      </c>
      <c r="I291" s="15" t="s">
        <v>245</v>
      </c>
      <c r="J291" s="15" t="n">
        <v>49</v>
      </c>
      <c r="K291" s="15" t="n">
        <v>49</v>
      </c>
      <c r="L291" s="15" t="n">
        <f aca="false">IF(OR(J291="",K291=""),"",MAX(J291-K291,0))</f>
        <v>0</v>
      </c>
      <c r="M291" s="15" t="s">
        <v>99</v>
      </c>
      <c r="N291" s="17" t="n">
        <v>2013</v>
      </c>
      <c r="O291" s="15" t="n">
        <f aca="false">IF(N291="","",Scoring!$B$4-N291)</f>
        <v>13</v>
      </c>
      <c r="P291" s="15" t="n">
        <f aca="false">IF(N291="","",N291+14)</f>
        <v>2027</v>
      </c>
      <c r="Q291" s="15" t="n">
        <f aca="false">IF(N291="","",IF(N291&lt;Scoring!$B$12,"n/a (pre-1990)",N291+Scoring!$B$13))</f>
        <v>2042</v>
      </c>
      <c r="R291" s="15" t="str">
        <f aca="false">IF(J291="","Unknown",IF(J291&gt;=5,"Yes","No (under 5 units)"))</f>
        <v>Yes</v>
      </c>
      <c r="S291" s="15"/>
      <c r="T291" s="18"/>
      <c r="U291" s="19"/>
      <c r="V291" s="18"/>
      <c r="W291" s="18"/>
      <c r="X291" s="20"/>
      <c r="Y291" s="18"/>
      <c r="Z291" s="18"/>
      <c r="AA291" s="21" t="n">
        <f aca="false">IF(U291&lt;&gt;"",(U291-Scoring!$B$3)/365.25,IF(N291="","",IF(N291&lt;Scoring!$B$12,"",(DATE(N291+Scoring!$B$13,12,31)-Scoring!$B$3)/365.25)))</f>
        <v>16.2464065708419</v>
      </c>
      <c r="AB291" s="22" t="n">
        <f aca="false">IF(T291="Y",0,IF(OR(D291="Expired (verified)",D291="Expiring: notice window (verified)",D291="Expiring: 10-yr horizon (verified)",D291="Past 30-yr mark (verify)",D291="30-yr mark: notice window (est.)",D291="Year-15 window"),1,0)+IF(ISNUMBER(O291),IF(O291&gt;=Scoring!$B$10,1,0),0)+IF(AND(ISNUMBER(L291),ISNUMBER(J291)),IF(J291&gt;0,IF(L291/J291&gt;=Scoring!$B$11,1,0),0),0)+IF(ISNUMBER(Z291),MIN(Z291,3),0))</f>
        <v>1</v>
      </c>
      <c r="AC291" s="22" t="n">
        <f aca="false">IF(AB291&gt;=3,Scoring!$C$24,IF(AB291=2,Scoring!$C$23,IF(AB291=1,Scoring!$C$22,0)))</f>
        <v>10</v>
      </c>
      <c r="AD291" s="22" t="n">
        <f aca="false">IF(T291="Y",0,IF(ISNUMBER(X291),IF(X291&gt;0.7,Scoring!$C$25,IF(X291&gt;=0.5,Scoring!$C$26,IF(X291&gt;=0.3,Scoring!$C$27,Scoring!$C$28))),Scoring!$C$29))</f>
        <v>10</v>
      </c>
      <c r="AE291" s="22" t="n">
        <f aca="false">IF(D291="Expiring: notice window (verified)",Scoring!$C$30,IF(OR(D291="Expired (verified)",D291="30-yr mark: notice window (est.)",D291="Year-15 window"),Scoring!$C$31,IF(D291="Expiring: 10-yr horizon (verified)",Scoring!$C$32,IF(D291="Past 30-yr mark (verify)",Scoring!$C$33,IF(OR(D291="Credit period",D291="Superseded record"),Scoring!$C$35,Scoring!$C$34)))))</f>
        <v>14</v>
      </c>
      <c r="AF291" s="22" t="n">
        <f aca="false">IF(T291="Y",0,IF(ISNUMBER(V291),IF(Scoring!$B$4-V291&gt;15,Scoring!$C$36,IF(Scoring!$B$4-V291&gt;=10,Scoring!$C$37,IF(Scoring!$B$4-V291&gt;=5,Scoring!$C$38,Scoring!$C$39))),IF(OR(N291="",D291="Out of program"),Scoring!$C$40,IF(O291&gt;15,Scoring!$C$36,IF(O291&gt;=10,Scoring!$C$37,IF(O291&gt;=5,Scoring!$C$38,Scoring!$C$39))))))</f>
        <v>12</v>
      </c>
      <c r="AG291" s="22" t="n">
        <f aca="false">IF(T291="Y",0,IF(Y291="Y",Scoring!$C$41,IF(ISNUMBER(O291),IF(O291&gt;=25,Scoring!$C$42,IF(O291&gt;=15,Scoring!$C$43,Scoring!$C$44)),Scoring!$C$44)))</f>
        <v>2</v>
      </c>
      <c r="AH291" s="22" t="n">
        <f aca="false">IF(T291="Y",0,IF(W291="",Scoring!$C$49,IFERROR(VLOOKUP(W291,Scoring!$B$45:$C$48,2,FALSE()),Scoring!$C$49)))</f>
        <v>5</v>
      </c>
      <c r="AI291" s="23" t="n">
        <f aca="false">C291+IF(ISNUMBER(J291),J291,0)/100000+(10000-ROW())/1000000000</f>
        <v>53.000499709</v>
      </c>
      <c r="AJ291" s="18"/>
      <c r="AK291" s="18"/>
      <c r="AL291" s="18"/>
      <c r="AM291" s="18"/>
    </row>
    <row r="292" customFormat="false" ht="15" hidden="false" customHeight="false" outlineLevel="0" collapsed="false">
      <c r="A292" s="15" t="n">
        <f aca="false">RANK(AI292,$AI$2:$AI$755)</f>
        <v>291</v>
      </c>
      <c r="B292" s="16" t="str">
        <f aca="false">IF(T292="Y","Superseded",IF(C292&gt;=Scoring!$B$16,"Immediate",IF(C292&gt;=Scoring!$B$17,"This week",IF(C292&gt;=Scoring!$B$18,"Nurture","Low"))))</f>
        <v>This week</v>
      </c>
      <c r="C292" s="3" t="n">
        <f aca="false">SUM(AC292:AH292)</f>
        <v>53</v>
      </c>
      <c r="D292" s="15" t="str">
        <f aca="false">IF(T292="Y","Superseded record",IF(AND(U292&lt;&gt;"",AA292&lt;0),"Expired (verified)",IF(AND(U292&lt;&gt;"",AA292&lt;=Scoring!$B$5),"Expiring: notice window (verified)",IF(AND(U292&lt;&gt;"",AA292&lt;=Scoring!$B$6),"Expiring: 10-yr horizon (verified)",IF(M292="No Longer Monitored","Out of program",IF(N292="","Unknown vintage",IF(N292&lt;Scoring!$B$12,"Pre-1990, still listed",IF(AND(U292="",AA292&lt;0),"Past 30-yr mark (verify)",IF(AND(U292="",AA292&lt;=Scoring!$B$5),"30-yr mark: notice window (est.)",IF(AND(O292&gt;=Scoring!$B$7,O292&lt;=Scoring!$B$8),"Year-15 window",IF(O292&gt;=Scoring!$B$9,"Recap window",IF(O292&gt;=11,"Late compliance","Credit period"))))))))))))</f>
        <v>Year-15 window</v>
      </c>
      <c r="E292" s="15" t="s">
        <v>1159</v>
      </c>
      <c r="F292" s="15" t="s">
        <v>1160</v>
      </c>
      <c r="G292" s="15" t="s">
        <v>1161</v>
      </c>
      <c r="H292" s="15" t="s">
        <v>536</v>
      </c>
      <c r="I292" s="15" t="s">
        <v>537</v>
      </c>
      <c r="J292" s="15" t="n">
        <v>48</v>
      </c>
      <c r="K292" s="15" t="n">
        <v>47</v>
      </c>
      <c r="L292" s="15" t="n">
        <f aca="false">IF(OR(J292="",K292=""),"",MAX(J292-K292,0))</f>
        <v>1</v>
      </c>
      <c r="M292" s="15" t="s">
        <v>99</v>
      </c>
      <c r="N292" s="17" t="n">
        <v>2012</v>
      </c>
      <c r="O292" s="15" t="n">
        <f aca="false">IF(N292="","",Scoring!$B$4-N292)</f>
        <v>14</v>
      </c>
      <c r="P292" s="15" t="n">
        <f aca="false">IF(N292="","",N292+14)</f>
        <v>2026</v>
      </c>
      <c r="Q292" s="15" t="n">
        <f aca="false">IF(N292="","",IF(N292&lt;Scoring!$B$12,"n/a (pre-1990)",N292+Scoring!$B$13))</f>
        <v>2041</v>
      </c>
      <c r="R292" s="15" t="str">
        <f aca="false">IF(J292="","Unknown",IF(J292&gt;=5,"Yes","No (under 5 units)"))</f>
        <v>Yes</v>
      </c>
      <c r="S292" s="15"/>
      <c r="T292" s="18"/>
      <c r="U292" s="19"/>
      <c r="V292" s="18"/>
      <c r="W292" s="18"/>
      <c r="X292" s="20"/>
      <c r="Y292" s="18"/>
      <c r="Z292" s="18"/>
      <c r="AA292" s="21" t="n">
        <f aca="false">IF(U292&lt;&gt;"",(U292-Scoring!$B$3)/365.25,IF(N292="","",IF(N292&lt;Scoring!$B$12,"",(DATE(N292+Scoring!$B$13,12,31)-Scoring!$B$3)/365.25)))</f>
        <v>15.2470910335387</v>
      </c>
      <c r="AB292" s="22" t="n">
        <f aca="false">IF(T292="Y",0,IF(OR(D292="Expired (verified)",D292="Expiring: notice window (verified)",D292="Expiring: 10-yr horizon (verified)",D292="Past 30-yr mark (verify)",D292="30-yr mark: notice window (est.)",D292="Year-15 window"),1,0)+IF(ISNUMBER(O292),IF(O292&gt;=Scoring!$B$10,1,0),0)+IF(AND(ISNUMBER(L292),ISNUMBER(J292)),IF(J292&gt;0,IF(L292/J292&gt;=Scoring!$B$11,1,0),0),0)+IF(ISNUMBER(Z292),MIN(Z292,3),0))</f>
        <v>1</v>
      </c>
      <c r="AC292" s="22" t="n">
        <f aca="false">IF(AB292&gt;=3,Scoring!$C$24,IF(AB292=2,Scoring!$C$23,IF(AB292=1,Scoring!$C$22,0)))</f>
        <v>10</v>
      </c>
      <c r="AD292" s="22" t="n">
        <f aca="false">IF(T292="Y",0,IF(ISNUMBER(X292),IF(X292&gt;0.7,Scoring!$C$25,IF(X292&gt;=0.5,Scoring!$C$26,IF(X292&gt;=0.3,Scoring!$C$27,Scoring!$C$28))),Scoring!$C$29))</f>
        <v>10</v>
      </c>
      <c r="AE292" s="22" t="n">
        <f aca="false">IF(D292="Expiring: notice window (verified)",Scoring!$C$30,IF(OR(D292="Expired (verified)",D292="30-yr mark: notice window (est.)",D292="Year-15 window"),Scoring!$C$31,IF(D292="Expiring: 10-yr horizon (verified)",Scoring!$C$32,IF(D292="Past 30-yr mark (verify)",Scoring!$C$33,IF(OR(D292="Credit period",D292="Superseded record"),Scoring!$C$35,Scoring!$C$34)))))</f>
        <v>14</v>
      </c>
      <c r="AF292" s="22" t="n">
        <f aca="false">IF(T292="Y",0,IF(ISNUMBER(V292),IF(Scoring!$B$4-V292&gt;15,Scoring!$C$36,IF(Scoring!$B$4-V292&gt;=10,Scoring!$C$37,IF(Scoring!$B$4-V292&gt;=5,Scoring!$C$38,Scoring!$C$39))),IF(OR(N292="",D292="Out of program"),Scoring!$C$40,IF(O292&gt;15,Scoring!$C$36,IF(O292&gt;=10,Scoring!$C$37,IF(O292&gt;=5,Scoring!$C$38,Scoring!$C$39))))))</f>
        <v>12</v>
      </c>
      <c r="AG292" s="22" t="n">
        <f aca="false">IF(T292="Y",0,IF(Y292="Y",Scoring!$C$41,IF(ISNUMBER(O292),IF(O292&gt;=25,Scoring!$C$42,IF(O292&gt;=15,Scoring!$C$43,Scoring!$C$44)),Scoring!$C$44)))</f>
        <v>2</v>
      </c>
      <c r="AH292" s="22" t="n">
        <f aca="false">IF(T292="Y",0,IF(W292="",Scoring!$C$49,IFERROR(VLOOKUP(W292,Scoring!$B$45:$C$48,2,FALSE()),Scoring!$C$49)))</f>
        <v>5</v>
      </c>
      <c r="AI292" s="23" t="n">
        <f aca="false">C292+IF(ISNUMBER(J292),J292,0)/100000+(10000-ROW())/1000000000</f>
        <v>53.000489708</v>
      </c>
      <c r="AJ292" s="18"/>
      <c r="AK292" s="18"/>
      <c r="AL292" s="18"/>
      <c r="AM292" s="18"/>
    </row>
    <row r="293" customFormat="false" ht="15" hidden="false" customHeight="false" outlineLevel="0" collapsed="false">
      <c r="A293" s="15" t="n">
        <f aca="false">RANK(AI293,$AI$2:$AI$755)</f>
        <v>292</v>
      </c>
      <c r="B293" s="16" t="str">
        <f aca="false">IF(T293="Y","Superseded",IF(C293&gt;=Scoring!$B$16,"Immediate",IF(C293&gt;=Scoring!$B$17,"This week",IF(C293&gt;=Scoring!$B$18,"Nurture","Low"))))</f>
        <v>This week</v>
      </c>
      <c r="C293" s="3" t="n">
        <f aca="false">SUM(AC293:AH293)</f>
        <v>53</v>
      </c>
      <c r="D293" s="15" t="str">
        <f aca="false">IF(T293="Y","Superseded record",IF(AND(U293&lt;&gt;"",AA293&lt;0),"Expired (verified)",IF(AND(U293&lt;&gt;"",AA293&lt;=Scoring!$B$5),"Expiring: notice window (verified)",IF(AND(U293&lt;&gt;"",AA293&lt;=Scoring!$B$6),"Expiring: 10-yr horizon (verified)",IF(M293="No Longer Monitored","Out of program",IF(N293="","Unknown vintage",IF(N293&lt;Scoring!$B$12,"Pre-1990, still listed",IF(AND(U293="",AA293&lt;0),"Past 30-yr mark (verify)",IF(AND(U293="",AA293&lt;=Scoring!$B$5),"30-yr mark: notice window (est.)",IF(AND(O293&gt;=Scoring!$B$7,O293&lt;=Scoring!$B$8),"Year-15 window",IF(O293&gt;=Scoring!$B$9,"Recap window",IF(O293&gt;=11,"Late compliance","Credit period"))))))))))))</f>
        <v>Year-15 window</v>
      </c>
      <c r="E293" s="15" t="s">
        <v>1162</v>
      </c>
      <c r="F293" s="15" t="s">
        <v>1163</v>
      </c>
      <c r="G293" s="15" t="s">
        <v>1164</v>
      </c>
      <c r="H293" s="15" t="s">
        <v>455</v>
      </c>
      <c r="I293" s="15" t="s">
        <v>1165</v>
      </c>
      <c r="J293" s="15" t="n">
        <v>48</v>
      </c>
      <c r="K293" s="15" t="n">
        <v>48</v>
      </c>
      <c r="L293" s="15" t="n">
        <f aca="false">IF(OR(J293="",K293=""),"",MAX(J293-K293,0))</f>
        <v>0</v>
      </c>
      <c r="M293" s="15" t="s">
        <v>99</v>
      </c>
      <c r="N293" s="17" t="n">
        <v>2012</v>
      </c>
      <c r="O293" s="15" t="n">
        <f aca="false">IF(N293="","",Scoring!$B$4-N293)</f>
        <v>14</v>
      </c>
      <c r="P293" s="15" t="n">
        <f aca="false">IF(N293="","",N293+14)</f>
        <v>2026</v>
      </c>
      <c r="Q293" s="15" t="n">
        <f aca="false">IF(N293="","",IF(N293&lt;Scoring!$B$12,"n/a (pre-1990)",N293+Scoring!$B$13))</f>
        <v>2041</v>
      </c>
      <c r="R293" s="15" t="str">
        <f aca="false">IF(J293="","Unknown",IF(J293&gt;=5,"Yes","No (under 5 units)"))</f>
        <v>Yes</v>
      </c>
      <c r="S293" s="15"/>
      <c r="T293" s="18"/>
      <c r="U293" s="19"/>
      <c r="V293" s="18"/>
      <c r="W293" s="18"/>
      <c r="X293" s="20"/>
      <c r="Y293" s="18"/>
      <c r="Z293" s="18"/>
      <c r="AA293" s="21" t="n">
        <f aca="false">IF(U293&lt;&gt;"",(U293-Scoring!$B$3)/365.25,IF(N293="","",IF(N293&lt;Scoring!$B$12,"",(DATE(N293+Scoring!$B$13,12,31)-Scoring!$B$3)/365.25)))</f>
        <v>15.2470910335387</v>
      </c>
      <c r="AB293" s="22" t="n">
        <f aca="false">IF(T293="Y",0,IF(OR(D293="Expired (verified)",D293="Expiring: notice window (verified)",D293="Expiring: 10-yr horizon (verified)",D293="Past 30-yr mark (verify)",D293="30-yr mark: notice window (est.)",D293="Year-15 window"),1,0)+IF(ISNUMBER(O293),IF(O293&gt;=Scoring!$B$10,1,0),0)+IF(AND(ISNUMBER(L293),ISNUMBER(J293)),IF(J293&gt;0,IF(L293/J293&gt;=Scoring!$B$11,1,0),0),0)+IF(ISNUMBER(Z293),MIN(Z293,3),0))</f>
        <v>1</v>
      </c>
      <c r="AC293" s="22" t="n">
        <f aca="false">IF(AB293&gt;=3,Scoring!$C$24,IF(AB293=2,Scoring!$C$23,IF(AB293=1,Scoring!$C$22,0)))</f>
        <v>10</v>
      </c>
      <c r="AD293" s="22" t="n">
        <f aca="false">IF(T293="Y",0,IF(ISNUMBER(X293),IF(X293&gt;0.7,Scoring!$C$25,IF(X293&gt;=0.5,Scoring!$C$26,IF(X293&gt;=0.3,Scoring!$C$27,Scoring!$C$28))),Scoring!$C$29))</f>
        <v>10</v>
      </c>
      <c r="AE293" s="22" t="n">
        <f aca="false">IF(D293="Expiring: notice window (verified)",Scoring!$C$30,IF(OR(D293="Expired (verified)",D293="30-yr mark: notice window (est.)",D293="Year-15 window"),Scoring!$C$31,IF(D293="Expiring: 10-yr horizon (verified)",Scoring!$C$32,IF(D293="Past 30-yr mark (verify)",Scoring!$C$33,IF(OR(D293="Credit period",D293="Superseded record"),Scoring!$C$35,Scoring!$C$34)))))</f>
        <v>14</v>
      </c>
      <c r="AF293" s="22" t="n">
        <f aca="false">IF(T293="Y",0,IF(ISNUMBER(V293),IF(Scoring!$B$4-V293&gt;15,Scoring!$C$36,IF(Scoring!$B$4-V293&gt;=10,Scoring!$C$37,IF(Scoring!$B$4-V293&gt;=5,Scoring!$C$38,Scoring!$C$39))),IF(OR(N293="",D293="Out of program"),Scoring!$C$40,IF(O293&gt;15,Scoring!$C$36,IF(O293&gt;=10,Scoring!$C$37,IF(O293&gt;=5,Scoring!$C$38,Scoring!$C$39))))))</f>
        <v>12</v>
      </c>
      <c r="AG293" s="22" t="n">
        <f aca="false">IF(T293="Y",0,IF(Y293="Y",Scoring!$C$41,IF(ISNUMBER(O293),IF(O293&gt;=25,Scoring!$C$42,IF(O293&gt;=15,Scoring!$C$43,Scoring!$C$44)),Scoring!$C$44)))</f>
        <v>2</v>
      </c>
      <c r="AH293" s="22" t="n">
        <f aca="false">IF(T293="Y",0,IF(W293="",Scoring!$C$49,IFERROR(VLOOKUP(W293,Scoring!$B$45:$C$48,2,FALSE()),Scoring!$C$49)))</f>
        <v>5</v>
      </c>
      <c r="AI293" s="23" t="n">
        <f aca="false">C293+IF(ISNUMBER(J293),J293,0)/100000+(10000-ROW())/1000000000</f>
        <v>53.000489707</v>
      </c>
      <c r="AJ293" s="18"/>
      <c r="AK293" s="18"/>
      <c r="AL293" s="18"/>
      <c r="AM293" s="18"/>
    </row>
    <row r="294" customFormat="false" ht="15" hidden="false" customHeight="false" outlineLevel="0" collapsed="false">
      <c r="A294" s="15" t="n">
        <f aca="false">RANK(AI294,$AI$2:$AI$755)</f>
        <v>293</v>
      </c>
      <c r="B294" s="16" t="str">
        <f aca="false">IF(T294="Y","Superseded",IF(C294&gt;=Scoring!$B$16,"Immediate",IF(C294&gt;=Scoring!$B$17,"This week",IF(C294&gt;=Scoring!$B$18,"Nurture","Low"))))</f>
        <v>This week</v>
      </c>
      <c r="C294" s="3" t="n">
        <f aca="false">SUM(AC294:AH294)</f>
        <v>53</v>
      </c>
      <c r="D294" s="15" t="str">
        <f aca="false">IF(T294="Y","Superseded record",IF(AND(U294&lt;&gt;"",AA294&lt;0),"Expired (verified)",IF(AND(U294&lt;&gt;"",AA294&lt;=Scoring!$B$5),"Expiring: notice window (verified)",IF(AND(U294&lt;&gt;"",AA294&lt;=Scoring!$B$6),"Expiring: 10-yr horizon (verified)",IF(M294="No Longer Monitored","Out of program",IF(N294="","Unknown vintage",IF(N294&lt;Scoring!$B$12,"Pre-1990, still listed",IF(AND(U294="",AA294&lt;0),"Past 30-yr mark (verify)",IF(AND(U294="",AA294&lt;=Scoring!$B$5),"30-yr mark: notice window (est.)",IF(AND(O294&gt;=Scoring!$B$7,O294&lt;=Scoring!$B$8),"Year-15 window",IF(O294&gt;=Scoring!$B$9,"Recap window",IF(O294&gt;=11,"Late compliance","Credit period"))))))))))))</f>
        <v>Year-15 window</v>
      </c>
      <c r="E294" s="15" t="s">
        <v>1166</v>
      </c>
      <c r="F294" s="15" t="s">
        <v>1167</v>
      </c>
      <c r="G294" s="15" t="s">
        <v>1168</v>
      </c>
      <c r="H294" s="15" t="s">
        <v>1169</v>
      </c>
      <c r="I294" s="15" t="s">
        <v>1170</v>
      </c>
      <c r="J294" s="15" t="n">
        <v>47</v>
      </c>
      <c r="K294" s="15" t="n">
        <v>47</v>
      </c>
      <c r="L294" s="15" t="n">
        <f aca="false">IF(OR(J294="",K294=""),"",MAX(J294-K294,0))</f>
        <v>0</v>
      </c>
      <c r="M294" s="15" t="s">
        <v>99</v>
      </c>
      <c r="N294" s="17" t="n">
        <v>2012</v>
      </c>
      <c r="O294" s="15" t="n">
        <f aca="false">IF(N294="","",Scoring!$B$4-N294)</f>
        <v>14</v>
      </c>
      <c r="P294" s="15" t="n">
        <f aca="false">IF(N294="","",N294+14)</f>
        <v>2026</v>
      </c>
      <c r="Q294" s="15" t="n">
        <f aca="false">IF(N294="","",IF(N294&lt;Scoring!$B$12,"n/a (pre-1990)",N294+Scoring!$B$13))</f>
        <v>2041</v>
      </c>
      <c r="R294" s="15" t="str">
        <f aca="false">IF(J294="","Unknown",IF(J294&gt;=5,"Yes","No (under 5 units)"))</f>
        <v>Yes</v>
      </c>
      <c r="S294" s="15"/>
      <c r="T294" s="18"/>
      <c r="U294" s="19"/>
      <c r="V294" s="18"/>
      <c r="W294" s="18"/>
      <c r="X294" s="20"/>
      <c r="Y294" s="18"/>
      <c r="Z294" s="18"/>
      <c r="AA294" s="21" t="n">
        <f aca="false">IF(U294&lt;&gt;"",(U294-Scoring!$B$3)/365.25,IF(N294="","",IF(N294&lt;Scoring!$B$12,"",(DATE(N294+Scoring!$B$13,12,31)-Scoring!$B$3)/365.25)))</f>
        <v>15.2470910335387</v>
      </c>
      <c r="AB294" s="22" t="n">
        <f aca="false">IF(T294="Y",0,IF(OR(D294="Expired (verified)",D294="Expiring: notice window (verified)",D294="Expiring: 10-yr horizon (verified)",D294="Past 30-yr mark (verify)",D294="30-yr mark: notice window (est.)",D294="Year-15 window"),1,0)+IF(ISNUMBER(O294),IF(O294&gt;=Scoring!$B$10,1,0),0)+IF(AND(ISNUMBER(L294),ISNUMBER(J294)),IF(J294&gt;0,IF(L294/J294&gt;=Scoring!$B$11,1,0),0),0)+IF(ISNUMBER(Z294),MIN(Z294,3),0))</f>
        <v>1</v>
      </c>
      <c r="AC294" s="22" t="n">
        <f aca="false">IF(AB294&gt;=3,Scoring!$C$24,IF(AB294=2,Scoring!$C$23,IF(AB294=1,Scoring!$C$22,0)))</f>
        <v>10</v>
      </c>
      <c r="AD294" s="22" t="n">
        <f aca="false">IF(T294="Y",0,IF(ISNUMBER(X294),IF(X294&gt;0.7,Scoring!$C$25,IF(X294&gt;=0.5,Scoring!$C$26,IF(X294&gt;=0.3,Scoring!$C$27,Scoring!$C$28))),Scoring!$C$29))</f>
        <v>10</v>
      </c>
      <c r="AE294" s="22" t="n">
        <f aca="false">IF(D294="Expiring: notice window (verified)",Scoring!$C$30,IF(OR(D294="Expired (verified)",D294="30-yr mark: notice window (est.)",D294="Year-15 window"),Scoring!$C$31,IF(D294="Expiring: 10-yr horizon (verified)",Scoring!$C$32,IF(D294="Past 30-yr mark (verify)",Scoring!$C$33,IF(OR(D294="Credit period",D294="Superseded record"),Scoring!$C$35,Scoring!$C$34)))))</f>
        <v>14</v>
      </c>
      <c r="AF294" s="22" t="n">
        <f aca="false">IF(T294="Y",0,IF(ISNUMBER(V294),IF(Scoring!$B$4-V294&gt;15,Scoring!$C$36,IF(Scoring!$B$4-V294&gt;=10,Scoring!$C$37,IF(Scoring!$B$4-V294&gt;=5,Scoring!$C$38,Scoring!$C$39))),IF(OR(N294="",D294="Out of program"),Scoring!$C$40,IF(O294&gt;15,Scoring!$C$36,IF(O294&gt;=10,Scoring!$C$37,IF(O294&gt;=5,Scoring!$C$38,Scoring!$C$39))))))</f>
        <v>12</v>
      </c>
      <c r="AG294" s="22" t="n">
        <f aca="false">IF(T294="Y",0,IF(Y294="Y",Scoring!$C$41,IF(ISNUMBER(O294),IF(O294&gt;=25,Scoring!$C$42,IF(O294&gt;=15,Scoring!$C$43,Scoring!$C$44)),Scoring!$C$44)))</f>
        <v>2</v>
      </c>
      <c r="AH294" s="22" t="n">
        <f aca="false">IF(T294="Y",0,IF(W294="",Scoring!$C$49,IFERROR(VLOOKUP(W294,Scoring!$B$45:$C$48,2,FALSE()),Scoring!$C$49)))</f>
        <v>5</v>
      </c>
      <c r="AI294" s="23" t="n">
        <f aca="false">C294+IF(ISNUMBER(J294),J294,0)/100000+(10000-ROW())/1000000000</f>
        <v>53.000479706</v>
      </c>
      <c r="AJ294" s="18"/>
      <c r="AK294" s="18"/>
      <c r="AL294" s="18"/>
      <c r="AM294" s="18"/>
    </row>
    <row r="295" customFormat="false" ht="15" hidden="false" customHeight="false" outlineLevel="0" collapsed="false">
      <c r="A295" s="15" t="n">
        <f aca="false">RANK(AI295,$AI$2:$AI$755)</f>
        <v>294</v>
      </c>
      <c r="B295" s="16" t="str">
        <f aca="false">IF(T295="Y","Superseded",IF(C295&gt;=Scoring!$B$16,"Immediate",IF(C295&gt;=Scoring!$B$17,"This week",IF(C295&gt;=Scoring!$B$18,"Nurture","Low"))))</f>
        <v>This week</v>
      </c>
      <c r="C295" s="3" t="n">
        <f aca="false">SUM(AC295:AH295)</f>
        <v>53</v>
      </c>
      <c r="D295" s="15" t="str">
        <f aca="false">IF(T295="Y","Superseded record",IF(AND(U295&lt;&gt;"",AA295&lt;0),"Expired (verified)",IF(AND(U295&lt;&gt;"",AA295&lt;=Scoring!$B$5),"Expiring: notice window (verified)",IF(AND(U295&lt;&gt;"",AA295&lt;=Scoring!$B$6),"Expiring: 10-yr horizon (verified)",IF(M295="No Longer Monitored","Out of program",IF(N295="","Unknown vintage",IF(N295&lt;Scoring!$B$12,"Pre-1990, still listed",IF(AND(U295="",AA295&lt;0),"Past 30-yr mark (verify)",IF(AND(U295="",AA295&lt;=Scoring!$B$5),"30-yr mark: notice window (est.)",IF(AND(O295&gt;=Scoring!$B$7,O295&lt;=Scoring!$B$8),"Year-15 window",IF(O295&gt;=Scoring!$B$9,"Recap window",IF(O295&gt;=11,"Late compliance","Credit period"))))))))))))</f>
        <v>Year-15 window</v>
      </c>
      <c r="E295" s="15" t="s">
        <v>1171</v>
      </c>
      <c r="F295" s="15" t="s">
        <v>1172</v>
      </c>
      <c r="G295" s="15" t="s">
        <v>1173</v>
      </c>
      <c r="H295" s="15" t="s">
        <v>151</v>
      </c>
      <c r="I295" s="15" t="s">
        <v>1174</v>
      </c>
      <c r="J295" s="15" t="n">
        <v>45</v>
      </c>
      <c r="K295" s="15" t="n">
        <v>44</v>
      </c>
      <c r="L295" s="15" t="n">
        <f aca="false">IF(OR(J295="",K295=""),"",MAX(J295-K295,0))</f>
        <v>1</v>
      </c>
      <c r="M295" s="15" t="s">
        <v>99</v>
      </c>
      <c r="N295" s="17" t="n">
        <v>2013</v>
      </c>
      <c r="O295" s="15" t="n">
        <f aca="false">IF(N295="","",Scoring!$B$4-N295)</f>
        <v>13</v>
      </c>
      <c r="P295" s="15" t="n">
        <f aca="false">IF(N295="","",N295+14)</f>
        <v>2027</v>
      </c>
      <c r="Q295" s="15" t="n">
        <f aca="false">IF(N295="","",IF(N295&lt;Scoring!$B$12,"n/a (pre-1990)",N295+Scoring!$B$13))</f>
        <v>2042</v>
      </c>
      <c r="R295" s="15" t="str">
        <f aca="false">IF(J295="","Unknown",IF(J295&gt;=5,"Yes","No (under 5 units)"))</f>
        <v>Yes</v>
      </c>
      <c r="S295" s="15"/>
      <c r="T295" s="18"/>
      <c r="U295" s="19"/>
      <c r="V295" s="18"/>
      <c r="W295" s="18"/>
      <c r="X295" s="20"/>
      <c r="Y295" s="18"/>
      <c r="Z295" s="18"/>
      <c r="AA295" s="21" t="n">
        <f aca="false">IF(U295&lt;&gt;"",(U295-Scoring!$B$3)/365.25,IF(N295="","",IF(N295&lt;Scoring!$B$12,"",(DATE(N295+Scoring!$B$13,12,31)-Scoring!$B$3)/365.25)))</f>
        <v>16.2464065708419</v>
      </c>
      <c r="AB295" s="22" t="n">
        <f aca="false">IF(T295="Y",0,IF(OR(D295="Expired (verified)",D295="Expiring: notice window (verified)",D295="Expiring: 10-yr horizon (verified)",D295="Past 30-yr mark (verify)",D295="30-yr mark: notice window (est.)",D295="Year-15 window"),1,0)+IF(ISNUMBER(O295),IF(O295&gt;=Scoring!$B$10,1,0),0)+IF(AND(ISNUMBER(L295),ISNUMBER(J295)),IF(J295&gt;0,IF(L295/J295&gt;=Scoring!$B$11,1,0),0),0)+IF(ISNUMBER(Z295),MIN(Z295,3),0))</f>
        <v>1</v>
      </c>
      <c r="AC295" s="22" t="n">
        <f aca="false">IF(AB295&gt;=3,Scoring!$C$24,IF(AB295=2,Scoring!$C$23,IF(AB295=1,Scoring!$C$22,0)))</f>
        <v>10</v>
      </c>
      <c r="AD295" s="22" t="n">
        <f aca="false">IF(T295="Y",0,IF(ISNUMBER(X295),IF(X295&gt;0.7,Scoring!$C$25,IF(X295&gt;=0.5,Scoring!$C$26,IF(X295&gt;=0.3,Scoring!$C$27,Scoring!$C$28))),Scoring!$C$29))</f>
        <v>10</v>
      </c>
      <c r="AE295" s="22" t="n">
        <f aca="false">IF(D295="Expiring: notice window (verified)",Scoring!$C$30,IF(OR(D295="Expired (verified)",D295="30-yr mark: notice window (est.)",D295="Year-15 window"),Scoring!$C$31,IF(D295="Expiring: 10-yr horizon (verified)",Scoring!$C$32,IF(D295="Past 30-yr mark (verify)",Scoring!$C$33,IF(OR(D295="Credit period",D295="Superseded record"),Scoring!$C$35,Scoring!$C$34)))))</f>
        <v>14</v>
      </c>
      <c r="AF295" s="22" t="n">
        <f aca="false">IF(T295="Y",0,IF(ISNUMBER(V295),IF(Scoring!$B$4-V295&gt;15,Scoring!$C$36,IF(Scoring!$B$4-V295&gt;=10,Scoring!$C$37,IF(Scoring!$B$4-V295&gt;=5,Scoring!$C$38,Scoring!$C$39))),IF(OR(N295="",D295="Out of program"),Scoring!$C$40,IF(O295&gt;15,Scoring!$C$36,IF(O295&gt;=10,Scoring!$C$37,IF(O295&gt;=5,Scoring!$C$38,Scoring!$C$39))))))</f>
        <v>12</v>
      </c>
      <c r="AG295" s="22" t="n">
        <f aca="false">IF(T295="Y",0,IF(Y295="Y",Scoring!$C$41,IF(ISNUMBER(O295),IF(O295&gt;=25,Scoring!$C$42,IF(O295&gt;=15,Scoring!$C$43,Scoring!$C$44)),Scoring!$C$44)))</f>
        <v>2</v>
      </c>
      <c r="AH295" s="22" t="n">
        <f aca="false">IF(T295="Y",0,IF(W295="",Scoring!$C$49,IFERROR(VLOOKUP(W295,Scoring!$B$45:$C$48,2,FALSE()),Scoring!$C$49)))</f>
        <v>5</v>
      </c>
      <c r="AI295" s="23" t="n">
        <f aca="false">C295+IF(ISNUMBER(J295),J295,0)/100000+(10000-ROW())/1000000000</f>
        <v>53.000459705</v>
      </c>
      <c r="AJ295" s="18"/>
      <c r="AK295" s="18"/>
      <c r="AL295" s="18"/>
      <c r="AM295" s="18"/>
    </row>
    <row r="296" customFormat="false" ht="15" hidden="false" customHeight="false" outlineLevel="0" collapsed="false">
      <c r="A296" s="15" t="n">
        <f aca="false">RANK(AI296,$AI$2:$AI$755)</f>
        <v>295</v>
      </c>
      <c r="B296" s="16" t="str">
        <f aca="false">IF(T296="Y","Superseded",IF(C296&gt;=Scoring!$B$16,"Immediate",IF(C296&gt;=Scoring!$B$17,"This week",IF(C296&gt;=Scoring!$B$18,"Nurture","Low"))))</f>
        <v>This week</v>
      </c>
      <c r="C296" s="3" t="n">
        <f aca="false">SUM(AC296:AH296)</f>
        <v>53</v>
      </c>
      <c r="D296" s="15" t="str">
        <f aca="false">IF(T296="Y","Superseded record",IF(AND(U296&lt;&gt;"",AA296&lt;0),"Expired (verified)",IF(AND(U296&lt;&gt;"",AA296&lt;=Scoring!$B$5),"Expiring: notice window (verified)",IF(AND(U296&lt;&gt;"",AA296&lt;=Scoring!$B$6),"Expiring: 10-yr horizon (verified)",IF(M296="No Longer Monitored","Out of program",IF(N296="","Unknown vintage",IF(N296&lt;Scoring!$B$12,"Pre-1990, still listed",IF(AND(U296="",AA296&lt;0),"Past 30-yr mark (verify)",IF(AND(U296="",AA296&lt;=Scoring!$B$5),"30-yr mark: notice window (est.)",IF(AND(O296&gt;=Scoring!$B$7,O296&lt;=Scoring!$B$8),"Year-15 window",IF(O296&gt;=Scoring!$B$9,"Recap window",IF(O296&gt;=11,"Late compliance","Credit period"))))))))))))</f>
        <v>Year-15 window</v>
      </c>
      <c r="E296" s="15" t="s">
        <v>1175</v>
      </c>
      <c r="F296" s="15" t="s">
        <v>1176</v>
      </c>
      <c r="G296" s="15" t="s">
        <v>1177</v>
      </c>
      <c r="H296" s="15" t="s">
        <v>97</v>
      </c>
      <c r="I296" s="15" t="s">
        <v>160</v>
      </c>
      <c r="J296" s="15" t="n">
        <v>42</v>
      </c>
      <c r="K296" s="15" t="n">
        <v>42</v>
      </c>
      <c r="L296" s="15" t="n">
        <f aca="false">IF(OR(J296="",K296=""),"",MAX(J296-K296,0))</f>
        <v>0</v>
      </c>
      <c r="M296" s="15" t="s">
        <v>99</v>
      </c>
      <c r="N296" s="17" t="n">
        <v>2012</v>
      </c>
      <c r="O296" s="15" t="n">
        <f aca="false">IF(N296="","",Scoring!$B$4-N296)</f>
        <v>14</v>
      </c>
      <c r="P296" s="15" t="n">
        <f aca="false">IF(N296="","",N296+14)</f>
        <v>2026</v>
      </c>
      <c r="Q296" s="15" t="n">
        <f aca="false">IF(N296="","",IF(N296&lt;Scoring!$B$12,"n/a (pre-1990)",N296+Scoring!$B$13))</f>
        <v>2041</v>
      </c>
      <c r="R296" s="15" t="str">
        <f aca="false">IF(J296="","Unknown",IF(J296&gt;=5,"Yes","No (under 5 units)"))</f>
        <v>Yes</v>
      </c>
      <c r="S296" s="15"/>
      <c r="T296" s="18"/>
      <c r="U296" s="19"/>
      <c r="V296" s="18"/>
      <c r="W296" s="18"/>
      <c r="X296" s="20"/>
      <c r="Y296" s="18"/>
      <c r="Z296" s="18"/>
      <c r="AA296" s="21" t="n">
        <f aca="false">IF(U296&lt;&gt;"",(U296-Scoring!$B$3)/365.25,IF(N296="","",IF(N296&lt;Scoring!$B$12,"",(DATE(N296+Scoring!$B$13,12,31)-Scoring!$B$3)/365.25)))</f>
        <v>15.2470910335387</v>
      </c>
      <c r="AB296" s="22" t="n">
        <f aca="false">IF(T296="Y",0,IF(OR(D296="Expired (verified)",D296="Expiring: notice window (verified)",D296="Expiring: 10-yr horizon (verified)",D296="Past 30-yr mark (verify)",D296="30-yr mark: notice window (est.)",D296="Year-15 window"),1,0)+IF(ISNUMBER(O296),IF(O296&gt;=Scoring!$B$10,1,0),0)+IF(AND(ISNUMBER(L296),ISNUMBER(J296)),IF(J296&gt;0,IF(L296/J296&gt;=Scoring!$B$11,1,0),0),0)+IF(ISNUMBER(Z296),MIN(Z296,3),0))</f>
        <v>1</v>
      </c>
      <c r="AC296" s="22" t="n">
        <f aca="false">IF(AB296&gt;=3,Scoring!$C$24,IF(AB296=2,Scoring!$C$23,IF(AB296=1,Scoring!$C$22,0)))</f>
        <v>10</v>
      </c>
      <c r="AD296" s="22" t="n">
        <f aca="false">IF(T296="Y",0,IF(ISNUMBER(X296),IF(X296&gt;0.7,Scoring!$C$25,IF(X296&gt;=0.5,Scoring!$C$26,IF(X296&gt;=0.3,Scoring!$C$27,Scoring!$C$28))),Scoring!$C$29))</f>
        <v>10</v>
      </c>
      <c r="AE296" s="22" t="n">
        <f aca="false">IF(D296="Expiring: notice window (verified)",Scoring!$C$30,IF(OR(D296="Expired (verified)",D296="30-yr mark: notice window (est.)",D296="Year-15 window"),Scoring!$C$31,IF(D296="Expiring: 10-yr horizon (verified)",Scoring!$C$32,IF(D296="Past 30-yr mark (verify)",Scoring!$C$33,IF(OR(D296="Credit period",D296="Superseded record"),Scoring!$C$35,Scoring!$C$34)))))</f>
        <v>14</v>
      </c>
      <c r="AF296" s="22" t="n">
        <f aca="false">IF(T296="Y",0,IF(ISNUMBER(V296),IF(Scoring!$B$4-V296&gt;15,Scoring!$C$36,IF(Scoring!$B$4-V296&gt;=10,Scoring!$C$37,IF(Scoring!$B$4-V296&gt;=5,Scoring!$C$38,Scoring!$C$39))),IF(OR(N296="",D296="Out of program"),Scoring!$C$40,IF(O296&gt;15,Scoring!$C$36,IF(O296&gt;=10,Scoring!$C$37,IF(O296&gt;=5,Scoring!$C$38,Scoring!$C$39))))))</f>
        <v>12</v>
      </c>
      <c r="AG296" s="22" t="n">
        <f aca="false">IF(T296="Y",0,IF(Y296="Y",Scoring!$C$41,IF(ISNUMBER(O296),IF(O296&gt;=25,Scoring!$C$42,IF(O296&gt;=15,Scoring!$C$43,Scoring!$C$44)),Scoring!$C$44)))</f>
        <v>2</v>
      </c>
      <c r="AH296" s="22" t="n">
        <f aca="false">IF(T296="Y",0,IF(W296="",Scoring!$C$49,IFERROR(VLOOKUP(W296,Scoring!$B$45:$C$48,2,FALSE()),Scoring!$C$49)))</f>
        <v>5</v>
      </c>
      <c r="AI296" s="23" t="n">
        <f aca="false">C296+IF(ISNUMBER(J296),J296,0)/100000+(10000-ROW())/1000000000</f>
        <v>53.000429704</v>
      </c>
      <c r="AJ296" s="18"/>
      <c r="AK296" s="18"/>
      <c r="AL296" s="18"/>
      <c r="AM296" s="18"/>
    </row>
    <row r="297" customFormat="false" ht="15" hidden="false" customHeight="false" outlineLevel="0" collapsed="false">
      <c r="A297" s="15" t="n">
        <f aca="false">RANK(AI297,$AI$2:$AI$755)</f>
        <v>296</v>
      </c>
      <c r="B297" s="16" t="str">
        <f aca="false">IF(T297="Y","Superseded",IF(C297&gt;=Scoring!$B$16,"Immediate",IF(C297&gt;=Scoring!$B$17,"This week",IF(C297&gt;=Scoring!$B$18,"Nurture","Low"))))</f>
        <v>This week</v>
      </c>
      <c r="C297" s="3" t="n">
        <f aca="false">SUM(AC297:AH297)</f>
        <v>53</v>
      </c>
      <c r="D297" s="15" t="str">
        <f aca="false">IF(T297="Y","Superseded record",IF(AND(U297&lt;&gt;"",AA297&lt;0),"Expired (verified)",IF(AND(U297&lt;&gt;"",AA297&lt;=Scoring!$B$5),"Expiring: notice window (verified)",IF(AND(U297&lt;&gt;"",AA297&lt;=Scoring!$B$6),"Expiring: 10-yr horizon (verified)",IF(M297="No Longer Monitored","Out of program",IF(N297="","Unknown vintage",IF(N297&lt;Scoring!$B$12,"Pre-1990, still listed",IF(AND(U297="",AA297&lt;0),"Past 30-yr mark (verify)",IF(AND(U297="",AA297&lt;=Scoring!$B$5),"30-yr mark: notice window (est.)",IF(AND(O297&gt;=Scoring!$B$7,O297&lt;=Scoring!$B$8),"Year-15 window",IF(O297&gt;=Scoring!$B$9,"Recap window",IF(O297&gt;=11,"Late compliance","Credit period"))))))))))))</f>
        <v>Year-15 window</v>
      </c>
      <c r="E297" s="15" t="s">
        <v>1178</v>
      </c>
      <c r="F297" s="15" t="s">
        <v>1179</v>
      </c>
      <c r="G297" s="15" t="s">
        <v>1180</v>
      </c>
      <c r="H297" s="15" t="s">
        <v>877</v>
      </c>
      <c r="I297" s="15" t="s">
        <v>878</v>
      </c>
      <c r="J297" s="15" t="n">
        <v>41</v>
      </c>
      <c r="K297" s="15" t="n">
        <v>41</v>
      </c>
      <c r="L297" s="15" t="n">
        <f aca="false">IF(OR(J297="",K297=""),"",MAX(J297-K297,0))</f>
        <v>0</v>
      </c>
      <c r="M297" s="15" t="s">
        <v>99</v>
      </c>
      <c r="N297" s="17" t="n">
        <v>2012</v>
      </c>
      <c r="O297" s="15" t="n">
        <f aca="false">IF(N297="","",Scoring!$B$4-N297)</f>
        <v>14</v>
      </c>
      <c r="P297" s="15" t="n">
        <f aca="false">IF(N297="","",N297+14)</f>
        <v>2026</v>
      </c>
      <c r="Q297" s="15" t="n">
        <f aca="false">IF(N297="","",IF(N297&lt;Scoring!$B$12,"n/a (pre-1990)",N297+Scoring!$B$13))</f>
        <v>2041</v>
      </c>
      <c r="R297" s="15" t="str">
        <f aca="false">IF(J297="","Unknown",IF(J297&gt;=5,"Yes","No (under 5 units)"))</f>
        <v>Yes</v>
      </c>
      <c r="S297" s="15"/>
      <c r="T297" s="18"/>
      <c r="U297" s="19"/>
      <c r="V297" s="18"/>
      <c r="W297" s="18"/>
      <c r="X297" s="20"/>
      <c r="Y297" s="18"/>
      <c r="Z297" s="18"/>
      <c r="AA297" s="21" t="n">
        <f aca="false">IF(U297&lt;&gt;"",(U297-Scoring!$B$3)/365.25,IF(N297="","",IF(N297&lt;Scoring!$B$12,"",(DATE(N297+Scoring!$B$13,12,31)-Scoring!$B$3)/365.25)))</f>
        <v>15.2470910335387</v>
      </c>
      <c r="AB297" s="22" t="n">
        <f aca="false">IF(T297="Y",0,IF(OR(D297="Expired (verified)",D297="Expiring: notice window (verified)",D297="Expiring: 10-yr horizon (verified)",D297="Past 30-yr mark (verify)",D297="30-yr mark: notice window (est.)",D297="Year-15 window"),1,0)+IF(ISNUMBER(O297),IF(O297&gt;=Scoring!$B$10,1,0),0)+IF(AND(ISNUMBER(L297),ISNUMBER(J297)),IF(J297&gt;0,IF(L297/J297&gt;=Scoring!$B$11,1,0),0),0)+IF(ISNUMBER(Z297),MIN(Z297,3),0))</f>
        <v>1</v>
      </c>
      <c r="AC297" s="22" t="n">
        <f aca="false">IF(AB297&gt;=3,Scoring!$C$24,IF(AB297=2,Scoring!$C$23,IF(AB297=1,Scoring!$C$22,0)))</f>
        <v>10</v>
      </c>
      <c r="AD297" s="22" t="n">
        <f aca="false">IF(T297="Y",0,IF(ISNUMBER(X297),IF(X297&gt;0.7,Scoring!$C$25,IF(X297&gt;=0.5,Scoring!$C$26,IF(X297&gt;=0.3,Scoring!$C$27,Scoring!$C$28))),Scoring!$C$29))</f>
        <v>10</v>
      </c>
      <c r="AE297" s="22" t="n">
        <f aca="false">IF(D297="Expiring: notice window (verified)",Scoring!$C$30,IF(OR(D297="Expired (verified)",D297="30-yr mark: notice window (est.)",D297="Year-15 window"),Scoring!$C$31,IF(D297="Expiring: 10-yr horizon (verified)",Scoring!$C$32,IF(D297="Past 30-yr mark (verify)",Scoring!$C$33,IF(OR(D297="Credit period",D297="Superseded record"),Scoring!$C$35,Scoring!$C$34)))))</f>
        <v>14</v>
      </c>
      <c r="AF297" s="22" t="n">
        <f aca="false">IF(T297="Y",0,IF(ISNUMBER(V297),IF(Scoring!$B$4-V297&gt;15,Scoring!$C$36,IF(Scoring!$B$4-V297&gt;=10,Scoring!$C$37,IF(Scoring!$B$4-V297&gt;=5,Scoring!$C$38,Scoring!$C$39))),IF(OR(N297="",D297="Out of program"),Scoring!$C$40,IF(O297&gt;15,Scoring!$C$36,IF(O297&gt;=10,Scoring!$C$37,IF(O297&gt;=5,Scoring!$C$38,Scoring!$C$39))))))</f>
        <v>12</v>
      </c>
      <c r="AG297" s="22" t="n">
        <f aca="false">IF(T297="Y",0,IF(Y297="Y",Scoring!$C$41,IF(ISNUMBER(O297),IF(O297&gt;=25,Scoring!$C$42,IF(O297&gt;=15,Scoring!$C$43,Scoring!$C$44)),Scoring!$C$44)))</f>
        <v>2</v>
      </c>
      <c r="AH297" s="22" t="n">
        <f aca="false">IF(T297="Y",0,IF(W297="",Scoring!$C$49,IFERROR(VLOOKUP(W297,Scoring!$B$45:$C$48,2,FALSE()),Scoring!$C$49)))</f>
        <v>5</v>
      </c>
      <c r="AI297" s="23" t="n">
        <f aca="false">C297+IF(ISNUMBER(J297),J297,0)/100000+(10000-ROW())/1000000000</f>
        <v>53.000419703</v>
      </c>
      <c r="AJ297" s="18"/>
      <c r="AK297" s="18"/>
      <c r="AL297" s="18"/>
      <c r="AM297" s="18"/>
    </row>
    <row r="298" customFormat="false" ht="15" hidden="false" customHeight="false" outlineLevel="0" collapsed="false">
      <c r="A298" s="15" t="n">
        <f aca="false">RANK(AI298,$AI$2:$AI$755)</f>
        <v>297</v>
      </c>
      <c r="B298" s="16" t="str">
        <f aca="false">IF(T298="Y","Superseded",IF(C298&gt;=Scoring!$B$16,"Immediate",IF(C298&gt;=Scoring!$B$17,"This week",IF(C298&gt;=Scoring!$B$18,"Nurture","Low"))))</f>
        <v>This week</v>
      </c>
      <c r="C298" s="3" t="n">
        <f aca="false">SUM(AC298:AH298)</f>
        <v>53</v>
      </c>
      <c r="D298" s="15" t="str">
        <f aca="false">IF(T298="Y","Superseded record",IF(AND(U298&lt;&gt;"",AA298&lt;0),"Expired (verified)",IF(AND(U298&lt;&gt;"",AA298&lt;=Scoring!$B$5),"Expiring: notice window (verified)",IF(AND(U298&lt;&gt;"",AA298&lt;=Scoring!$B$6),"Expiring: 10-yr horizon (verified)",IF(M298="No Longer Monitored","Out of program",IF(N298="","Unknown vintage",IF(N298&lt;Scoring!$B$12,"Pre-1990, still listed",IF(AND(U298="",AA298&lt;0),"Past 30-yr mark (verify)",IF(AND(U298="",AA298&lt;=Scoring!$B$5),"30-yr mark: notice window (est.)",IF(AND(O298&gt;=Scoring!$B$7,O298&lt;=Scoring!$B$8),"Year-15 window",IF(O298&gt;=Scoring!$B$9,"Recap window",IF(O298&gt;=11,"Late compliance","Credit period"))))))))))))</f>
        <v>Year-15 window</v>
      </c>
      <c r="E298" s="15" t="s">
        <v>1181</v>
      </c>
      <c r="F298" s="15" t="s">
        <v>1182</v>
      </c>
      <c r="G298" s="15" t="s">
        <v>1183</v>
      </c>
      <c r="H298" s="15" t="s">
        <v>647</v>
      </c>
      <c r="I298" s="15" t="s">
        <v>648</v>
      </c>
      <c r="J298" s="15" t="n">
        <v>40</v>
      </c>
      <c r="K298" s="15" t="n">
        <v>39</v>
      </c>
      <c r="L298" s="15" t="n">
        <f aca="false">IF(OR(J298="",K298=""),"",MAX(J298-K298,0))</f>
        <v>1</v>
      </c>
      <c r="M298" s="15" t="s">
        <v>99</v>
      </c>
      <c r="N298" s="17" t="n">
        <v>2012</v>
      </c>
      <c r="O298" s="15" t="n">
        <f aca="false">IF(N298="","",Scoring!$B$4-N298)</f>
        <v>14</v>
      </c>
      <c r="P298" s="15" t="n">
        <f aca="false">IF(N298="","",N298+14)</f>
        <v>2026</v>
      </c>
      <c r="Q298" s="15" t="n">
        <f aca="false">IF(N298="","",IF(N298&lt;Scoring!$B$12,"n/a (pre-1990)",N298+Scoring!$B$13))</f>
        <v>2041</v>
      </c>
      <c r="R298" s="15" t="str">
        <f aca="false">IF(J298="","Unknown",IF(J298&gt;=5,"Yes","No (under 5 units)"))</f>
        <v>Yes</v>
      </c>
      <c r="S298" s="15"/>
      <c r="T298" s="18"/>
      <c r="U298" s="19"/>
      <c r="V298" s="18"/>
      <c r="W298" s="18"/>
      <c r="X298" s="20"/>
      <c r="Y298" s="18"/>
      <c r="Z298" s="18"/>
      <c r="AA298" s="21" t="n">
        <f aca="false">IF(U298&lt;&gt;"",(U298-Scoring!$B$3)/365.25,IF(N298="","",IF(N298&lt;Scoring!$B$12,"",(DATE(N298+Scoring!$B$13,12,31)-Scoring!$B$3)/365.25)))</f>
        <v>15.2470910335387</v>
      </c>
      <c r="AB298" s="22" t="n">
        <f aca="false">IF(T298="Y",0,IF(OR(D298="Expired (verified)",D298="Expiring: notice window (verified)",D298="Expiring: 10-yr horizon (verified)",D298="Past 30-yr mark (verify)",D298="30-yr mark: notice window (est.)",D298="Year-15 window"),1,0)+IF(ISNUMBER(O298),IF(O298&gt;=Scoring!$B$10,1,0),0)+IF(AND(ISNUMBER(L298),ISNUMBER(J298)),IF(J298&gt;0,IF(L298/J298&gt;=Scoring!$B$11,1,0),0),0)+IF(ISNUMBER(Z298),MIN(Z298,3),0))</f>
        <v>1</v>
      </c>
      <c r="AC298" s="22" t="n">
        <f aca="false">IF(AB298&gt;=3,Scoring!$C$24,IF(AB298=2,Scoring!$C$23,IF(AB298=1,Scoring!$C$22,0)))</f>
        <v>10</v>
      </c>
      <c r="AD298" s="22" t="n">
        <f aca="false">IF(T298="Y",0,IF(ISNUMBER(X298),IF(X298&gt;0.7,Scoring!$C$25,IF(X298&gt;=0.5,Scoring!$C$26,IF(X298&gt;=0.3,Scoring!$C$27,Scoring!$C$28))),Scoring!$C$29))</f>
        <v>10</v>
      </c>
      <c r="AE298" s="22" t="n">
        <f aca="false">IF(D298="Expiring: notice window (verified)",Scoring!$C$30,IF(OR(D298="Expired (verified)",D298="30-yr mark: notice window (est.)",D298="Year-15 window"),Scoring!$C$31,IF(D298="Expiring: 10-yr horizon (verified)",Scoring!$C$32,IF(D298="Past 30-yr mark (verify)",Scoring!$C$33,IF(OR(D298="Credit period",D298="Superseded record"),Scoring!$C$35,Scoring!$C$34)))))</f>
        <v>14</v>
      </c>
      <c r="AF298" s="22" t="n">
        <f aca="false">IF(T298="Y",0,IF(ISNUMBER(V298),IF(Scoring!$B$4-V298&gt;15,Scoring!$C$36,IF(Scoring!$B$4-V298&gt;=10,Scoring!$C$37,IF(Scoring!$B$4-V298&gt;=5,Scoring!$C$38,Scoring!$C$39))),IF(OR(N298="",D298="Out of program"),Scoring!$C$40,IF(O298&gt;15,Scoring!$C$36,IF(O298&gt;=10,Scoring!$C$37,IF(O298&gt;=5,Scoring!$C$38,Scoring!$C$39))))))</f>
        <v>12</v>
      </c>
      <c r="AG298" s="22" t="n">
        <f aca="false">IF(T298="Y",0,IF(Y298="Y",Scoring!$C$41,IF(ISNUMBER(O298),IF(O298&gt;=25,Scoring!$C$42,IF(O298&gt;=15,Scoring!$C$43,Scoring!$C$44)),Scoring!$C$44)))</f>
        <v>2</v>
      </c>
      <c r="AH298" s="22" t="n">
        <f aca="false">IF(T298="Y",0,IF(W298="",Scoring!$C$49,IFERROR(VLOOKUP(W298,Scoring!$B$45:$C$48,2,FALSE()),Scoring!$C$49)))</f>
        <v>5</v>
      </c>
      <c r="AI298" s="23" t="n">
        <f aca="false">C298+IF(ISNUMBER(J298),J298,0)/100000+(10000-ROW())/1000000000</f>
        <v>53.000409702</v>
      </c>
      <c r="AJ298" s="18"/>
      <c r="AK298" s="18"/>
      <c r="AL298" s="18"/>
      <c r="AM298" s="18"/>
    </row>
    <row r="299" customFormat="false" ht="15" hidden="false" customHeight="false" outlineLevel="0" collapsed="false">
      <c r="A299" s="15" t="n">
        <f aca="false">RANK(AI299,$AI$2:$AI$755)</f>
        <v>298</v>
      </c>
      <c r="B299" s="16" t="str">
        <f aca="false">IF(T299="Y","Superseded",IF(C299&gt;=Scoring!$B$16,"Immediate",IF(C299&gt;=Scoring!$B$17,"This week",IF(C299&gt;=Scoring!$B$18,"Nurture","Low"))))</f>
        <v>This week</v>
      </c>
      <c r="C299" s="3" t="n">
        <f aca="false">SUM(AC299:AH299)</f>
        <v>53</v>
      </c>
      <c r="D299" s="15" t="str">
        <f aca="false">IF(T299="Y","Superseded record",IF(AND(U299&lt;&gt;"",AA299&lt;0),"Expired (verified)",IF(AND(U299&lt;&gt;"",AA299&lt;=Scoring!$B$5),"Expiring: notice window (verified)",IF(AND(U299&lt;&gt;"",AA299&lt;=Scoring!$B$6),"Expiring: 10-yr horizon (verified)",IF(M299="No Longer Monitored","Out of program",IF(N299="","Unknown vintage",IF(N299&lt;Scoring!$B$12,"Pre-1990, still listed",IF(AND(U299="",AA299&lt;0),"Past 30-yr mark (verify)",IF(AND(U299="",AA299&lt;=Scoring!$B$5),"30-yr mark: notice window (est.)",IF(AND(O299&gt;=Scoring!$B$7,O299&lt;=Scoring!$B$8),"Year-15 window",IF(O299&gt;=Scoring!$B$9,"Recap window",IF(O299&gt;=11,"Late compliance","Credit period"))))))))))))</f>
        <v>Year-15 window</v>
      </c>
      <c r="E299" s="15" t="s">
        <v>1184</v>
      </c>
      <c r="F299" s="15" t="s">
        <v>1185</v>
      </c>
      <c r="G299" s="15" t="s">
        <v>1186</v>
      </c>
      <c r="H299" s="15" t="s">
        <v>888</v>
      </c>
      <c r="I299" s="15" t="s">
        <v>889</v>
      </c>
      <c r="J299" s="15" t="n">
        <v>40</v>
      </c>
      <c r="K299" s="15" t="n">
        <v>80</v>
      </c>
      <c r="L299" s="15" t="n">
        <f aca="false">IF(OR(J299="",K299=""),"",MAX(J299-K299,0))</f>
        <v>0</v>
      </c>
      <c r="M299" s="15" t="s">
        <v>99</v>
      </c>
      <c r="N299" s="17" t="n">
        <v>2013</v>
      </c>
      <c r="O299" s="15" t="n">
        <f aca="false">IF(N299="","",Scoring!$B$4-N299)</f>
        <v>13</v>
      </c>
      <c r="P299" s="15" t="n">
        <f aca="false">IF(N299="","",N299+14)</f>
        <v>2027</v>
      </c>
      <c r="Q299" s="15" t="n">
        <f aca="false">IF(N299="","",IF(N299&lt;Scoring!$B$12,"n/a (pre-1990)",N299+Scoring!$B$13))</f>
        <v>2042</v>
      </c>
      <c r="R299" s="15" t="str">
        <f aca="false">IF(J299="","Unknown",IF(J299&gt;=5,"Yes","No (under 5 units)"))</f>
        <v>Yes</v>
      </c>
      <c r="S299" s="15" t="s">
        <v>1086</v>
      </c>
      <c r="T299" s="18"/>
      <c r="U299" s="19"/>
      <c r="V299" s="18"/>
      <c r="W299" s="18"/>
      <c r="X299" s="20"/>
      <c r="Y299" s="18"/>
      <c r="Z299" s="18"/>
      <c r="AA299" s="21" t="n">
        <f aca="false">IF(U299&lt;&gt;"",(U299-Scoring!$B$3)/365.25,IF(N299="","",IF(N299&lt;Scoring!$B$12,"",(DATE(N299+Scoring!$B$13,12,31)-Scoring!$B$3)/365.25)))</f>
        <v>16.2464065708419</v>
      </c>
      <c r="AB299" s="22" t="n">
        <f aca="false">IF(T299="Y",0,IF(OR(D299="Expired (verified)",D299="Expiring: notice window (verified)",D299="Expiring: 10-yr horizon (verified)",D299="Past 30-yr mark (verify)",D299="30-yr mark: notice window (est.)",D299="Year-15 window"),1,0)+IF(ISNUMBER(O299),IF(O299&gt;=Scoring!$B$10,1,0),0)+IF(AND(ISNUMBER(L299),ISNUMBER(J299)),IF(J299&gt;0,IF(L299/J299&gt;=Scoring!$B$11,1,0),0),0)+IF(ISNUMBER(Z299),MIN(Z299,3),0))</f>
        <v>1</v>
      </c>
      <c r="AC299" s="22" t="n">
        <f aca="false">IF(AB299&gt;=3,Scoring!$C$24,IF(AB299=2,Scoring!$C$23,IF(AB299=1,Scoring!$C$22,0)))</f>
        <v>10</v>
      </c>
      <c r="AD299" s="22" t="n">
        <f aca="false">IF(T299="Y",0,IF(ISNUMBER(X299),IF(X299&gt;0.7,Scoring!$C$25,IF(X299&gt;=0.5,Scoring!$C$26,IF(X299&gt;=0.3,Scoring!$C$27,Scoring!$C$28))),Scoring!$C$29))</f>
        <v>10</v>
      </c>
      <c r="AE299" s="22" t="n">
        <f aca="false">IF(D299="Expiring: notice window (verified)",Scoring!$C$30,IF(OR(D299="Expired (verified)",D299="30-yr mark: notice window (est.)",D299="Year-15 window"),Scoring!$C$31,IF(D299="Expiring: 10-yr horizon (verified)",Scoring!$C$32,IF(D299="Past 30-yr mark (verify)",Scoring!$C$33,IF(OR(D299="Credit period",D299="Superseded record"),Scoring!$C$35,Scoring!$C$34)))))</f>
        <v>14</v>
      </c>
      <c r="AF299" s="22" t="n">
        <f aca="false">IF(T299="Y",0,IF(ISNUMBER(V299),IF(Scoring!$B$4-V299&gt;15,Scoring!$C$36,IF(Scoring!$B$4-V299&gt;=10,Scoring!$C$37,IF(Scoring!$B$4-V299&gt;=5,Scoring!$C$38,Scoring!$C$39))),IF(OR(N299="",D299="Out of program"),Scoring!$C$40,IF(O299&gt;15,Scoring!$C$36,IF(O299&gt;=10,Scoring!$C$37,IF(O299&gt;=5,Scoring!$C$38,Scoring!$C$39))))))</f>
        <v>12</v>
      </c>
      <c r="AG299" s="22" t="n">
        <f aca="false">IF(T299="Y",0,IF(Y299="Y",Scoring!$C$41,IF(ISNUMBER(O299),IF(O299&gt;=25,Scoring!$C$42,IF(O299&gt;=15,Scoring!$C$43,Scoring!$C$44)),Scoring!$C$44)))</f>
        <v>2</v>
      </c>
      <c r="AH299" s="22" t="n">
        <f aca="false">IF(T299="Y",0,IF(W299="",Scoring!$C$49,IFERROR(VLOOKUP(W299,Scoring!$B$45:$C$48,2,FALSE()),Scoring!$C$49)))</f>
        <v>5</v>
      </c>
      <c r="AI299" s="23" t="n">
        <f aca="false">C299+IF(ISNUMBER(J299),J299,0)/100000+(10000-ROW())/1000000000</f>
        <v>53.000409701</v>
      </c>
      <c r="AJ299" s="18"/>
      <c r="AK299" s="18"/>
      <c r="AL299" s="18"/>
      <c r="AM299" s="18"/>
    </row>
    <row r="300" customFormat="false" ht="15" hidden="false" customHeight="false" outlineLevel="0" collapsed="false">
      <c r="A300" s="15" t="n">
        <f aca="false">RANK(AI300,$AI$2:$AI$755)</f>
        <v>299</v>
      </c>
      <c r="B300" s="16" t="str">
        <f aca="false">IF(T300="Y","Superseded",IF(C300&gt;=Scoring!$B$16,"Immediate",IF(C300&gt;=Scoring!$B$17,"This week",IF(C300&gt;=Scoring!$B$18,"Nurture","Low"))))</f>
        <v>This week</v>
      </c>
      <c r="C300" s="3" t="n">
        <f aca="false">SUM(AC300:AH300)</f>
        <v>53</v>
      </c>
      <c r="D300" s="15" t="str">
        <f aca="false">IF(T300="Y","Superseded record",IF(AND(U300&lt;&gt;"",AA300&lt;0),"Expired (verified)",IF(AND(U300&lt;&gt;"",AA300&lt;=Scoring!$B$5),"Expiring: notice window (verified)",IF(AND(U300&lt;&gt;"",AA300&lt;=Scoring!$B$6),"Expiring: 10-yr horizon (verified)",IF(M300="No Longer Monitored","Out of program",IF(N300="","Unknown vintage",IF(N300&lt;Scoring!$B$12,"Pre-1990, still listed",IF(AND(U300="",AA300&lt;0),"Past 30-yr mark (verify)",IF(AND(U300="",AA300&lt;=Scoring!$B$5),"30-yr mark: notice window (est.)",IF(AND(O300&gt;=Scoring!$B$7,O300&lt;=Scoring!$B$8),"Year-15 window",IF(O300&gt;=Scoring!$B$9,"Recap window",IF(O300&gt;=11,"Late compliance","Credit period"))))))))))))</f>
        <v>Year-15 window</v>
      </c>
      <c r="E300" s="15" t="s">
        <v>1187</v>
      </c>
      <c r="F300" s="15" t="s">
        <v>1188</v>
      </c>
      <c r="G300" s="15" t="s">
        <v>1189</v>
      </c>
      <c r="H300" s="15" t="s">
        <v>345</v>
      </c>
      <c r="I300" s="15" t="s">
        <v>346</v>
      </c>
      <c r="J300" s="15" t="n">
        <v>40</v>
      </c>
      <c r="K300" s="15" t="n">
        <v>39</v>
      </c>
      <c r="L300" s="15" t="n">
        <f aca="false">IF(OR(J300="",K300=""),"",MAX(J300-K300,0))</f>
        <v>1</v>
      </c>
      <c r="M300" s="15" t="s">
        <v>99</v>
      </c>
      <c r="N300" s="17" t="n">
        <v>2013</v>
      </c>
      <c r="O300" s="15" t="n">
        <f aca="false">IF(N300="","",Scoring!$B$4-N300)</f>
        <v>13</v>
      </c>
      <c r="P300" s="15" t="n">
        <f aca="false">IF(N300="","",N300+14)</f>
        <v>2027</v>
      </c>
      <c r="Q300" s="15" t="n">
        <f aca="false">IF(N300="","",IF(N300&lt;Scoring!$B$12,"n/a (pre-1990)",N300+Scoring!$B$13))</f>
        <v>2042</v>
      </c>
      <c r="R300" s="15" t="str">
        <f aca="false">IF(J300="","Unknown",IF(J300&gt;=5,"Yes","No (under 5 units)"))</f>
        <v>Yes</v>
      </c>
      <c r="S300" s="15"/>
      <c r="T300" s="18"/>
      <c r="U300" s="19"/>
      <c r="V300" s="18"/>
      <c r="W300" s="18"/>
      <c r="X300" s="20"/>
      <c r="Y300" s="18"/>
      <c r="Z300" s="18"/>
      <c r="AA300" s="21" t="n">
        <f aca="false">IF(U300&lt;&gt;"",(U300-Scoring!$B$3)/365.25,IF(N300="","",IF(N300&lt;Scoring!$B$12,"",(DATE(N300+Scoring!$B$13,12,31)-Scoring!$B$3)/365.25)))</f>
        <v>16.2464065708419</v>
      </c>
      <c r="AB300" s="22" t="n">
        <f aca="false">IF(T300="Y",0,IF(OR(D300="Expired (verified)",D300="Expiring: notice window (verified)",D300="Expiring: 10-yr horizon (verified)",D300="Past 30-yr mark (verify)",D300="30-yr mark: notice window (est.)",D300="Year-15 window"),1,0)+IF(ISNUMBER(O300),IF(O300&gt;=Scoring!$B$10,1,0),0)+IF(AND(ISNUMBER(L300),ISNUMBER(J300)),IF(J300&gt;0,IF(L300/J300&gt;=Scoring!$B$11,1,0),0),0)+IF(ISNUMBER(Z300),MIN(Z300,3),0))</f>
        <v>1</v>
      </c>
      <c r="AC300" s="22" t="n">
        <f aca="false">IF(AB300&gt;=3,Scoring!$C$24,IF(AB300=2,Scoring!$C$23,IF(AB300=1,Scoring!$C$22,0)))</f>
        <v>10</v>
      </c>
      <c r="AD300" s="22" t="n">
        <f aca="false">IF(T300="Y",0,IF(ISNUMBER(X300),IF(X300&gt;0.7,Scoring!$C$25,IF(X300&gt;=0.5,Scoring!$C$26,IF(X300&gt;=0.3,Scoring!$C$27,Scoring!$C$28))),Scoring!$C$29))</f>
        <v>10</v>
      </c>
      <c r="AE300" s="22" t="n">
        <f aca="false">IF(D300="Expiring: notice window (verified)",Scoring!$C$30,IF(OR(D300="Expired (verified)",D300="30-yr mark: notice window (est.)",D300="Year-15 window"),Scoring!$C$31,IF(D300="Expiring: 10-yr horizon (verified)",Scoring!$C$32,IF(D300="Past 30-yr mark (verify)",Scoring!$C$33,IF(OR(D300="Credit period",D300="Superseded record"),Scoring!$C$35,Scoring!$C$34)))))</f>
        <v>14</v>
      </c>
      <c r="AF300" s="22" t="n">
        <f aca="false">IF(T300="Y",0,IF(ISNUMBER(V300),IF(Scoring!$B$4-V300&gt;15,Scoring!$C$36,IF(Scoring!$B$4-V300&gt;=10,Scoring!$C$37,IF(Scoring!$B$4-V300&gt;=5,Scoring!$C$38,Scoring!$C$39))),IF(OR(N300="",D300="Out of program"),Scoring!$C$40,IF(O300&gt;15,Scoring!$C$36,IF(O300&gt;=10,Scoring!$C$37,IF(O300&gt;=5,Scoring!$C$38,Scoring!$C$39))))))</f>
        <v>12</v>
      </c>
      <c r="AG300" s="22" t="n">
        <f aca="false">IF(T300="Y",0,IF(Y300="Y",Scoring!$C$41,IF(ISNUMBER(O300),IF(O300&gt;=25,Scoring!$C$42,IF(O300&gt;=15,Scoring!$C$43,Scoring!$C$44)),Scoring!$C$44)))</f>
        <v>2</v>
      </c>
      <c r="AH300" s="22" t="n">
        <f aca="false">IF(T300="Y",0,IF(W300="",Scoring!$C$49,IFERROR(VLOOKUP(W300,Scoring!$B$45:$C$48,2,FALSE()),Scoring!$C$49)))</f>
        <v>5</v>
      </c>
      <c r="AI300" s="23" t="n">
        <f aca="false">C300+IF(ISNUMBER(J300),J300,0)/100000+(10000-ROW())/1000000000</f>
        <v>53.0004097</v>
      </c>
      <c r="AJ300" s="18"/>
      <c r="AK300" s="18"/>
      <c r="AL300" s="18"/>
      <c r="AM300" s="18"/>
    </row>
    <row r="301" customFormat="false" ht="15" hidden="false" customHeight="false" outlineLevel="0" collapsed="false">
      <c r="A301" s="15" t="n">
        <f aca="false">RANK(AI301,$AI$2:$AI$755)</f>
        <v>300</v>
      </c>
      <c r="B301" s="16" t="str">
        <f aca="false">IF(T301="Y","Superseded",IF(C301&gt;=Scoring!$B$16,"Immediate",IF(C301&gt;=Scoring!$B$17,"This week",IF(C301&gt;=Scoring!$B$18,"Nurture","Low"))))</f>
        <v>This week</v>
      </c>
      <c r="C301" s="3" t="n">
        <f aca="false">SUM(AC301:AH301)</f>
        <v>53</v>
      </c>
      <c r="D301" s="15" t="str">
        <f aca="false">IF(T301="Y","Superseded record",IF(AND(U301&lt;&gt;"",AA301&lt;0),"Expired (verified)",IF(AND(U301&lt;&gt;"",AA301&lt;=Scoring!$B$5),"Expiring: notice window (verified)",IF(AND(U301&lt;&gt;"",AA301&lt;=Scoring!$B$6),"Expiring: 10-yr horizon (verified)",IF(M301="No Longer Monitored","Out of program",IF(N301="","Unknown vintage",IF(N301&lt;Scoring!$B$12,"Pre-1990, still listed",IF(AND(U301="",AA301&lt;0),"Past 30-yr mark (verify)",IF(AND(U301="",AA301&lt;=Scoring!$B$5),"30-yr mark: notice window (est.)",IF(AND(O301&gt;=Scoring!$B$7,O301&lt;=Scoring!$B$8),"Year-15 window",IF(O301&gt;=Scoring!$B$9,"Recap window",IF(O301&gt;=11,"Late compliance","Credit period"))))))))))))</f>
        <v>Year-15 window</v>
      </c>
      <c r="E301" s="15" t="s">
        <v>1190</v>
      </c>
      <c r="F301" s="15" t="s">
        <v>1191</v>
      </c>
      <c r="G301" s="15" t="s">
        <v>1192</v>
      </c>
      <c r="H301" s="15" t="s">
        <v>598</v>
      </c>
      <c r="I301" s="15" t="s">
        <v>599</v>
      </c>
      <c r="J301" s="15" t="n">
        <v>37</v>
      </c>
      <c r="K301" s="15" t="n">
        <v>74</v>
      </c>
      <c r="L301" s="15" t="n">
        <f aca="false">IF(OR(J301="",K301=""),"",MAX(J301-K301,0))</f>
        <v>0</v>
      </c>
      <c r="M301" s="15" t="s">
        <v>99</v>
      </c>
      <c r="N301" s="17" t="n">
        <v>2013</v>
      </c>
      <c r="O301" s="15" t="n">
        <f aca="false">IF(N301="","",Scoring!$B$4-N301)</f>
        <v>13</v>
      </c>
      <c r="P301" s="15" t="n">
        <f aca="false">IF(N301="","",N301+14)</f>
        <v>2027</v>
      </c>
      <c r="Q301" s="15" t="n">
        <f aca="false">IF(N301="","",IF(N301&lt;Scoring!$B$12,"n/a (pre-1990)",N301+Scoring!$B$13))</f>
        <v>2042</v>
      </c>
      <c r="R301" s="15" t="str">
        <f aca="false">IF(J301="","Unknown",IF(J301&gt;=5,"Yes","No (under 5 units)"))</f>
        <v>Yes</v>
      </c>
      <c r="S301" s="15" t="s">
        <v>1086</v>
      </c>
      <c r="T301" s="18"/>
      <c r="U301" s="19"/>
      <c r="V301" s="18"/>
      <c r="W301" s="18"/>
      <c r="X301" s="20"/>
      <c r="Y301" s="18"/>
      <c r="Z301" s="18"/>
      <c r="AA301" s="21" t="n">
        <f aca="false">IF(U301&lt;&gt;"",(U301-Scoring!$B$3)/365.25,IF(N301="","",IF(N301&lt;Scoring!$B$12,"",(DATE(N301+Scoring!$B$13,12,31)-Scoring!$B$3)/365.25)))</f>
        <v>16.2464065708419</v>
      </c>
      <c r="AB301" s="22" t="n">
        <f aca="false">IF(T301="Y",0,IF(OR(D301="Expired (verified)",D301="Expiring: notice window (verified)",D301="Expiring: 10-yr horizon (verified)",D301="Past 30-yr mark (verify)",D301="30-yr mark: notice window (est.)",D301="Year-15 window"),1,0)+IF(ISNUMBER(O301),IF(O301&gt;=Scoring!$B$10,1,0),0)+IF(AND(ISNUMBER(L301),ISNUMBER(J301)),IF(J301&gt;0,IF(L301/J301&gt;=Scoring!$B$11,1,0),0),0)+IF(ISNUMBER(Z301),MIN(Z301,3),0))</f>
        <v>1</v>
      </c>
      <c r="AC301" s="22" t="n">
        <f aca="false">IF(AB301&gt;=3,Scoring!$C$24,IF(AB301=2,Scoring!$C$23,IF(AB301=1,Scoring!$C$22,0)))</f>
        <v>10</v>
      </c>
      <c r="AD301" s="22" t="n">
        <f aca="false">IF(T301="Y",0,IF(ISNUMBER(X301),IF(X301&gt;0.7,Scoring!$C$25,IF(X301&gt;=0.5,Scoring!$C$26,IF(X301&gt;=0.3,Scoring!$C$27,Scoring!$C$28))),Scoring!$C$29))</f>
        <v>10</v>
      </c>
      <c r="AE301" s="22" t="n">
        <f aca="false">IF(D301="Expiring: notice window (verified)",Scoring!$C$30,IF(OR(D301="Expired (verified)",D301="30-yr mark: notice window (est.)",D301="Year-15 window"),Scoring!$C$31,IF(D301="Expiring: 10-yr horizon (verified)",Scoring!$C$32,IF(D301="Past 30-yr mark (verify)",Scoring!$C$33,IF(OR(D301="Credit period",D301="Superseded record"),Scoring!$C$35,Scoring!$C$34)))))</f>
        <v>14</v>
      </c>
      <c r="AF301" s="22" t="n">
        <f aca="false">IF(T301="Y",0,IF(ISNUMBER(V301),IF(Scoring!$B$4-V301&gt;15,Scoring!$C$36,IF(Scoring!$B$4-V301&gt;=10,Scoring!$C$37,IF(Scoring!$B$4-V301&gt;=5,Scoring!$C$38,Scoring!$C$39))),IF(OR(N301="",D301="Out of program"),Scoring!$C$40,IF(O301&gt;15,Scoring!$C$36,IF(O301&gt;=10,Scoring!$C$37,IF(O301&gt;=5,Scoring!$C$38,Scoring!$C$39))))))</f>
        <v>12</v>
      </c>
      <c r="AG301" s="22" t="n">
        <f aca="false">IF(T301="Y",0,IF(Y301="Y",Scoring!$C$41,IF(ISNUMBER(O301),IF(O301&gt;=25,Scoring!$C$42,IF(O301&gt;=15,Scoring!$C$43,Scoring!$C$44)),Scoring!$C$44)))</f>
        <v>2</v>
      </c>
      <c r="AH301" s="22" t="n">
        <f aca="false">IF(T301="Y",0,IF(W301="",Scoring!$C$49,IFERROR(VLOOKUP(W301,Scoring!$B$45:$C$48,2,FALSE()),Scoring!$C$49)))</f>
        <v>5</v>
      </c>
      <c r="AI301" s="23" t="n">
        <f aca="false">C301+IF(ISNUMBER(J301),J301,0)/100000+(10000-ROW())/1000000000</f>
        <v>53.000379699</v>
      </c>
      <c r="AJ301" s="18"/>
      <c r="AK301" s="18"/>
      <c r="AL301" s="18"/>
      <c r="AM301" s="18"/>
    </row>
    <row r="302" customFormat="false" ht="15" hidden="false" customHeight="false" outlineLevel="0" collapsed="false">
      <c r="A302" s="15" t="n">
        <f aca="false">RANK(AI302,$AI$2:$AI$755)</f>
        <v>301</v>
      </c>
      <c r="B302" s="16" t="str">
        <f aca="false">IF(T302="Y","Superseded",IF(C302&gt;=Scoring!$B$16,"Immediate",IF(C302&gt;=Scoring!$B$17,"This week",IF(C302&gt;=Scoring!$B$18,"Nurture","Low"))))</f>
        <v>This week</v>
      </c>
      <c r="C302" s="3" t="n">
        <f aca="false">SUM(AC302:AH302)</f>
        <v>53</v>
      </c>
      <c r="D302" s="15" t="str">
        <f aca="false">IF(T302="Y","Superseded record",IF(AND(U302&lt;&gt;"",AA302&lt;0),"Expired (verified)",IF(AND(U302&lt;&gt;"",AA302&lt;=Scoring!$B$5),"Expiring: notice window (verified)",IF(AND(U302&lt;&gt;"",AA302&lt;=Scoring!$B$6),"Expiring: 10-yr horizon (verified)",IF(M302="No Longer Monitored","Out of program",IF(N302="","Unknown vintage",IF(N302&lt;Scoring!$B$12,"Pre-1990, still listed",IF(AND(U302="",AA302&lt;0),"Past 30-yr mark (verify)",IF(AND(U302="",AA302&lt;=Scoring!$B$5),"30-yr mark: notice window (est.)",IF(AND(O302&gt;=Scoring!$B$7,O302&lt;=Scoring!$B$8),"Year-15 window",IF(O302&gt;=Scoring!$B$9,"Recap window",IF(O302&gt;=11,"Late compliance","Credit period"))))))))))))</f>
        <v>Year-15 window</v>
      </c>
      <c r="E302" s="15" t="s">
        <v>1193</v>
      </c>
      <c r="F302" s="15" t="s">
        <v>1194</v>
      </c>
      <c r="G302" s="15" t="s">
        <v>1195</v>
      </c>
      <c r="H302" s="15" t="s">
        <v>232</v>
      </c>
      <c r="I302" s="15" t="s">
        <v>267</v>
      </c>
      <c r="J302" s="15" t="n">
        <v>35</v>
      </c>
      <c r="K302" s="15" t="n">
        <v>35</v>
      </c>
      <c r="L302" s="15" t="n">
        <f aca="false">IF(OR(J302="",K302=""),"",MAX(J302-K302,0))</f>
        <v>0</v>
      </c>
      <c r="M302" s="15" t="s">
        <v>99</v>
      </c>
      <c r="N302" s="17" t="n">
        <v>2012</v>
      </c>
      <c r="O302" s="15" t="n">
        <f aca="false">IF(N302="","",Scoring!$B$4-N302)</f>
        <v>14</v>
      </c>
      <c r="P302" s="15" t="n">
        <f aca="false">IF(N302="","",N302+14)</f>
        <v>2026</v>
      </c>
      <c r="Q302" s="15" t="n">
        <f aca="false">IF(N302="","",IF(N302&lt;Scoring!$B$12,"n/a (pre-1990)",N302+Scoring!$B$13))</f>
        <v>2041</v>
      </c>
      <c r="R302" s="15" t="str">
        <f aca="false">IF(J302="","Unknown",IF(J302&gt;=5,"Yes","No (under 5 units)"))</f>
        <v>Yes</v>
      </c>
      <c r="S302" s="15"/>
      <c r="T302" s="18"/>
      <c r="U302" s="19"/>
      <c r="V302" s="18"/>
      <c r="W302" s="18"/>
      <c r="X302" s="20"/>
      <c r="Y302" s="18"/>
      <c r="Z302" s="18"/>
      <c r="AA302" s="21" t="n">
        <f aca="false">IF(U302&lt;&gt;"",(U302-Scoring!$B$3)/365.25,IF(N302="","",IF(N302&lt;Scoring!$B$12,"",(DATE(N302+Scoring!$B$13,12,31)-Scoring!$B$3)/365.25)))</f>
        <v>15.2470910335387</v>
      </c>
      <c r="AB302" s="22" t="n">
        <f aca="false">IF(T302="Y",0,IF(OR(D302="Expired (verified)",D302="Expiring: notice window (verified)",D302="Expiring: 10-yr horizon (verified)",D302="Past 30-yr mark (verify)",D302="30-yr mark: notice window (est.)",D302="Year-15 window"),1,0)+IF(ISNUMBER(O302),IF(O302&gt;=Scoring!$B$10,1,0),0)+IF(AND(ISNUMBER(L302),ISNUMBER(J302)),IF(J302&gt;0,IF(L302/J302&gt;=Scoring!$B$11,1,0),0),0)+IF(ISNUMBER(Z302),MIN(Z302,3),0))</f>
        <v>1</v>
      </c>
      <c r="AC302" s="22" t="n">
        <f aca="false">IF(AB302&gt;=3,Scoring!$C$24,IF(AB302=2,Scoring!$C$23,IF(AB302=1,Scoring!$C$22,0)))</f>
        <v>10</v>
      </c>
      <c r="AD302" s="22" t="n">
        <f aca="false">IF(T302="Y",0,IF(ISNUMBER(X302),IF(X302&gt;0.7,Scoring!$C$25,IF(X302&gt;=0.5,Scoring!$C$26,IF(X302&gt;=0.3,Scoring!$C$27,Scoring!$C$28))),Scoring!$C$29))</f>
        <v>10</v>
      </c>
      <c r="AE302" s="22" t="n">
        <f aca="false">IF(D302="Expiring: notice window (verified)",Scoring!$C$30,IF(OR(D302="Expired (verified)",D302="30-yr mark: notice window (est.)",D302="Year-15 window"),Scoring!$C$31,IF(D302="Expiring: 10-yr horizon (verified)",Scoring!$C$32,IF(D302="Past 30-yr mark (verify)",Scoring!$C$33,IF(OR(D302="Credit period",D302="Superseded record"),Scoring!$C$35,Scoring!$C$34)))))</f>
        <v>14</v>
      </c>
      <c r="AF302" s="22" t="n">
        <f aca="false">IF(T302="Y",0,IF(ISNUMBER(V302),IF(Scoring!$B$4-V302&gt;15,Scoring!$C$36,IF(Scoring!$B$4-V302&gt;=10,Scoring!$C$37,IF(Scoring!$B$4-V302&gt;=5,Scoring!$C$38,Scoring!$C$39))),IF(OR(N302="",D302="Out of program"),Scoring!$C$40,IF(O302&gt;15,Scoring!$C$36,IF(O302&gt;=10,Scoring!$C$37,IF(O302&gt;=5,Scoring!$C$38,Scoring!$C$39))))))</f>
        <v>12</v>
      </c>
      <c r="AG302" s="22" t="n">
        <f aca="false">IF(T302="Y",0,IF(Y302="Y",Scoring!$C$41,IF(ISNUMBER(O302),IF(O302&gt;=25,Scoring!$C$42,IF(O302&gt;=15,Scoring!$C$43,Scoring!$C$44)),Scoring!$C$44)))</f>
        <v>2</v>
      </c>
      <c r="AH302" s="22" t="n">
        <f aca="false">IF(T302="Y",0,IF(W302="",Scoring!$C$49,IFERROR(VLOOKUP(W302,Scoring!$B$45:$C$48,2,FALSE()),Scoring!$C$49)))</f>
        <v>5</v>
      </c>
      <c r="AI302" s="23" t="n">
        <f aca="false">C302+IF(ISNUMBER(J302),J302,0)/100000+(10000-ROW())/1000000000</f>
        <v>53.000359698</v>
      </c>
      <c r="AJ302" s="18"/>
      <c r="AK302" s="18"/>
      <c r="AL302" s="18"/>
      <c r="AM302" s="18"/>
    </row>
    <row r="303" customFormat="false" ht="15" hidden="false" customHeight="false" outlineLevel="0" collapsed="false">
      <c r="A303" s="15" t="n">
        <f aca="false">RANK(AI303,$AI$2:$AI$755)</f>
        <v>302</v>
      </c>
      <c r="B303" s="16" t="str">
        <f aca="false">IF(T303="Y","Superseded",IF(C303&gt;=Scoring!$B$16,"Immediate",IF(C303&gt;=Scoring!$B$17,"This week",IF(C303&gt;=Scoring!$B$18,"Nurture","Low"))))</f>
        <v>This week</v>
      </c>
      <c r="C303" s="3" t="n">
        <f aca="false">SUM(AC303:AH303)</f>
        <v>53</v>
      </c>
      <c r="D303" s="15" t="str">
        <f aca="false">IF(T303="Y","Superseded record",IF(AND(U303&lt;&gt;"",AA303&lt;0),"Expired (verified)",IF(AND(U303&lt;&gt;"",AA303&lt;=Scoring!$B$5),"Expiring: notice window (verified)",IF(AND(U303&lt;&gt;"",AA303&lt;=Scoring!$B$6),"Expiring: 10-yr horizon (verified)",IF(M303="No Longer Monitored","Out of program",IF(N303="","Unknown vintage",IF(N303&lt;Scoring!$B$12,"Pre-1990, still listed",IF(AND(U303="",AA303&lt;0),"Past 30-yr mark (verify)",IF(AND(U303="",AA303&lt;=Scoring!$B$5),"30-yr mark: notice window (est.)",IF(AND(O303&gt;=Scoring!$B$7,O303&lt;=Scoring!$B$8),"Year-15 window",IF(O303&gt;=Scoring!$B$9,"Recap window",IF(O303&gt;=11,"Late compliance","Credit period"))))))))))))</f>
        <v>Year-15 window</v>
      </c>
      <c r="E303" s="15" t="s">
        <v>1196</v>
      </c>
      <c r="F303" s="15" t="s">
        <v>1197</v>
      </c>
      <c r="G303" s="15" t="s">
        <v>1198</v>
      </c>
      <c r="H303" s="15" t="s">
        <v>622</v>
      </c>
      <c r="I303" s="15" t="s">
        <v>623</v>
      </c>
      <c r="J303" s="15" t="n">
        <v>30</v>
      </c>
      <c r="K303" s="15" t="n">
        <v>30</v>
      </c>
      <c r="L303" s="15" t="n">
        <f aca="false">IF(OR(J303="",K303=""),"",MAX(J303-K303,0))</f>
        <v>0</v>
      </c>
      <c r="M303" s="15" t="s">
        <v>99</v>
      </c>
      <c r="N303" s="17" t="n">
        <v>2013</v>
      </c>
      <c r="O303" s="15" t="n">
        <f aca="false">IF(N303="","",Scoring!$B$4-N303)</f>
        <v>13</v>
      </c>
      <c r="P303" s="15" t="n">
        <f aca="false">IF(N303="","",N303+14)</f>
        <v>2027</v>
      </c>
      <c r="Q303" s="15" t="n">
        <f aca="false">IF(N303="","",IF(N303&lt;Scoring!$B$12,"n/a (pre-1990)",N303+Scoring!$B$13))</f>
        <v>2042</v>
      </c>
      <c r="R303" s="15" t="str">
        <f aca="false">IF(J303="","Unknown",IF(J303&gt;=5,"Yes","No (under 5 units)"))</f>
        <v>Yes</v>
      </c>
      <c r="S303" s="15"/>
      <c r="T303" s="18"/>
      <c r="U303" s="19"/>
      <c r="V303" s="18"/>
      <c r="W303" s="18"/>
      <c r="X303" s="20"/>
      <c r="Y303" s="18"/>
      <c r="Z303" s="18"/>
      <c r="AA303" s="21" t="n">
        <f aca="false">IF(U303&lt;&gt;"",(U303-Scoring!$B$3)/365.25,IF(N303="","",IF(N303&lt;Scoring!$B$12,"",(DATE(N303+Scoring!$B$13,12,31)-Scoring!$B$3)/365.25)))</f>
        <v>16.2464065708419</v>
      </c>
      <c r="AB303" s="22" t="n">
        <f aca="false">IF(T303="Y",0,IF(OR(D303="Expired (verified)",D303="Expiring: notice window (verified)",D303="Expiring: 10-yr horizon (verified)",D303="Past 30-yr mark (verify)",D303="30-yr mark: notice window (est.)",D303="Year-15 window"),1,0)+IF(ISNUMBER(O303),IF(O303&gt;=Scoring!$B$10,1,0),0)+IF(AND(ISNUMBER(L303),ISNUMBER(J303)),IF(J303&gt;0,IF(L303/J303&gt;=Scoring!$B$11,1,0),0),0)+IF(ISNUMBER(Z303),MIN(Z303,3),0))</f>
        <v>1</v>
      </c>
      <c r="AC303" s="22" t="n">
        <f aca="false">IF(AB303&gt;=3,Scoring!$C$24,IF(AB303=2,Scoring!$C$23,IF(AB303=1,Scoring!$C$22,0)))</f>
        <v>10</v>
      </c>
      <c r="AD303" s="22" t="n">
        <f aca="false">IF(T303="Y",0,IF(ISNUMBER(X303),IF(X303&gt;0.7,Scoring!$C$25,IF(X303&gt;=0.5,Scoring!$C$26,IF(X303&gt;=0.3,Scoring!$C$27,Scoring!$C$28))),Scoring!$C$29))</f>
        <v>10</v>
      </c>
      <c r="AE303" s="22" t="n">
        <f aca="false">IF(D303="Expiring: notice window (verified)",Scoring!$C$30,IF(OR(D303="Expired (verified)",D303="30-yr mark: notice window (est.)",D303="Year-15 window"),Scoring!$C$31,IF(D303="Expiring: 10-yr horizon (verified)",Scoring!$C$32,IF(D303="Past 30-yr mark (verify)",Scoring!$C$33,IF(OR(D303="Credit period",D303="Superseded record"),Scoring!$C$35,Scoring!$C$34)))))</f>
        <v>14</v>
      </c>
      <c r="AF303" s="22" t="n">
        <f aca="false">IF(T303="Y",0,IF(ISNUMBER(V303),IF(Scoring!$B$4-V303&gt;15,Scoring!$C$36,IF(Scoring!$B$4-V303&gt;=10,Scoring!$C$37,IF(Scoring!$B$4-V303&gt;=5,Scoring!$C$38,Scoring!$C$39))),IF(OR(N303="",D303="Out of program"),Scoring!$C$40,IF(O303&gt;15,Scoring!$C$36,IF(O303&gt;=10,Scoring!$C$37,IF(O303&gt;=5,Scoring!$C$38,Scoring!$C$39))))))</f>
        <v>12</v>
      </c>
      <c r="AG303" s="22" t="n">
        <f aca="false">IF(T303="Y",0,IF(Y303="Y",Scoring!$C$41,IF(ISNUMBER(O303),IF(O303&gt;=25,Scoring!$C$42,IF(O303&gt;=15,Scoring!$C$43,Scoring!$C$44)),Scoring!$C$44)))</f>
        <v>2</v>
      </c>
      <c r="AH303" s="22" t="n">
        <f aca="false">IF(T303="Y",0,IF(W303="",Scoring!$C$49,IFERROR(VLOOKUP(W303,Scoring!$B$45:$C$48,2,FALSE()),Scoring!$C$49)))</f>
        <v>5</v>
      </c>
      <c r="AI303" s="23" t="n">
        <f aca="false">C303+IF(ISNUMBER(J303),J303,0)/100000+(10000-ROW())/1000000000</f>
        <v>53.000309697</v>
      </c>
      <c r="AJ303" s="18"/>
      <c r="AK303" s="18"/>
      <c r="AL303" s="18"/>
      <c r="AM303" s="18"/>
    </row>
    <row r="304" customFormat="false" ht="15" hidden="false" customHeight="false" outlineLevel="0" collapsed="false">
      <c r="A304" s="15" t="n">
        <f aca="false">RANK(AI304,$AI$2:$AI$755)</f>
        <v>303</v>
      </c>
      <c r="B304" s="16" t="str">
        <f aca="false">IF(T304="Y","Superseded",IF(C304&gt;=Scoring!$B$16,"Immediate",IF(C304&gt;=Scoring!$B$17,"This week",IF(C304&gt;=Scoring!$B$18,"Nurture","Low"))))</f>
        <v>This week</v>
      </c>
      <c r="C304" s="3" t="n">
        <f aca="false">SUM(AC304:AH304)</f>
        <v>53</v>
      </c>
      <c r="D304" s="15" t="str">
        <f aca="false">IF(T304="Y","Superseded record",IF(AND(U304&lt;&gt;"",AA304&lt;0),"Expired (verified)",IF(AND(U304&lt;&gt;"",AA304&lt;=Scoring!$B$5),"Expiring: notice window (verified)",IF(AND(U304&lt;&gt;"",AA304&lt;=Scoring!$B$6),"Expiring: 10-yr horizon (verified)",IF(M304="No Longer Monitored","Out of program",IF(N304="","Unknown vintage",IF(N304&lt;Scoring!$B$12,"Pre-1990, still listed",IF(AND(U304="",AA304&lt;0),"Past 30-yr mark (verify)",IF(AND(U304="",AA304&lt;=Scoring!$B$5),"30-yr mark: notice window (est.)",IF(AND(O304&gt;=Scoring!$B$7,O304&lt;=Scoring!$B$8),"Year-15 window",IF(O304&gt;=Scoring!$B$9,"Recap window",IF(O304&gt;=11,"Late compliance","Credit period"))))))))))))</f>
        <v>Year-15 window</v>
      </c>
      <c r="E304" s="15" t="s">
        <v>1199</v>
      </c>
      <c r="F304" s="15" t="s">
        <v>1200</v>
      </c>
      <c r="G304" s="15" t="s">
        <v>1201</v>
      </c>
      <c r="H304" s="15" t="s">
        <v>141</v>
      </c>
      <c r="I304" s="15" t="s">
        <v>142</v>
      </c>
      <c r="J304" s="15" t="n">
        <v>28</v>
      </c>
      <c r="K304" s="15" t="n">
        <v>27</v>
      </c>
      <c r="L304" s="15" t="n">
        <f aca="false">IF(OR(J304="",K304=""),"",MAX(J304-K304,0))</f>
        <v>1</v>
      </c>
      <c r="M304" s="15" t="s">
        <v>99</v>
      </c>
      <c r="N304" s="17" t="n">
        <v>2012</v>
      </c>
      <c r="O304" s="15" t="n">
        <f aca="false">IF(N304="","",Scoring!$B$4-N304)</f>
        <v>14</v>
      </c>
      <c r="P304" s="15" t="n">
        <f aca="false">IF(N304="","",N304+14)</f>
        <v>2026</v>
      </c>
      <c r="Q304" s="15" t="n">
        <f aca="false">IF(N304="","",IF(N304&lt;Scoring!$B$12,"n/a (pre-1990)",N304+Scoring!$B$13))</f>
        <v>2041</v>
      </c>
      <c r="R304" s="15" t="str">
        <f aca="false">IF(J304="","Unknown",IF(J304&gt;=5,"Yes","No (under 5 units)"))</f>
        <v>Yes</v>
      </c>
      <c r="S304" s="15"/>
      <c r="T304" s="18"/>
      <c r="U304" s="19"/>
      <c r="V304" s="18"/>
      <c r="W304" s="18"/>
      <c r="X304" s="20"/>
      <c r="Y304" s="18"/>
      <c r="Z304" s="18"/>
      <c r="AA304" s="21" t="n">
        <f aca="false">IF(U304&lt;&gt;"",(U304-Scoring!$B$3)/365.25,IF(N304="","",IF(N304&lt;Scoring!$B$12,"",(DATE(N304+Scoring!$B$13,12,31)-Scoring!$B$3)/365.25)))</f>
        <v>15.2470910335387</v>
      </c>
      <c r="AB304" s="22" t="n">
        <f aca="false">IF(T304="Y",0,IF(OR(D304="Expired (verified)",D304="Expiring: notice window (verified)",D304="Expiring: 10-yr horizon (verified)",D304="Past 30-yr mark (verify)",D304="30-yr mark: notice window (est.)",D304="Year-15 window"),1,0)+IF(ISNUMBER(O304),IF(O304&gt;=Scoring!$B$10,1,0),0)+IF(AND(ISNUMBER(L304),ISNUMBER(J304)),IF(J304&gt;0,IF(L304/J304&gt;=Scoring!$B$11,1,0),0),0)+IF(ISNUMBER(Z304),MIN(Z304,3),0))</f>
        <v>1</v>
      </c>
      <c r="AC304" s="22" t="n">
        <f aca="false">IF(AB304&gt;=3,Scoring!$C$24,IF(AB304=2,Scoring!$C$23,IF(AB304=1,Scoring!$C$22,0)))</f>
        <v>10</v>
      </c>
      <c r="AD304" s="22" t="n">
        <f aca="false">IF(T304="Y",0,IF(ISNUMBER(X304),IF(X304&gt;0.7,Scoring!$C$25,IF(X304&gt;=0.5,Scoring!$C$26,IF(X304&gt;=0.3,Scoring!$C$27,Scoring!$C$28))),Scoring!$C$29))</f>
        <v>10</v>
      </c>
      <c r="AE304" s="22" t="n">
        <f aca="false">IF(D304="Expiring: notice window (verified)",Scoring!$C$30,IF(OR(D304="Expired (verified)",D304="30-yr mark: notice window (est.)",D304="Year-15 window"),Scoring!$C$31,IF(D304="Expiring: 10-yr horizon (verified)",Scoring!$C$32,IF(D304="Past 30-yr mark (verify)",Scoring!$C$33,IF(OR(D304="Credit period",D304="Superseded record"),Scoring!$C$35,Scoring!$C$34)))))</f>
        <v>14</v>
      </c>
      <c r="AF304" s="22" t="n">
        <f aca="false">IF(T304="Y",0,IF(ISNUMBER(V304),IF(Scoring!$B$4-V304&gt;15,Scoring!$C$36,IF(Scoring!$B$4-V304&gt;=10,Scoring!$C$37,IF(Scoring!$B$4-V304&gt;=5,Scoring!$C$38,Scoring!$C$39))),IF(OR(N304="",D304="Out of program"),Scoring!$C$40,IF(O304&gt;15,Scoring!$C$36,IF(O304&gt;=10,Scoring!$C$37,IF(O304&gt;=5,Scoring!$C$38,Scoring!$C$39))))))</f>
        <v>12</v>
      </c>
      <c r="AG304" s="22" t="n">
        <f aca="false">IF(T304="Y",0,IF(Y304="Y",Scoring!$C$41,IF(ISNUMBER(O304),IF(O304&gt;=25,Scoring!$C$42,IF(O304&gt;=15,Scoring!$C$43,Scoring!$C$44)),Scoring!$C$44)))</f>
        <v>2</v>
      </c>
      <c r="AH304" s="22" t="n">
        <f aca="false">IF(T304="Y",0,IF(W304="",Scoring!$C$49,IFERROR(VLOOKUP(W304,Scoring!$B$45:$C$48,2,FALSE()),Scoring!$C$49)))</f>
        <v>5</v>
      </c>
      <c r="AI304" s="23" t="n">
        <f aca="false">C304+IF(ISNUMBER(J304),J304,0)/100000+(10000-ROW())/1000000000</f>
        <v>53.000289696</v>
      </c>
      <c r="AJ304" s="18"/>
      <c r="AK304" s="18"/>
      <c r="AL304" s="18"/>
      <c r="AM304" s="18"/>
    </row>
    <row r="305" customFormat="false" ht="15" hidden="false" customHeight="false" outlineLevel="0" collapsed="false">
      <c r="A305" s="15" t="n">
        <f aca="false">RANK(AI305,$AI$2:$AI$755)</f>
        <v>304</v>
      </c>
      <c r="B305" s="16" t="str">
        <f aca="false">IF(T305="Y","Superseded",IF(C305&gt;=Scoring!$B$16,"Immediate",IF(C305&gt;=Scoring!$B$17,"This week",IF(C305&gt;=Scoring!$B$18,"Nurture","Low"))))</f>
        <v>This week</v>
      </c>
      <c r="C305" s="3" t="n">
        <f aca="false">SUM(AC305:AH305)</f>
        <v>53</v>
      </c>
      <c r="D305" s="15" t="str">
        <f aca="false">IF(T305="Y","Superseded record",IF(AND(U305&lt;&gt;"",AA305&lt;0),"Expired (verified)",IF(AND(U305&lt;&gt;"",AA305&lt;=Scoring!$B$5),"Expiring: notice window (verified)",IF(AND(U305&lt;&gt;"",AA305&lt;=Scoring!$B$6),"Expiring: 10-yr horizon (verified)",IF(M305="No Longer Monitored","Out of program",IF(N305="","Unknown vintage",IF(N305&lt;Scoring!$B$12,"Pre-1990, still listed",IF(AND(U305="",AA305&lt;0),"Past 30-yr mark (verify)",IF(AND(U305="",AA305&lt;=Scoring!$B$5),"30-yr mark: notice window (est.)",IF(AND(O305&gt;=Scoring!$B$7,O305&lt;=Scoring!$B$8),"Year-15 window",IF(O305&gt;=Scoring!$B$9,"Recap window",IF(O305&gt;=11,"Late compliance","Credit period"))))))))))))</f>
        <v>Year-15 window</v>
      </c>
      <c r="E305" s="15" t="s">
        <v>1202</v>
      </c>
      <c r="F305" s="15" t="s">
        <v>1203</v>
      </c>
      <c r="G305" s="15" t="s">
        <v>1204</v>
      </c>
      <c r="H305" s="15" t="s">
        <v>1205</v>
      </c>
      <c r="I305" s="15" t="s">
        <v>1206</v>
      </c>
      <c r="J305" s="15" t="n">
        <v>28</v>
      </c>
      <c r="K305" s="15" t="n">
        <v>28</v>
      </c>
      <c r="L305" s="15" t="n">
        <f aca="false">IF(OR(J305="",K305=""),"",MAX(J305-K305,0))</f>
        <v>0</v>
      </c>
      <c r="M305" s="15" t="s">
        <v>99</v>
      </c>
      <c r="N305" s="17" t="n">
        <v>2012</v>
      </c>
      <c r="O305" s="15" t="n">
        <f aca="false">IF(N305="","",Scoring!$B$4-N305)</f>
        <v>14</v>
      </c>
      <c r="P305" s="15" t="n">
        <f aca="false">IF(N305="","",N305+14)</f>
        <v>2026</v>
      </c>
      <c r="Q305" s="15" t="n">
        <f aca="false">IF(N305="","",IF(N305&lt;Scoring!$B$12,"n/a (pre-1990)",N305+Scoring!$B$13))</f>
        <v>2041</v>
      </c>
      <c r="R305" s="15" t="str">
        <f aca="false">IF(J305="","Unknown",IF(J305&gt;=5,"Yes","No (under 5 units)"))</f>
        <v>Yes</v>
      </c>
      <c r="S305" s="15"/>
      <c r="T305" s="18"/>
      <c r="U305" s="19"/>
      <c r="V305" s="18"/>
      <c r="W305" s="18"/>
      <c r="X305" s="20"/>
      <c r="Y305" s="18"/>
      <c r="Z305" s="18"/>
      <c r="AA305" s="21" t="n">
        <f aca="false">IF(U305&lt;&gt;"",(U305-Scoring!$B$3)/365.25,IF(N305="","",IF(N305&lt;Scoring!$B$12,"",(DATE(N305+Scoring!$B$13,12,31)-Scoring!$B$3)/365.25)))</f>
        <v>15.2470910335387</v>
      </c>
      <c r="AB305" s="22" t="n">
        <f aca="false">IF(T305="Y",0,IF(OR(D305="Expired (verified)",D305="Expiring: notice window (verified)",D305="Expiring: 10-yr horizon (verified)",D305="Past 30-yr mark (verify)",D305="30-yr mark: notice window (est.)",D305="Year-15 window"),1,0)+IF(ISNUMBER(O305),IF(O305&gt;=Scoring!$B$10,1,0),0)+IF(AND(ISNUMBER(L305),ISNUMBER(J305)),IF(J305&gt;0,IF(L305/J305&gt;=Scoring!$B$11,1,0),0),0)+IF(ISNUMBER(Z305),MIN(Z305,3),0))</f>
        <v>1</v>
      </c>
      <c r="AC305" s="22" t="n">
        <f aca="false">IF(AB305&gt;=3,Scoring!$C$24,IF(AB305=2,Scoring!$C$23,IF(AB305=1,Scoring!$C$22,0)))</f>
        <v>10</v>
      </c>
      <c r="AD305" s="22" t="n">
        <f aca="false">IF(T305="Y",0,IF(ISNUMBER(X305),IF(X305&gt;0.7,Scoring!$C$25,IF(X305&gt;=0.5,Scoring!$C$26,IF(X305&gt;=0.3,Scoring!$C$27,Scoring!$C$28))),Scoring!$C$29))</f>
        <v>10</v>
      </c>
      <c r="AE305" s="22" t="n">
        <f aca="false">IF(D305="Expiring: notice window (verified)",Scoring!$C$30,IF(OR(D305="Expired (verified)",D305="30-yr mark: notice window (est.)",D305="Year-15 window"),Scoring!$C$31,IF(D305="Expiring: 10-yr horizon (verified)",Scoring!$C$32,IF(D305="Past 30-yr mark (verify)",Scoring!$C$33,IF(OR(D305="Credit period",D305="Superseded record"),Scoring!$C$35,Scoring!$C$34)))))</f>
        <v>14</v>
      </c>
      <c r="AF305" s="22" t="n">
        <f aca="false">IF(T305="Y",0,IF(ISNUMBER(V305),IF(Scoring!$B$4-V305&gt;15,Scoring!$C$36,IF(Scoring!$B$4-V305&gt;=10,Scoring!$C$37,IF(Scoring!$B$4-V305&gt;=5,Scoring!$C$38,Scoring!$C$39))),IF(OR(N305="",D305="Out of program"),Scoring!$C$40,IF(O305&gt;15,Scoring!$C$36,IF(O305&gt;=10,Scoring!$C$37,IF(O305&gt;=5,Scoring!$C$38,Scoring!$C$39))))))</f>
        <v>12</v>
      </c>
      <c r="AG305" s="22" t="n">
        <f aca="false">IF(T305="Y",0,IF(Y305="Y",Scoring!$C$41,IF(ISNUMBER(O305),IF(O305&gt;=25,Scoring!$C$42,IF(O305&gt;=15,Scoring!$C$43,Scoring!$C$44)),Scoring!$C$44)))</f>
        <v>2</v>
      </c>
      <c r="AH305" s="22" t="n">
        <f aca="false">IF(T305="Y",0,IF(W305="",Scoring!$C$49,IFERROR(VLOOKUP(W305,Scoring!$B$45:$C$48,2,FALSE()),Scoring!$C$49)))</f>
        <v>5</v>
      </c>
      <c r="AI305" s="23" t="n">
        <f aca="false">C305+IF(ISNUMBER(J305),J305,0)/100000+(10000-ROW())/1000000000</f>
        <v>53.000289695</v>
      </c>
      <c r="AJ305" s="18"/>
      <c r="AK305" s="18"/>
      <c r="AL305" s="18"/>
      <c r="AM305" s="18"/>
    </row>
    <row r="306" customFormat="false" ht="15" hidden="false" customHeight="false" outlineLevel="0" collapsed="false">
      <c r="A306" s="15" t="n">
        <f aca="false">RANK(AI306,$AI$2:$AI$755)</f>
        <v>305</v>
      </c>
      <c r="B306" s="16" t="str">
        <f aca="false">IF(T306="Y","Superseded",IF(C306&gt;=Scoring!$B$16,"Immediate",IF(C306&gt;=Scoring!$B$17,"This week",IF(C306&gt;=Scoring!$B$18,"Nurture","Low"))))</f>
        <v>This week</v>
      </c>
      <c r="C306" s="3" t="n">
        <f aca="false">SUM(AC306:AH306)</f>
        <v>53</v>
      </c>
      <c r="D306" s="15" t="str">
        <f aca="false">IF(T306="Y","Superseded record",IF(AND(U306&lt;&gt;"",AA306&lt;0),"Expired (verified)",IF(AND(U306&lt;&gt;"",AA306&lt;=Scoring!$B$5),"Expiring: notice window (verified)",IF(AND(U306&lt;&gt;"",AA306&lt;=Scoring!$B$6),"Expiring: 10-yr horizon (verified)",IF(M306="No Longer Monitored","Out of program",IF(N306="","Unknown vintage",IF(N306&lt;Scoring!$B$12,"Pre-1990, still listed",IF(AND(U306="",AA306&lt;0),"Past 30-yr mark (verify)",IF(AND(U306="",AA306&lt;=Scoring!$B$5),"30-yr mark: notice window (est.)",IF(AND(O306&gt;=Scoring!$B$7,O306&lt;=Scoring!$B$8),"Year-15 window",IF(O306&gt;=Scoring!$B$9,"Recap window",IF(O306&gt;=11,"Late compliance","Credit period"))))))))))))</f>
        <v>Year-15 window</v>
      </c>
      <c r="E306" s="15" t="s">
        <v>1207</v>
      </c>
      <c r="F306" s="15" t="s">
        <v>1208</v>
      </c>
      <c r="G306" s="15" t="s">
        <v>1209</v>
      </c>
      <c r="H306" s="15" t="s">
        <v>985</v>
      </c>
      <c r="I306" s="15" t="s">
        <v>1210</v>
      </c>
      <c r="J306" s="15" t="n">
        <v>26</v>
      </c>
      <c r="K306" s="15" t="n">
        <v>52</v>
      </c>
      <c r="L306" s="15" t="n">
        <f aca="false">IF(OR(J306="",K306=""),"",MAX(J306-K306,0))</f>
        <v>0</v>
      </c>
      <c r="M306" s="15" t="s">
        <v>99</v>
      </c>
      <c r="N306" s="17" t="n">
        <v>2013</v>
      </c>
      <c r="O306" s="15" t="n">
        <f aca="false">IF(N306="","",Scoring!$B$4-N306)</f>
        <v>13</v>
      </c>
      <c r="P306" s="15" t="n">
        <f aca="false">IF(N306="","",N306+14)</f>
        <v>2027</v>
      </c>
      <c r="Q306" s="15" t="n">
        <f aca="false">IF(N306="","",IF(N306&lt;Scoring!$B$12,"n/a (pre-1990)",N306+Scoring!$B$13))</f>
        <v>2042</v>
      </c>
      <c r="R306" s="15" t="str">
        <f aca="false">IF(J306="","Unknown",IF(J306&gt;=5,"Yes","No (under 5 units)"))</f>
        <v>Yes</v>
      </c>
      <c r="S306" s="15" t="s">
        <v>1086</v>
      </c>
      <c r="T306" s="18"/>
      <c r="U306" s="19"/>
      <c r="V306" s="18"/>
      <c r="W306" s="18"/>
      <c r="X306" s="20"/>
      <c r="Y306" s="18"/>
      <c r="Z306" s="18"/>
      <c r="AA306" s="21" t="n">
        <f aca="false">IF(U306&lt;&gt;"",(U306-Scoring!$B$3)/365.25,IF(N306="","",IF(N306&lt;Scoring!$B$12,"",(DATE(N306+Scoring!$B$13,12,31)-Scoring!$B$3)/365.25)))</f>
        <v>16.2464065708419</v>
      </c>
      <c r="AB306" s="22" t="n">
        <f aca="false">IF(T306="Y",0,IF(OR(D306="Expired (verified)",D306="Expiring: notice window (verified)",D306="Expiring: 10-yr horizon (verified)",D306="Past 30-yr mark (verify)",D306="30-yr mark: notice window (est.)",D306="Year-15 window"),1,0)+IF(ISNUMBER(O306),IF(O306&gt;=Scoring!$B$10,1,0),0)+IF(AND(ISNUMBER(L306),ISNUMBER(J306)),IF(J306&gt;0,IF(L306/J306&gt;=Scoring!$B$11,1,0),0),0)+IF(ISNUMBER(Z306),MIN(Z306,3),0))</f>
        <v>1</v>
      </c>
      <c r="AC306" s="22" t="n">
        <f aca="false">IF(AB306&gt;=3,Scoring!$C$24,IF(AB306=2,Scoring!$C$23,IF(AB306=1,Scoring!$C$22,0)))</f>
        <v>10</v>
      </c>
      <c r="AD306" s="22" t="n">
        <f aca="false">IF(T306="Y",0,IF(ISNUMBER(X306),IF(X306&gt;0.7,Scoring!$C$25,IF(X306&gt;=0.5,Scoring!$C$26,IF(X306&gt;=0.3,Scoring!$C$27,Scoring!$C$28))),Scoring!$C$29))</f>
        <v>10</v>
      </c>
      <c r="AE306" s="22" t="n">
        <f aca="false">IF(D306="Expiring: notice window (verified)",Scoring!$C$30,IF(OR(D306="Expired (verified)",D306="30-yr mark: notice window (est.)",D306="Year-15 window"),Scoring!$C$31,IF(D306="Expiring: 10-yr horizon (verified)",Scoring!$C$32,IF(D306="Past 30-yr mark (verify)",Scoring!$C$33,IF(OR(D306="Credit period",D306="Superseded record"),Scoring!$C$35,Scoring!$C$34)))))</f>
        <v>14</v>
      </c>
      <c r="AF306" s="22" t="n">
        <f aca="false">IF(T306="Y",0,IF(ISNUMBER(V306),IF(Scoring!$B$4-V306&gt;15,Scoring!$C$36,IF(Scoring!$B$4-V306&gt;=10,Scoring!$C$37,IF(Scoring!$B$4-V306&gt;=5,Scoring!$C$38,Scoring!$C$39))),IF(OR(N306="",D306="Out of program"),Scoring!$C$40,IF(O306&gt;15,Scoring!$C$36,IF(O306&gt;=10,Scoring!$C$37,IF(O306&gt;=5,Scoring!$C$38,Scoring!$C$39))))))</f>
        <v>12</v>
      </c>
      <c r="AG306" s="22" t="n">
        <f aca="false">IF(T306="Y",0,IF(Y306="Y",Scoring!$C$41,IF(ISNUMBER(O306),IF(O306&gt;=25,Scoring!$C$42,IF(O306&gt;=15,Scoring!$C$43,Scoring!$C$44)),Scoring!$C$44)))</f>
        <v>2</v>
      </c>
      <c r="AH306" s="22" t="n">
        <f aca="false">IF(T306="Y",0,IF(W306="",Scoring!$C$49,IFERROR(VLOOKUP(W306,Scoring!$B$45:$C$48,2,FALSE()),Scoring!$C$49)))</f>
        <v>5</v>
      </c>
      <c r="AI306" s="23" t="n">
        <f aca="false">C306+IF(ISNUMBER(J306),J306,0)/100000+(10000-ROW())/1000000000</f>
        <v>53.000269694</v>
      </c>
      <c r="AJ306" s="18"/>
      <c r="AK306" s="18"/>
      <c r="AL306" s="18"/>
      <c r="AM306" s="18"/>
    </row>
    <row r="307" customFormat="false" ht="15" hidden="false" customHeight="false" outlineLevel="0" collapsed="false">
      <c r="A307" s="15" t="n">
        <f aca="false">RANK(AI307,$AI$2:$AI$755)</f>
        <v>306</v>
      </c>
      <c r="B307" s="16" t="str">
        <f aca="false">IF(T307="Y","Superseded",IF(C307&gt;=Scoring!$B$16,"Immediate",IF(C307&gt;=Scoring!$B$17,"This week",IF(C307&gt;=Scoring!$B$18,"Nurture","Low"))))</f>
        <v>This week</v>
      </c>
      <c r="C307" s="3" t="n">
        <f aca="false">SUM(AC307:AH307)</f>
        <v>53</v>
      </c>
      <c r="D307" s="15" t="str">
        <f aca="false">IF(T307="Y","Superseded record",IF(AND(U307&lt;&gt;"",AA307&lt;0),"Expired (verified)",IF(AND(U307&lt;&gt;"",AA307&lt;=Scoring!$B$5),"Expiring: notice window (verified)",IF(AND(U307&lt;&gt;"",AA307&lt;=Scoring!$B$6),"Expiring: 10-yr horizon (verified)",IF(M307="No Longer Monitored","Out of program",IF(N307="","Unknown vintage",IF(N307&lt;Scoring!$B$12,"Pre-1990, still listed",IF(AND(U307="",AA307&lt;0),"Past 30-yr mark (verify)",IF(AND(U307="",AA307&lt;=Scoring!$B$5),"30-yr mark: notice window (est.)",IF(AND(O307&gt;=Scoring!$B$7,O307&lt;=Scoring!$B$8),"Year-15 window",IF(O307&gt;=Scoring!$B$9,"Recap window",IF(O307&gt;=11,"Late compliance","Credit period"))))))))))))</f>
        <v>Year-15 window</v>
      </c>
      <c r="E307" s="15" t="s">
        <v>1211</v>
      </c>
      <c r="F307" s="15" t="s">
        <v>1212</v>
      </c>
      <c r="G307" s="15" t="s">
        <v>1213</v>
      </c>
      <c r="H307" s="15" t="s">
        <v>1214</v>
      </c>
      <c r="I307" s="15" t="s">
        <v>1215</v>
      </c>
      <c r="J307" s="15" t="n">
        <v>24</v>
      </c>
      <c r="K307" s="15" t="n">
        <v>24</v>
      </c>
      <c r="L307" s="15" t="n">
        <f aca="false">IF(OR(J307="",K307=""),"",MAX(J307-K307,0))</f>
        <v>0</v>
      </c>
      <c r="M307" s="15" t="s">
        <v>99</v>
      </c>
      <c r="N307" s="17" t="n">
        <v>2012</v>
      </c>
      <c r="O307" s="15" t="n">
        <f aca="false">IF(N307="","",Scoring!$B$4-N307)</f>
        <v>14</v>
      </c>
      <c r="P307" s="15" t="n">
        <f aca="false">IF(N307="","",N307+14)</f>
        <v>2026</v>
      </c>
      <c r="Q307" s="15" t="n">
        <f aca="false">IF(N307="","",IF(N307&lt;Scoring!$B$12,"n/a (pre-1990)",N307+Scoring!$B$13))</f>
        <v>2041</v>
      </c>
      <c r="R307" s="15" t="str">
        <f aca="false">IF(J307="","Unknown",IF(J307&gt;=5,"Yes","No (under 5 units)"))</f>
        <v>Yes</v>
      </c>
      <c r="S307" s="15"/>
      <c r="T307" s="18"/>
      <c r="U307" s="19"/>
      <c r="V307" s="18"/>
      <c r="W307" s="18"/>
      <c r="X307" s="20"/>
      <c r="Y307" s="18"/>
      <c r="Z307" s="18"/>
      <c r="AA307" s="21" t="n">
        <f aca="false">IF(U307&lt;&gt;"",(U307-Scoring!$B$3)/365.25,IF(N307="","",IF(N307&lt;Scoring!$B$12,"",(DATE(N307+Scoring!$B$13,12,31)-Scoring!$B$3)/365.25)))</f>
        <v>15.2470910335387</v>
      </c>
      <c r="AB307" s="22" t="n">
        <f aca="false">IF(T307="Y",0,IF(OR(D307="Expired (verified)",D307="Expiring: notice window (verified)",D307="Expiring: 10-yr horizon (verified)",D307="Past 30-yr mark (verify)",D307="30-yr mark: notice window (est.)",D307="Year-15 window"),1,0)+IF(ISNUMBER(O307),IF(O307&gt;=Scoring!$B$10,1,0),0)+IF(AND(ISNUMBER(L307),ISNUMBER(J307)),IF(J307&gt;0,IF(L307/J307&gt;=Scoring!$B$11,1,0),0),0)+IF(ISNUMBER(Z307),MIN(Z307,3),0))</f>
        <v>1</v>
      </c>
      <c r="AC307" s="22" t="n">
        <f aca="false">IF(AB307&gt;=3,Scoring!$C$24,IF(AB307=2,Scoring!$C$23,IF(AB307=1,Scoring!$C$22,0)))</f>
        <v>10</v>
      </c>
      <c r="AD307" s="22" t="n">
        <f aca="false">IF(T307="Y",0,IF(ISNUMBER(X307),IF(X307&gt;0.7,Scoring!$C$25,IF(X307&gt;=0.5,Scoring!$C$26,IF(X307&gt;=0.3,Scoring!$C$27,Scoring!$C$28))),Scoring!$C$29))</f>
        <v>10</v>
      </c>
      <c r="AE307" s="22" t="n">
        <f aca="false">IF(D307="Expiring: notice window (verified)",Scoring!$C$30,IF(OR(D307="Expired (verified)",D307="30-yr mark: notice window (est.)",D307="Year-15 window"),Scoring!$C$31,IF(D307="Expiring: 10-yr horizon (verified)",Scoring!$C$32,IF(D307="Past 30-yr mark (verify)",Scoring!$C$33,IF(OR(D307="Credit period",D307="Superseded record"),Scoring!$C$35,Scoring!$C$34)))))</f>
        <v>14</v>
      </c>
      <c r="AF307" s="22" t="n">
        <f aca="false">IF(T307="Y",0,IF(ISNUMBER(V307),IF(Scoring!$B$4-V307&gt;15,Scoring!$C$36,IF(Scoring!$B$4-V307&gt;=10,Scoring!$C$37,IF(Scoring!$B$4-V307&gt;=5,Scoring!$C$38,Scoring!$C$39))),IF(OR(N307="",D307="Out of program"),Scoring!$C$40,IF(O307&gt;15,Scoring!$C$36,IF(O307&gt;=10,Scoring!$C$37,IF(O307&gt;=5,Scoring!$C$38,Scoring!$C$39))))))</f>
        <v>12</v>
      </c>
      <c r="AG307" s="22" t="n">
        <f aca="false">IF(T307="Y",0,IF(Y307="Y",Scoring!$C$41,IF(ISNUMBER(O307),IF(O307&gt;=25,Scoring!$C$42,IF(O307&gt;=15,Scoring!$C$43,Scoring!$C$44)),Scoring!$C$44)))</f>
        <v>2</v>
      </c>
      <c r="AH307" s="22" t="n">
        <f aca="false">IF(T307="Y",0,IF(W307="",Scoring!$C$49,IFERROR(VLOOKUP(W307,Scoring!$B$45:$C$48,2,FALSE()),Scoring!$C$49)))</f>
        <v>5</v>
      </c>
      <c r="AI307" s="23" t="n">
        <f aca="false">C307+IF(ISNUMBER(J307),J307,0)/100000+(10000-ROW())/1000000000</f>
        <v>53.000249693</v>
      </c>
      <c r="AJ307" s="18"/>
      <c r="AK307" s="18"/>
      <c r="AL307" s="18"/>
      <c r="AM307" s="18"/>
    </row>
    <row r="308" customFormat="false" ht="15" hidden="false" customHeight="false" outlineLevel="0" collapsed="false">
      <c r="A308" s="15" t="n">
        <f aca="false">RANK(AI308,$AI$2:$AI$755)</f>
        <v>307</v>
      </c>
      <c r="B308" s="16" t="str">
        <f aca="false">IF(T308="Y","Superseded",IF(C308&gt;=Scoring!$B$16,"Immediate",IF(C308&gt;=Scoring!$B$17,"This week",IF(C308&gt;=Scoring!$B$18,"Nurture","Low"))))</f>
        <v>This week</v>
      </c>
      <c r="C308" s="3" t="n">
        <f aca="false">SUM(AC308:AH308)</f>
        <v>53</v>
      </c>
      <c r="D308" s="15" t="str">
        <f aca="false">IF(T308="Y","Superseded record",IF(AND(U308&lt;&gt;"",AA308&lt;0),"Expired (verified)",IF(AND(U308&lt;&gt;"",AA308&lt;=Scoring!$B$5),"Expiring: notice window (verified)",IF(AND(U308&lt;&gt;"",AA308&lt;=Scoring!$B$6),"Expiring: 10-yr horizon (verified)",IF(M308="No Longer Monitored","Out of program",IF(N308="","Unknown vintage",IF(N308&lt;Scoring!$B$12,"Pre-1990, still listed",IF(AND(U308="",AA308&lt;0),"Past 30-yr mark (verify)",IF(AND(U308="",AA308&lt;=Scoring!$B$5),"30-yr mark: notice window (est.)",IF(AND(O308&gt;=Scoring!$B$7,O308&lt;=Scoring!$B$8),"Year-15 window",IF(O308&gt;=Scoring!$B$9,"Recap window",IF(O308&gt;=11,"Late compliance","Credit period"))))))))))))</f>
        <v>Year-15 window</v>
      </c>
      <c r="E308" s="15" t="s">
        <v>1216</v>
      </c>
      <c r="F308" s="15" t="s">
        <v>1217</v>
      </c>
      <c r="G308" s="15" t="s">
        <v>1218</v>
      </c>
      <c r="H308" s="15" t="s">
        <v>751</v>
      </c>
      <c r="I308" s="15" t="s">
        <v>1219</v>
      </c>
      <c r="J308" s="15" t="n">
        <v>24</v>
      </c>
      <c r="K308" s="15" t="n">
        <v>24</v>
      </c>
      <c r="L308" s="15" t="n">
        <f aca="false">IF(OR(J308="",K308=""),"",MAX(J308-K308,0))</f>
        <v>0</v>
      </c>
      <c r="M308" s="15" t="s">
        <v>99</v>
      </c>
      <c r="N308" s="17" t="n">
        <v>2012</v>
      </c>
      <c r="O308" s="15" t="n">
        <f aca="false">IF(N308="","",Scoring!$B$4-N308)</f>
        <v>14</v>
      </c>
      <c r="P308" s="15" t="n">
        <f aca="false">IF(N308="","",N308+14)</f>
        <v>2026</v>
      </c>
      <c r="Q308" s="15" t="n">
        <f aca="false">IF(N308="","",IF(N308&lt;Scoring!$B$12,"n/a (pre-1990)",N308+Scoring!$B$13))</f>
        <v>2041</v>
      </c>
      <c r="R308" s="15" t="str">
        <f aca="false">IF(J308="","Unknown",IF(J308&gt;=5,"Yes","No (under 5 units)"))</f>
        <v>Yes</v>
      </c>
      <c r="S308" s="15"/>
      <c r="T308" s="18"/>
      <c r="U308" s="19"/>
      <c r="V308" s="18"/>
      <c r="W308" s="18"/>
      <c r="X308" s="20"/>
      <c r="Y308" s="18"/>
      <c r="Z308" s="18"/>
      <c r="AA308" s="21" t="n">
        <f aca="false">IF(U308&lt;&gt;"",(U308-Scoring!$B$3)/365.25,IF(N308="","",IF(N308&lt;Scoring!$B$12,"",(DATE(N308+Scoring!$B$13,12,31)-Scoring!$B$3)/365.25)))</f>
        <v>15.2470910335387</v>
      </c>
      <c r="AB308" s="22" t="n">
        <f aca="false">IF(T308="Y",0,IF(OR(D308="Expired (verified)",D308="Expiring: notice window (verified)",D308="Expiring: 10-yr horizon (verified)",D308="Past 30-yr mark (verify)",D308="30-yr mark: notice window (est.)",D308="Year-15 window"),1,0)+IF(ISNUMBER(O308),IF(O308&gt;=Scoring!$B$10,1,0),0)+IF(AND(ISNUMBER(L308),ISNUMBER(J308)),IF(J308&gt;0,IF(L308/J308&gt;=Scoring!$B$11,1,0),0),0)+IF(ISNUMBER(Z308),MIN(Z308,3),0))</f>
        <v>1</v>
      </c>
      <c r="AC308" s="22" t="n">
        <f aca="false">IF(AB308&gt;=3,Scoring!$C$24,IF(AB308=2,Scoring!$C$23,IF(AB308=1,Scoring!$C$22,0)))</f>
        <v>10</v>
      </c>
      <c r="AD308" s="22" t="n">
        <f aca="false">IF(T308="Y",0,IF(ISNUMBER(X308),IF(X308&gt;0.7,Scoring!$C$25,IF(X308&gt;=0.5,Scoring!$C$26,IF(X308&gt;=0.3,Scoring!$C$27,Scoring!$C$28))),Scoring!$C$29))</f>
        <v>10</v>
      </c>
      <c r="AE308" s="22" t="n">
        <f aca="false">IF(D308="Expiring: notice window (verified)",Scoring!$C$30,IF(OR(D308="Expired (verified)",D308="30-yr mark: notice window (est.)",D308="Year-15 window"),Scoring!$C$31,IF(D308="Expiring: 10-yr horizon (verified)",Scoring!$C$32,IF(D308="Past 30-yr mark (verify)",Scoring!$C$33,IF(OR(D308="Credit period",D308="Superseded record"),Scoring!$C$35,Scoring!$C$34)))))</f>
        <v>14</v>
      </c>
      <c r="AF308" s="22" t="n">
        <f aca="false">IF(T308="Y",0,IF(ISNUMBER(V308),IF(Scoring!$B$4-V308&gt;15,Scoring!$C$36,IF(Scoring!$B$4-V308&gt;=10,Scoring!$C$37,IF(Scoring!$B$4-V308&gt;=5,Scoring!$C$38,Scoring!$C$39))),IF(OR(N308="",D308="Out of program"),Scoring!$C$40,IF(O308&gt;15,Scoring!$C$36,IF(O308&gt;=10,Scoring!$C$37,IF(O308&gt;=5,Scoring!$C$38,Scoring!$C$39))))))</f>
        <v>12</v>
      </c>
      <c r="AG308" s="22" t="n">
        <f aca="false">IF(T308="Y",0,IF(Y308="Y",Scoring!$C$41,IF(ISNUMBER(O308),IF(O308&gt;=25,Scoring!$C$42,IF(O308&gt;=15,Scoring!$C$43,Scoring!$C$44)),Scoring!$C$44)))</f>
        <v>2</v>
      </c>
      <c r="AH308" s="22" t="n">
        <f aca="false">IF(T308="Y",0,IF(W308="",Scoring!$C$49,IFERROR(VLOOKUP(W308,Scoring!$B$45:$C$48,2,FALSE()),Scoring!$C$49)))</f>
        <v>5</v>
      </c>
      <c r="AI308" s="23" t="n">
        <f aca="false">C308+IF(ISNUMBER(J308),J308,0)/100000+(10000-ROW())/1000000000</f>
        <v>53.000249692</v>
      </c>
      <c r="AJ308" s="18"/>
      <c r="AK308" s="18"/>
      <c r="AL308" s="18"/>
      <c r="AM308" s="18"/>
    </row>
    <row r="309" customFormat="false" ht="15" hidden="false" customHeight="false" outlineLevel="0" collapsed="false">
      <c r="A309" s="15" t="n">
        <f aca="false">RANK(AI309,$AI$2:$AI$755)</f>
        <v>308</v>
      </c>
      <c r="B309" s="16" t="str">
        <f aca="false">IF(T309="Y","Superseded",IF(C309&gt;=Scoring!$B$16,"Immediate",IF(C309&gt;=Scoring!$B$17,"This week",IF(C309&gt;=Scoring!$B$18,"Nurture","Low"))))</f>
        <v>This week</v>
      </c>
      <c r="C309" s="3" t="n">
        <f aca="false">SUM(AC309:AH309)</f>
        <v>53</v>
      </c>
      <c r="D309" s="15" t="str">
        <f aca="false">IF(T309="Y","Superseded record",IF(AND(U309&lt;&gt;"",AA309&lt;0),"Expired (verified)",IF(AND(U309&lt;&gt;"",AA309&lt;=Scoring!$B$5),"Expiring: notice window (verified)",IF(AND(U309&lt;&gt;"",AA309&lt;=Scoring!$B$6),"Expiring: 10-yr horizon (verified)",IF(M309="No Longer Monitored","Out of program",IF(N309="","Unknown vintage",IF(N309&lt;Scoring!$B$12,"Pre-1990, still listed",IF(AND(U309="",AA309&lt;0),"Past 30-yr mark (verify)",IF(AND(U309="",AA309&lt;=Scoring!$B$5),"30-yr mark: notice window (est.)",IF(AND(O309&gt;=Scoring!$B$7,O309&lt;=Scoring!$B$8),"Year-15 window",IF(O309&gt;=Scoring!$B$9,"Recap window",IF(O309&gt;=11,"Late compliance","Credit period"))))))))))))</f>
        <v>Year-15 window</v>
      </c>
      <c r="E309" s="15" t="s">
        <v>1220</v>
      </c>
      <c r="F309" s="15" t="s">
        <v>1221</v>
      </c>
      <c r="G309" s="15" t="s">
        <v>1112</v>
      </c>
      <c r="H309" s="15" t="s">
        <v>851</v>
      </c>
      <c r="I309" s="15" t="s">
        <v>852</v>
      </c>
      <c r="J309" s="15" t="n">
        <v>24</v>
      </c>
      <c r="K309" s="15" t="n">
        <v>24</v>
      </c>
      <c r="L309" s="15" t="n">
        <f aca="false">IF(OR(J309="",K309=""),"",MAX(J309-K309,0))</f>
        <v>0</v>
      </c>
      <c r="M309" s="15" t="s">
        <v>99</v>
      </c>
      <c r="N309" s="17" t="n">
        <v>2012</v>
      </c>
      <c r="O309" s="15" t="n">
        <f aca="false">IF(N309="","",Scoring!$B$4-N309)</f>
        <v>14</v>
      </c>
      <c r="P309" s="15" t="n">
        <f aca="false">IF(N309="","",N309+14)</f>
        <v>2026</v>
      </c>
      <c r="Q309" s="15" t="n">
        <f aca="false">IF(N309="","",IF(N309&lt;Scoring!$B$12,"n/a (pre-1990)",N309+Scoring!$B$13))</f>
        <v>2041</v>
      </c>
      <c r="R309" s="15" t="str">
        <f aca="false">IF(J309="","Unknown",IF(J309&gt;=5,"Yes","No (under 5 units)"))</f>
        <v>Yes</v>
      </c>
      <c r="S309" s="15" t="s">
        <v>1222</v>
      </c>
      <c r="T309" s="18"/>
      <c r="U309" s="19"/>
      <c r="V309" s="18"/>
      <c r="W309" s="18"/>
      <c r="X309" s="20"/>
      <c r="Y309" s="18"/>
      <c r="Z309" s="18"/>
      <c r="AA309" s="21" t="n">
        <f aca="false">IF(U309&lt;&gt;"",(U309-Scoring!$B$3)/365.25,IF(N309="","",IF(N309&lt;Scoring!$B$12,"",(DATE(N309+Scoring!$B$13,12,31)-Scoring!$B$3)/365.25)))</f>
        <v>15.2470910335387</v>
      </c>
      <c r="AB309" s="22" t="n">
        <f aca="false">IF(T309="Y",0,IF(OR(D309="Expired (verified)",D309="Expiring: notice window (verified)",D309="Expiring: 10-yr horizon (verified)",D309="Past 30-yr mark (verify)",D309="30-yr mark: notice window (est.)",D309="Year-15 window"),1,0)+IF(ISNUMBER(O309),IF(O309&gt;=Scoring!$B$10,1,0),0)+IF(AND(ISNUMBER(L309),ISNUMBER(J309)),IF(J309&gt;0,IF(L309/J309&gt;=Scoring!$B$11,1,0),0),0)+IF(ISNUMBER(Z309),MIN(Z309,3),0))</f>
        <v>1</v>
      </c>
      <c r="AC309" s="22" t="n">
        <f aca="false">IF(AB309&gt;=3,Scoring!$C$24,IF(AB309=2,Scoring!$C$23,IF(AB309=1,Scoring!$C$22,0)))</f>
        <v>10</v>
      </c>
      <c r="AD309" s="22" t="n">
        <f aca="false">IF(T309="Y",0,IF(ISNUMBER(X309),IF(X309&gt;0.7,Scoring!$C$25,IF(X309&gt;=0.5,Scoring!$C$26,IF(X309&gt;=0.3,Scoring!$C$27,Scoring!$C$28))),Scoring!$C$29))</f>
        <v>10</v>
      </c>
      <c r="AE309" s="22" t="n">
        <f aca="false">IF(D309="Expiring: notice window (verified)",Scoring!$C$30,IF(OR(D309="Expired (verified)",D309="30-yr mark: notice window (est.)",D309="Year-15 window"),Scoring!$C$31,IF(D309="Expiring: 10-yr horizon (verified)",Scoring!$C$32,IF(D309="Past 30-yr mark (verify)",Scoring!$C$33,IF(OR(D309="Credit period",D309="Superseded record"),Scoring!$C$35,Scoring!$C$34)))))</f>
        <v>14</v>
      </c>
      <c r="AF309" s="22" t="n">
        <f aca="false">IF(T309="Y",0,IF(ISNUMBER(V309),IF(Scoring!$B$4-V309&gt;15,Scoring!$C$36,IF(Scoring!$B$4-V309&gt;=10,Scoring!$C$37,IF(Scoring!$B$4-V309&gt;=5,Scoring!$C$38,Scoring!$C$39))),IF(OR(N309="",D309="Out of program"),Scoring!$C$40,IF(O309&gt;15,Scoring!$C$36,IF(O309&gt;=10,Scoring!$C$37,IF(O309&gt;=5,Scoring!$C$38,Scoring!$C$39))))))</f>
        <v>12</v>
      </c>
      <c r="AG309" s="22" t="n">
        <f aca="false">IF(T309="Y",0,IF(Y309="Y",Scoring!$C$41,IF(ISNUMBER(O309),IF(O309&gt;=25,Scoring!$C$42,IF(O309&gt;=15,Scoring!$C$43,Scoring!$C$44)),Scoring!$C$44)))</f>
        <v>2</v>
      </c>
      <c r="AH309" s="22" t="n">
        <f aca="false">IF(T309="Y",0,IF(W309="",Scoring!$C$49,IFERROR(VLOOKUP(W309,Scoring!$B$45:$C$48,2,FALSE()),Scoring!$C$49)))</f>
        <v>5</v>
      </c>
      <c r="AI309" s="23" t="n">
        <f aca="false">C309+IF(ISNUMBER(J309),J309,0)/100000+(10000-ROW())/1000000000</f>
        <v>53.000249691</v>
      </c>
      <c r="AJ309" s="18"/>
      <c r="AK309" s="18"/>
      <c r="AL309" s="18"/>
      <c r="AM309" s="18"/>
    </row>
    <row r="310" customFormat="false" ht="15" hidden="false" customHeight="false" outlineLevel="0" collapsed="false">
      <c r="A310" s="15" t="n">
        <f aca="false">RANK(AI310,$AI$2:$AI$755)</f>
        <v>309</v>
      </c>
      <c r="B310" s="16" t="str">
        <f aca="false">IF(T310="Y","Superseded",IF(C310&gt;=Scoring!$B$16,"Immediate",IF(C310&gt;=Scoring!$B$17,"This week",IF(C310&gt;=Scoring!$B$18,"Nurture","Low"))))</f>
        <v>This week</v>
      </c>
      <c r="C310" s="3" t="n">
        <f aca="false">SUM(AC310:AH310)</f>
        <v>53</v>
      </c>
      <c r="D310" s="15" t="str">
        <f aca="false">IF(T310="Y","Superseded record",IF(AND(U310&lt;&gt;"",AA310&lt;0),"Expired (verified)",IF(AND(U310&lt;&gt;"",AA310&lt;=Scoring!$B$5),"Expiring: notice window (verified)",IF(AND(U310&lt;&gt;"",AA310&lt;=Scoring!$B$6),"Expiring: 10-yr horizon (verified)",IF(M310="No Longer Monitored","Out of program",IF(N310="","Unknown vintage",IF(N310&lt;Scoring!$B$12,"Pre-1990, still listed",IF(AND(U310="",AA310&lt;0),"Past 30-yr mark (verify)",IF(AND(U310="",AA310&lt;=Scoring!$B$5),"30-yr mark: notice window (est.)",IF(AND(O310&gt;=Scoring!$B$7,O310&lt;=Scoring!$B$8),"Year-15 window",IF(O310&gt;=Scoring!$B$9,"Recap window",IF(O310&gt;=11,"Late compliance","Credit period"))))))))))))</f>
        <v>Year-15 window</v>
      </c>
      <c r="E310" s="15" t="s">
        <v>1223</v>
      </c>
      <c r="F310" s="15" t="s">
        <v>1224</v>
      </c>
      <c r="G310" s="15" t="s">
        <v>1225</v>
      </c>
      <c r="H310" s="15" t="s">
        <v>647</v>
      </c>
      <c r="I310" s="15" t="s">
        <v>648</v>
      </c>
      <c r="J310" s="15" t="n">
        <v>24</v>
      </c>
      <c r="K310" s="15" t="n">
        <v>24</v>
      </c>
      <c r="L310" s="15" t="n">
        <f aca="false">IF(OR(J310="",K310=""),"",MAX(J310-K310,0))</f>
        <v>0</v>
      </c>
      <c r="M310" s="15" t="s">
        <v>99</v>
      </c>
      <c r="N310" s="17" t="n">
        <v>2013</v>
      </c>
      <c r="O310" s="15" t="n">
        <f aca="false">IF(N310="","",Scoring!$B$4-N310)</f>
        <v>13</v>
      </c>
      <c r="P310" s="15" t="n">
        <f aca="false">IF(N310="","",N310+14)</f>
        <v>2027</v>
      </c>
      <c r="Q310" s="15" t="n">
        <f aca="false">IF(N310="","",IF(N310&lt;Scoring!$B$12,"n/a (pre-1990)",N310+Scoring!$B$13))</f>
        <v>2042</v>
      </c>
      <c r="R310" s="15" t="str">
        <f aca="false">IF(J310="","Unknown",IF(J310&gt;=5,"Yes","No (under 5 units)"))</f>
        <v>Yes</v>
      </c>
      <c r="S310" s="15"/>
      <c r="T310" s="18"/>
      <c r="U310" s="19"/>
      <c r="V310" s="18"/>
      <c r="W310" s="18"/>
      <c r="X310" s="20"/>
      <c r="Y310" s="18"/>
      <c r="Z310" s="18"/>
      <c r="AA310" s="21" t="n">
        <f aca="false">IF(U310&lt;&gt;"",(U310-Scoring!$B$3)/365.25,IF(N310="","",IF(N310&lt;Scoring!$B$12,"",(DATE(N310+Scoring!$B$13,12,31)-Scoring!$B$3)/365.25)))</f>
        <v>16.2464065708419</v>
      </c>
      <c r="AB310" s="22" t="n">
        <f aca="false">IF(T310="Y",0,IF(OR(D310="Expired (verified)",D310="Expiring: notice window (verified)",D310="Expiring: 10-yr horizon (verified)",D310="Past 30-yr mark (verify)",D310="30-yr mark: notice window (est.)",D310="Year-15 window"),1,0)+IF(ISNUMBER(O310),IF(O310&gt;=Scoring!$B$10,1,0),0)+IF(AND(ISNUMBER(L310),ISNUMBER(J310)),IF(J310&gt;0,IF(L310/J310&gt;=Scoring!$B$11,1,0),0),0)+IF(ISNUMBER(Z310),MIN(Z310,3),0))</f>
        <v>1</v>
      </c>
      <c r="AC310" s="22" t="n">
        <f aca="false">IF(AB310&gt;=3,Scoring!$C$24,IF(AB310=2,Scoring!$C$23,IF(AB310=1,Scoring!$C$22,0)))</f>
        <v>10</v>
      </c>
      <c r="AD310" s="22" t="n">
        <f aca="false">IF(T310="Y",0,IF(ISNUMBER(X310),IF(X310&gt;0.7,Scoring!$C$25,IF(X310&gt;=0.5,Scoring!$C$26,IF(X310&gt;=0.3,Scoring!$C$27,Scoring!$C$28))),Scoring!$C$29))</f>
        <v>10</v>
      </c>
      <c r="AE310" s="22" t="n">
        <f aca="false">IF(D310="Expiring: notice window (verified)",Scoring!$C$30,IF(OR(D310="Expired (verified)",D310="30-yr mark: notice window (est.)",D310="Year-15 window"),Scoring!$C$31,IF(D310="Expiring: 10-yr horizon (verified)",Scoring!$C$32,IF(D310="Past 30-yr mark (verify)",Scoring!$C$33,IF(OR(D310="Credit period",D310="Superseded record"),Scoring!$C$35,Scoring!$C$34)))))</f>
        <v>14</v>
      </c>
      <c r="AF310" s="22" t="n">
        <f aca="false">IF(T310="Y",0,IF(ISNUMBER(V310),IF(Scoring!$B$4-V310&gt;15,Scoring!$C$36,IF(Scoring!$B$4-V310&gt;=10,Scoring!$C$37,IF(Scoring!$B$4-V310&gt;=5,Scoring!$C$38,Scoring!$C$39))),IF(OR(N310="",D310="Out of program"),Scoring!$C$40,IF(O310&gt;15,Scoring!$C$36,IF(O310&gt;=10,Scoring!$C$37,IF(O310&gt;=5,Scoring!$C$38,Scoring!$C$39))))))</f>
        <v>12</v>
      </c>
      <c r="AG310" s="22" t="n">
        <f aca="false">IF(T310="Y",0,IF(Y310="Y",Scoring!$C$41,IF(ISNUMBER(O310),IF(O310&gt;=25,Scoring!$C$42,IF(O310&gt;=15,Scoring!$C$43,Scoring!$C$44)),Scoring!$C$44)))</f>
        <v>2</v>
      </c>
      <c r="AH310" s="22" t="n">
        <f aca="false">IF(T310="Y",0,IF(W310="",Scoring!$C$49,IFERROR(VLOOKUP(W310,Scoring!$B$45:$C$48,2,FALSE()),Scoring!$C$49)))</f>
        <v>5</v>
      </c>
      <c r="AI310" s="23" t="n">
        <f aca="false">C310+IF(ISNUMBER(J310),J310,0)/100000+(10000-ROW())/1000000000</f>
        <v>53.00024969</v>
      </c>
      <c r="AJ310" s="18"/>
      <c r="AK310" s="18"/>
      <c r="AL310" s="18"/>
      <c r="AM310" s="18"/>
    </row>
    <row r="311" customFormat="false" ht="15" hidden="false" customHeight="false" outlineLevel="0" collapsed="false">
      <c r="A311" s="15" t="n">
        <f aca="false">RANK(AI311,$AI$2:$AI$755)</f>
        <v>310</v>
      </c>
      <c r="B311" s="16" t="str">
        <f aca="false">IF(T311="Y","Superseded",IF(C311&gt;=Scoring!$B$16,"Immediate",IF(C311&gt;=Scoring!$B$17,"This week",IF(C311&gt;=Scoring!$B$18,"Nurture","Low"))))</f>
        <v>This week</v>
      </c>
      <c r="C311" s="3" t="n">
        <f aca="false">SUM(AC311:AH311)</f>
        <v>52</v>
      </c>
      <c r="D311" s="15" t="str">
        <f aca="false">IF(T311="Y","Superseded record",IF(AND(U311&lt;&gt;"",AA311&lt;0),"Expired (verified)",IF(AND(U311&lt;&gt;"",AA311&lt;=Scoring!$B$5),"Expiring: notice window (verified)",IF(AND(U311&lt;&gt;"",AA311&lt;=Scoring!$B$6),"Expiring: 10-yr horizon (verified)",IF(M311="No Longer Monitored","Out of program",IF(N311="","Unknown vintage",IF(N311&lt;Scoring!$B$12,"Pre-1990, still listed",IF(AND(U311="",AA311&lt;0),"Past 30-yr mark (verify)",IF(AND(U311="",AA311&lt;=Scoring!$B$5),"30-yr mark: notice window (est.)",IF(AND(O311&gt;=Scoring!$B$7,O311&lt;=Scoring!$B$8),"Year-15 window",IF(O311&gt;=Scoring!$B$9,"Recap window",IF(O311&gt;=11,"Late compliance","Credit period"))))))))))))</f>
        <v>Recap window</v>
      </c>
      <c r="E311" s="15" t="s">
        <v>1226</v>
      </c>
      <c r="F311" s="15" t="s">
        <v>1227</v>
      </c>
      <c r="G311" s="15" t="s">
        <v>1228</v>
      </c>
      <c r="H311" s="15" t="s">
        <v>202</v>
      </c>
      <c r="I311" s="15" t="s">
        <v>203</v>
      </c>
      <c r="J311" s="15" t="n">
        <v>240</v>
      </c>
      <c r="K311" s="15" t="n">
        <v>240</v>
      </c>
      <c r="L311" s="15" t="n">
        <f aca="false">IF(OR(J311="",K311=""),"",MAX(J311-K311,0))</f>
        <v>0</v>
      </c>
      <c r="M311" s="15" t="s">
        <v>99</v>
      </c>
      <c r="N311" s="17" t="n">
        <v>2000</v>
      </c>
      <c r="O311" s="15" t="n">
        <f aca="false">IF(N311="","",Scoring!$B$4-N311)</f>
        <v>26</v>
      </c>
      <c r="P311" s="15" t="n">
        <f aca="false">IF(N311="","",N311+14)</f>
        <v>2014</v>
      </c>
      <c r="Q311" s="15" t="n">
        <f aca="false">IF(N311="","",IF(N311&lt;Scoring!$B$12,"n/a (pre-1990)",N311+Scoring!$B$13))</f>
        <v>2029</v>
      </c>
      <c r="R311" s="15" t="str">
        <f aca="false">IF(J311="","Unknown",IF(J311&gt;=5,"Yes","No (under 5 units)"))</f>
        <v>Yes</v>
      </c>
      <c r="S311" s="15"/>
      <c r="T311" s="18"/>
      <c r="U311" s="19"/>
      <c r="V311" s="18"/>
      <c r="W311" s="18"/>
      <c r="X311" s="20"/>
      <c r="Y311" s="18"/>
      <c r="Z311" s="18"/>
      <c r="AA311" s="21" t="n">
        <f aca="false">IF(U311&lt;&gt;"",(U311-Scoring!$B$3)/365.25,IF(N311="","",IF(N311&lt;Scoring!$B$12,"",(DATE(N311+Scoring!$B$13,12,31)-Scoring!$B$3)/365.25)))</f>
        <v>3.24709103353867</v>
      </c>
      <c r="AB311" s="22" t="n">
        <f aca="false">IF(T311="Y",0,IF(OR(D311="Expired (verified)",D311="Expiring: notice window (verified)",D311="Expiring: 10-yr horizon (verified)",D311="Past 30-yr mark (verify)",D311="30-yr mark: notice window (est.)",D311="Year-15 window"),1,0)+IF(ISNUMBER(O311),IF(O311&gt;=Scoring!$B$10,1,0),0)+IF(AND(ISNUMBER(L311),ISNUMBER(J311)),IF(J311&gt;0,IF(L311/J311&gt;=Scoring!$B$11,1,0),0),0)+IF(ISNUMBER(Z311),MIN(Z311,3),0))</f>
        <v>1</v>
      </c>
      <c r="AC311" s="22" t="n">
        <f aca="false">IF(AB311&gt;=3,Scoring!$C$24,IF(AB311=2,Scoring!$C$23,IF(AB311=1,Scoring!$C$22,0)))</f>
        <v>10</v>
      </c>
      <c r="AD311" s="22" t="n">
        <f aca="false">IF(T311="Y",0,IF(ISNUMBER(X311),IF(X311&gt;0.7,Scoring!$C$25,IF(X311&gt;=0.5,Scoring!$C$26,IF(X311&gt;=0.3,Scoring!$C$27,Scoring!$C$28))),Scoring!$C$29))</f>
        <v>10</v>
      </c>
      <c r="AE311" s="22" t="n">
        <f aca="false">IF(D311="Expiring: notice window (verified)",Scoring!$C$30,IF(OR(D311="Expired (verified)",D311="30-yr mark: notice window (est.)",D311="Year-15 window"),Scoring!$C$31,IF(D311="Expiring: 10-yr horizon (verified)",Scoring!$C$32,IF(D311="Past 30-yr mark (verify)",Scoring!$C$33,IF(OR(D311="Credit period",D311="Superseded record"),Scoring!$C$35,Scoring!$C$34)))))</f>
        <v>4</v>
      </c>
      <c r="AF311" s="22" t="n">
        <f aca="false">IF(T311="Y",0,IF(ISNUMBER(V311),IF(Scoring!$B$4-V311&gt;15,Scoring!$C$36,IF(Scoring!$B$4-V311&gt;=10,Scoring!$C$37,IF(Scoring!$B$4-V311&gt;=5,Scoring!$C$38,Scoring!$C$39))),IF(OR(N311="",D311="Out of program"),Scoring!$C$40,IF(O311&gt;15,Scoring!$C$36,IF(O311&gt;=10,Scoring!$C$37,IF(O311&gt;=5,Scoring!$C$38,Scoring!$C$39))))))</f>
        <v>15</v>
      </c>
      <c r="AG311" s="22" t="n">
        <f aca="false">IF(T311="Y",0,IF(Y311="Y",Scoring!$C$41,IF(ISNUMBER(O311),IF(O311&gt;=25,Scoring!$C$42,IF(O311&gt;=15,Scoring!$C$43,Scoring!$C$44)),Scoring!$C$44)))</f>
        <v>8</v>
      </c>
      <c r="AH311" s="22" t="n">
        <f aca="false">IF(T311="Y",0,IF(W311="",Scoring!$C$49,IFERROR(VLOOKUP(W311,Scoring!$B$45:$C$48,2,FALSE()),Scoring!$C$49)))</f>
        <v>5</v>
      </c>
      <c r="AI311" s="23" t="n">
        <f aca="false">C311+IF(ISNUMBER(J311),J311,0)/100000+(10000-ROW())/1000000000</f>
        <v>52.002409689</v>
      </c>
      <c r="AJ311" s="18"/>
      <c r="AK311" s="18"/>
      <c r="AL311" s="18"/>
      <c r="AM311" s="18"/>
    </row>
    <row r="312" customFormat="false" ht="15" hidden="false" customHeight="false" outlineLevel="0" collapsed="false">
      <c r="A312" s="15" t="n">
        <f aca="false">RANK(AI312,$AI$2:$AI$755)</f>
        <v>311</v>
      </c>
      <c r="B312" s="16" t="str">
        <f aca="false">IF(T312="Y","Superseded",IF(C312&gt;=Scoring!$B$16,"Immediate",IF(C312&gt;=Scoring!$B$17,"This week",IF(C312&gt;=Scoring!$B$18,"Nurture","Low"))))</f>
        <v>This week</v>
      </c>
      <c r="C312" s="3" t="n">
        <f aca="false">SUM(AC312:AH312)</f>
        <v>52</v>
      </c>
      <c r="D312" s="15" t="str">
        <f aca="false">IF(T312="Y","Superseded record",IF(AND(U312&lt;&gt;"",AA312&lt;0),"Expired (verified)",IF(AND(U312&lt;&gt;"",AA312&lt;=Scoring!$B$5),"Expiring: notice window (verified)",IF(AND(U312&lt;&gt;"",AA312&lt;=Scoring!$B$6),"Expiring: 10-yr horizon (verified)",IF(M312="No Longer Monitored","Out of program",IF(N312="","Unknown vintage",IF(N312&lt;Scoring!$B$12,"Pre-1990, still listed",IF(AND(U312="",AA312&lt;0),"Past 30-yr mark (verify)",IF(AND(U312="",AA312&lt;=Scoring!$B$5),"30-yr mark: notice window (est.)",IF(AND(O312&gt;=Scoring!$B$7,O312&lt;=Scoring!$B$8),"Year-15 window",IF(O312&gt;=Scoring!$B$9,"Recap window",IF(O312&gt;=11,"Late compliance","Credit period"))))))))))))</f>
        <v>Recap window</v>
      </c>
      <c r="E312" s="15" t="s">
        <v>1229</v>
      </c>
      <c r="F312" s="15" t="s">
        <v>1230</v>
      </c>
      <c r="G312" s="15" t="s">
        <v>1231</v>
      </c>
      <c r="H312" s="15" t="s">
        <v>956</v>
      </c>
      <c r="I312" s="15" t="s">
        <v>1232</v>
      </c>
      <c r="J312" s="15" t="n">
        <v>229</v>
      </c>
      <c r="K312" s="15" t="n">
        <v>229</v>
      </c>
      <c r="L312" s="15" t="n">
        <f aca="false">IF(OR(J312="",K312=""),"",MAX(J312-K312,0))</f>
        <v>0</v>
      </c>
      <c r="M312" s="15" t="s">
        <v>99</v>
      </c>
      <c r="N312" s="17" t="n">
        <v>2000</v>
      </c>
      <c r="O312" s="15" t="n">
        <f aca="false">IF(N312="","",Scoring!$B$4-N312)</f>
        <v>26</v>
      </c>
      <c r="P312" s="15" t="n">
        <f aca="false">IF(N312="","",N312+14)</f>
        <v>2014</v>
      </c>
      <c r="Q312" s="15" t="n">
        <f aca="false">IF(N312="","",IF(N312&lt;Scoring!$B$12,"n/a (pre-1990)",N312+Scoring!$B$13))</f>
        <v>2029</v>
      </c>
      <c r="R312" s="15" t="str">
        <f aca="false">IF(J312="","Unknown",IF(J312&gt;=5,"Yes","No (under 5 units)"))</f>
        <v>Yes</v>
      </c>
      <c r="S312" s="15"/>
      <c r="T312" s="18"/>
      <c r="U312" s="19"/>
      <c r="V312" s="18"/>
      <c r="W312" s="18"/>
      <c r="X312" s="20"/>
      <c r="Y312" s="18"/>
      <c r="Z312" s="18"/>
      <c r="AA312" s="21" t="n">
        <f aca="false">IF(U312&lt;&gt;"",(U312-Scoring!$B$3)/365.25,IF(N312="","",IF(N312&lt;Scoring!$B$12,"",(DATE(N312+Scoring!$B$13,12,31)-Scoring!$B$3)/365.25)))</f>
        <v>3.24709103353867</v>
      </c>
      <c r="AB312" s="22" t="n">
        <f aca="false">IF(T312="Y",0,IF(OR(D312="Expired (verified)",D312="Expiring: notice window (verified)",D312="Expiring: 10-yr horizon (verified)",D312="Past 30-yr mark (verify)",D312="30-yr mark: notice window (est.)",D312="Year-15 window"),1,0)+IF(ISNUMBER(O312),IF(O312&gt;=Scoring!$B$10,1,0),0)+IF(AND(ISNUMBER(L312),ISNUMBER(J312)),IF(J312&gt;0,IF(L312/J312&gt;=Scoring!$B$11,1,0),0),0)+IF(ISNUMBER(Z312),MIN(Z312,3),0))</f>
        <v>1</v>
      </c>
      <c r="AC312" s="22" t="n">
        <f aca="false">IF(AB312&gt;=3,Scoring!$C$24,IF(AB312=2,Scoring!$C$23,IF(AB312=1,Scoring!$C$22,0)))</f>
        <v>10</v>
      </c>
      <c r="AD312" s="22" t="n">
        <f aca="false">IF(T312="Y",0,IF(ISNUMBER(X312),IF(X312&gt;0.7,Scoring!$C$25,IF(X312&gt;=0.5,Scoring!$C$26,IF(X312&gt;=0.3,Scoring!$C$27,Scoring!$C$28))),Scoring!$C$29))</f>
        <v>10</v>
      </c>
      <c r="AE312" s="22" t="n">
        <f aca="false">IF(D312="Expiring: notice window (verified)",Scoring!$C$30,IF(OR(D312="Expired (verified)",D312="30-yr mark: notice window (est.)",D312="Year-15 window"),Scoring!$C$31,IF(D312="Expiring: 10-yr horizon (verified)",Scoring!$C$32,IF(D312="Past 30-yr mark (verify)",Scoring!$C$33,IF(OR(D312="Credit period",D312="Superseded record"),Scoring!$C$35,Scoring!$C$34)))))</f>
        <v>4</v>
      </c>
      <c r="AF312" s="22" t="n">
        <f aca="false">IF(T312="Y",0,IF(ISNUMBER(V312),IF(Scoring!$B$4-V312&gt;15,Scoring!$C$36,IF(Scoring!$B$4-V312&gt;=10,Scoring!$C$37,IF(Scoring!$B$4-V312&gt;=5,Scoring!$C$38,Scoring!$C$39))),IF(OR(N312="",D312="Out of program"),Scoring!$C$40,IF(O312&gt;15,Scoring!$C$36,IF(O312&gt;=10,Scoring!$C$37,IF(O312&gt;=5,Scoring!$C$38,Scoring!$C$39))))))</f>
        <v>15</v>
      </c>
      <c r="AG312" s="22" t="n">
        <f aca="false">IF(T312="Y",0,IF(Y312="Y",Scoring!$C$41,IF(ISNUMBER(O312),IF(O312&gt;=25,Scoring!$C$42,IF(O312&gt;=15,Scoring!$C$43,Scoring!$C$44)),Scoring!$C$44)))</f>
        <v>8</v>
      </c>
      <c r="AH312" s="22" t="n">
        <f aca="false">IF(T312="Y",0,IF(W312="",Scoring!$C$49,IFERROR(VLOOKUP(W312,Scoring!$B$45:$C$48,2,FALSE()),Scoring!$C$49)))</f>
        <v>5</v>
      </c>
      <c r="AI312" s="23" t="n">
        <f aca="false">C312+IF(ISNUMBER(J312),J312,0)/100000+(10000-ROW())/1000000000</f>
        <v>52.002299688</v>
      </c>
      <c r="AJ312" s="18"/>
      <c r="AK312" s="18"/>
      <c r="AL312" s="18"/>
      <c r="AM312" s="18"/>
    </row>
    <row r="313" customFormat="false" ht="15" hidden="false" customHeight="false" outlineLevel="0" collapsed="false">
      <c r="A313" s="15" t="n">
        <f aca="false">RANK(AI313,$AI$2:$AI$755)</f>
        <v>312</v>
      </c>
      <c r="B313" s="16" t="str">
        <f aca="false">IF(T313="Y","Superseded",IF(C313&gt;=Scoring!$B$16,"Immediate",IF(C313&gt;=Scoring!$B$17,"This week",IF(C313&gt;=Scoring!$B$18,"Nurture","Low"))))</f>
        <v>This week</v>
      </c>
      <c r="C313" s="3" t="n">
        <f aca="false">SUM(AC313:AH313)</f>
        <v>52</v>
      </c>
      <c r="D313" s="15" t="str">
        <f aca="false">IF(T313="Y","Superseded record",IF(AND(U313&lt;&gt;"",AA313&lt;0),"Expired (verified)",IF(AND(U313&lt;&gt;"",AA313&lt;=Scoring!$B$5),"Expiring: notice window (verified)",IF(AND(U313&lt;&gt;"",AA313&lt;=Scoring!$B$6),"Expiring: 10-yr horizon (verified)",IF(M313="No Longer Monitored","Out of program",IF(N313="","Unknown vintage",IF(N313&lt;Scoring!$B$12,"Pre-1990, still listed",IF(AND(U313="",AA313&lt;0),"Past 30-yr mark (verify)",IF(AND(U313="",AA313&lt;=Scoring!$B$5),"30-yr mark: notice window (est.)",IF(AND(O313&gt;=Scoring!$B$7,O313&lt;=Scoring!$B$8),"Year-15 window",IF(O313&gt;=Scoring!$B$9,"Recap window",IF(O313&gt;=11,"Late compliance","Credit period"))))))))))))</f>
        <v>Recap window</v>
      </c>
      <c r="E313" s="15" t="s">
        <v>1233</v>
      </c>
      <c r="F313" s="15" t="s">
        <v>1234</v>
      </c>
      <c r="G313" s="15" t="s">
        <v>1235</v>
      </c>
      <c r="H313" s="15" t="s">
        <v>97</v>
      </c>
      <c r="I313" s="15" t="s">
        <v>160</v>
      </c>
      <c r="J313" s="15" t="n">
        <v>181</v>
      </c>
      <c r="K313" s="15" t="n">
        <v>181</v>
      </c>
      <c r="L313" s="15" t="n">
        <f aca="false">IF(OR(J313="",K313=""),"",MAX(J313-K313,0))</f>
        <v>0</v>
      </c>
      <c r="M313" s="15" t="s">
        <v>99</v>
      </c>
      <c r="N313" s="17" t="n">
        <v>2001</v>
      </c>
      <c r="O313" s="15" t="n">
        <f aca="false">IF(N313="","",Scoring!$B$4-N313)</f>
        <v>25</v>
      </c>
      <c r="P313" s="15" t="n">
        <f aca="false">IF(N313="","",N313+14)</f>
        <v>2015</v>
      </c>
      <c r="Q313" s="15" t="n">
        <f aca="false">IF(N313="","",IF(N313&lt;Scoring!$B$12,"n/a (pre-1990)",N313+Scoring!$B$13))</f>
        <v>2030</v>
      </c>
      <c r="R313" s="15" t="str">
        <f aca="false">IF(J313="","Unknown",IF(J313&gt;=5,"Yes","No (under 5 units)"))</f>
        <v>Yes</v>
      </c>
      <c r="S313" s="15"/>
      <c r="T313" s="18"/>
      <c r="U313" s="19"/>
      <c r="V313" s="18"/>
      <c r="W313" s="18"/>
      <c r="X313" s="20"/>
      <c r="Y313" s="18"/>
      <c r="Z313" s="18"/>
      <c r="AA313" s="21" t="n">
        <f aca="false">IF(U313&lt;&gt;"",(U313-Scoring!$B$3)/365.25,IF(N313="","",IF(N313&lt;Scoring!$B$12,"",(DATE(N313+Scoring!$B$13,12,31)-Scoring!$B$3)/365.25)))</f>
        <v>4.24640657084189</v>
      </c>
      <c r="AB313" s="22" t="n">
        <f aca="false">IF(T313="Y",0,IF(OR(D313="Expired (verified)",D313="Expiring: notice window (verified)",D313="Expiring: 10-yr horizon (verified)",D313="Past 30-yr mark (verify)",D313="30-yr mark: notice window (est.)",D313="Year-15 window"),1,0)+IF(ISNUMBER(O313),IF(O313&gt;=Scoring!$B$10,1,0),0)+IF(AND(ISNUMBER(L313),ISNUMBER(J313)),IF(J313&gt;0,IF(L313/J313&gt;=Scoring!$B$11,1,0),0),0)+IF(ISNUMBER(Z313),MIN(Z313,3),0))</f>
        <v>1</v>
      </c>
      <c r="AC313" s="22" t="n">
        <f aca="false">IF(AB313&gt;=3,Scoring!$C$24,IF(AB313=2,Scoring!$C$23,IF(AB313=1,Scoring!$C$22,0)))</f>
        <v>10</v>
      </c>
      <c r="AD313" s="22" t="n">
        <f aca="false">IF(T313="Y",0,IF(ISNUMBER(X313),IF(X313&gt;0.7,Scoring!$C$25,IF(X313&gt;=0.5,Scoring!$C$26,IF(X313&gt;=0.3,Scoring!$C$27,Scoring!$C$28))),Scoring!$C$29))</f>
        <v>10</v>
      </c>
      <c r="AE313" s="22" t="n">
        <f aca="false">IF(D313="Expiring: notice window (verified)",Scoring!$C$30,IF(OR(D313="Expired (verified)",D313="30-yr mark: notice window (est.)",D313="Year-15 window"),Scoring!$C$31,IF(D313="Expiring: 10-yr horizon (verified)",Scoring!$C$32,IF(D313="Past 30-yr mark (verify)",Scoring!$C$33,IF(OR(D313="Credit period",D313="Superseded record"),Scoring!$C$35,Scoring!$C$34)))))</f>
        <v>4</v>
      </c>
      <c r="AF313" s="22" t="n">
        <f aca="false">IF(T313="Y",0,IF(ISNUMBER(V313),IF(Scoring!$B$4-V313&gt;15,Scoring!$C$36,IF(Scoring!$B$4-V313&gt;=10,Scoring!$C$37,IF(Scoring!$B$4-V313&gt;=5,Scoring!$C$38,Scoring!$C$39))),IF(OR(N313="",D313="Out of program"),Scoring!$C$40,IF(O313&gt;15,Scoring!$C$36,IF(O313&gt;=10,Scoring!$C$37,IF(O313&gt;=5,Scoring!$C$38,Scoring!$C$39))))))</f>
        <v>15</v>
      </c>
      <c r="AG313" s="22" t="n">
        <f aca="false">IF(T313="Y",0,IF(Y313="Y",Scoring!$C$41,IF(ISNUMBER(O313),IF(O313&gt;=25,Scoring!$C$42,IF(O313&gt;=15,Scoring!$C$43,Scoring!$C$44)),Scoring!$C$44)))</f>
        <v>8</v>
      </c>
      <c r="AH313" s="22" t="n">
        <f aca="false">IF(T313="Y",0,IF(W313="",Scoring!$C$49,IFERROR(VLOOKUP(W313,Scoring!$B$45:$C$48,2,FALSE()),Scoring!$C$49)))</f>
        <v>5</v>
      </c>
      <c r="AI313" s="23" t="n">
        <f aca="false">C313+IF(ISNUMBER(J313),J313,0)/100000+(10000-ROW())/1000000000</f>
        <v>52.001819687</v>
      </c>
      <c r="AJ313" s="18"/>
      <c r="AK313" s="18"/>
      <c r="AL313" s="18"/>
      <c r="AM313" s="18"/>
    </row>
    <row r="314" customFormat="false" ht="15" hidden="false" customHeight="false" outlineLevel="0" collapsed="false">
      <c r="A314" s="15" t="n">
        <f aca="false">RANK(AI314,$AI$2:$AI$755)</f>
        <v>313</v>
      </c>
      <c r="B314" s="16" t="str">
        <f aca="false">IF(T314="Y","Superseded",IF(C314&gt;=Scoring!$B$16,"Immediate",IF(C314&gt;=Scoring!$B$17,"This week",IF(C314&gt;=Scoring!$B$18,"Nurture","Low"))))</f>
        <v>This week</v>
      </c>
      <c r="C314" s="3" t="n">
        <f aca="false">SUM(AC314:AH314)</f>
        <v>52</v>
      </c>
      <c r="D314" s="15" t="str">
        <f aca="false">IF(T314="Y","Superseded record",IF(AND(U314&lt;&gt;"",AA314&lt;0),"Expired (verified)",IF(AND(U314&lt;&gt;"",AA314&lt;=Scoring!$B$5),"Expiring: notice window (verified)",IF(AND(U314&lt;&gt;"",AA314&lt;=Scoring!$B$6),"Expiring: 10-yr horizon (verified)",IF(M314="No Longer Monitored","Out of program",IF(N314="","Unknown vintage",IF(N314&lt;Scoring!$B$12,"Pre-1990, still listed",IF(AND(U314="",AA314&lt;0),"Past 30-yr mark (verify)",IF(AND(U314="",AA314&lt;=Scoring!$B$5),"30-yr mark: notice window (est.)",IF(AND(O314&gt;=Scoring!$B$7,O314&lt;=Scoring!$B$8),"Year-15 window",IF(O314&gt;=Scoring!$B$9,"Recap window",IF(O314&gt;=11,"Late compliance","Credit period"))))))))))))</f>
        <v>Recap window</v>
      </c>
      <c r="E314" s="15" t="s">
        <v>1236</v>
      </c>
      <c r="F314" s="15" t="s">
        <v>1237</v>
      </c>
      <c r="G314" s="15" t="s">
        <v>1238</v>
      </c>
      <c r="H314" s="15" t="s">
        <v>536</v>
      </c>
      <c r="I314" s="15" t="s">
        <v>537</v>
      </c>
      <c r="J314" s="15" t="n">
        <v>120</v>
      </c>
      <c r="K314" s="15" t="n">
        <v>120</v>
      </c>
      <c r="L314" s="15" t="n">
        <f aca="false">IF(OR(J314="",K314=""),"",MAX(J314-K314,0))</f>
        <v>0</v>
      </c>
      <c r="M314" s="15" t="s">
        <v>99</v>
      </c>
      <c r="N314" s="17" t="n">
        <v>2000</v>
      </c>
      <c r="O314" s="15" t="n">
        <f aca="false">IF(N314="","",Scoring!$B$4-N314)</f>
        <v>26</v>
      </c>
      <c r="P314" s="15" t="n">
        <f aca="false">IF(N314="","",N314+14)</f>
        <v>2014</v>
      </c>
      <c r="Q314" s="15" t="n">
        <f aca="false">IF(N314="","",IF(N314&lt;Scoring!$B$12,"n/a (pre-1990)",N314+Scoring!$B$13))</f>
        <v>2029</v>
      </c>
      <c r="R314" s="15" t="str">
        <f aca="false">IF(J314="","Unknown",IF(J314&gt;=5,"Yes","No (under 5 units)"))</f>
        <v>Yes</v>
      </c>
      <c r="S314" s="15"/>
      <c r="T314" s="18"/>
      <c r="U314" s="19"/>
      <c r="V314" s="18"/>
      <c r="W314" s="18"/>
      <c r="X314" s="20"/>
      <c r="Y314" s="18"/>
      <c r="Z314" s="18"/>
      <c r="AA314" s="21" t="n">
        <f aca="false">IF(U314&lt;&gt;"",(U314-Scoring!$B$3)/365.25,IF(N314="","",IF(N314&lt;Scoring!$B$12,"",(DATE(N314+Scoring!$B$13,12,31)-Scoring!$B$3)/365.25)))</f>
        <v>3.24709103353867</v>
      </c>
      <c r="AB314" s="22" t="n">
        <f aca="false">IF(T314="Y",0,IF(OR(D314="Expired (verified)",D314="Expiring: notice window (verified)",D314="Expiring: 10-yr horizon (verified)",D314="Past 30-yr mark (verify)",D314="30-yr mark: notice window (est.)",D314="Year-15 window"),1,0)+IF(ISNUMBER(O314),IF(O314&gt;=Scoring!$B$10,1,0),0)+IF(AND(ISNUMBER(L314),ISNUMBER(J314)),IF(J314&gt;0,IF(L314/J314&gt;=Scoring!$B$11,1,0),0),0)+IF(ISNUMBER(Z314),MIN(Z314,3),0))</f>
        <v>1</v>
      </c>
      <c r="AC314" s="22" t="n">
        <f aca="false">IF(AB314&gt;=3,Scoring!$C$24,IF(AB314=2,Scoring!$C$23,IF(AB314=1,Scoring!$C$22,0)))</f>
        <v>10</v>
      </c>
      <c r="AD314" s="22" t="n">
        <f aca="false">IF(T314="Y",0,IF(ISNUMBER(X314),IF(X314&gt;0.7,Scoring!$C$25,IF(X314&gt;=0.5,Scoring!$C$26,IF(X314&gt;=0.3,Scoring!$C$27,Scoring!$C$28))),Scoring!$C$29))</f>
        <v>10</v>
      </c>
      <c r="AE314" s="22" t="n">
        <f aca="false">IF(D314="Expiring: notice window (verified)",Scoring!$C$30,IF(OR(D314="Expired (verified)",D314="30-yr mark: notice window (est.)",D314="Year-15 window"),Scoring!$C$31,IF(D314="Expiring: 10-yr horizon (verified)",Scoring!$C$32,IF(D314="Past 30-yr mark (verify)",Scoring!$C$33,IF(OR(D314="Credit period",D314="Superseded record"),Scoring!$C$35,Scoring!$C$34)))))</f>
        <v>4</v>
      </c>
      <c r="AF314" s="22" t="n">
        <f aca="false">IF(T314="Y",0,IF(ISNUMBER(V314),IF(Scoring!$B$4-V314&gt;15,Scoring!$C$36,IF(Scoring!$B$4-V314&gt;=10,Scoring!$C$37,IF(Scoring!$B$4-V314&gt;=5,Scoring!$C$38,Scoring!$C$39))),IF(OR(N314="",D314="Out of program"),Scoring!$C$40,IF(O314&gt;15,Scoring!$C$36,IF(O314&gt;=10,Scoring!$C$37,IF(O314&gt;=5,Scoring!$C$38,Scoring!$C$39))))))</f>
        <v>15</v>
      </c>
      <c r="AG314" s="22" t="n">
        <f aca="false">IF(T314="Y",0,IF(Y314="Y",Scoring!$C$41,IF(ISNUMBER(O314),IF(O314&gt;=25,Scoring!$C$42,IF(O314&gt;=15,Scoring!$C$43,Scoring!$C$44)),Scoring!$C$44)))</f>
        <v>8</v>
      </c>
      <c r="AH314" s="22" t="n">
        <f aca="false">IF(T314="Y",0,IF(W314="",Scoring!$C$49,IFERROR(VLOOKUP(W314,Scoring!$B$45:$C$48,2,FALSE()),Scoring!$C$49)))</f>
        <v>5</v>
      </c>
      <c r="AI314" s="23" t="n">
        <f aca="false">C314+IF(ISNUMBER(J314),J314,0)/100000+(10000-ROW())/1000000000</f>
        <v>52.001209686</v>
      </c>
      <c r="AJ314" s="18"/>
      <c r="AK314" s="18"/>
      <c r="AL314" s="18"/>
      <c r="AM314" s="18"/>
    </row>
    <row r="315" customFormat="false" ht="15" hidden="false" customHeight="false" outlineLevel="0" collapsed="false">
      <c r="A315" s="15" t="n">
        <f aca="false">RANK(AI315,$AI$2:$AI$755)</f>
        <v>314</v>
      </c>
      <c r="B315" s="16" t="str">
        <f aca="false">IF(T315="Y","Superseded",IF(C315&gt;=Scoring!$B$16,"Immediate",IF(C315&gt;=Scoring!$B$17,"This week",IF(C315&gt;=Scoring!$B$18,"Nurture","Low"))))</f>
        <v>This week</v>
      </c>
      <c r="C315" s="3" t="n">
        <f aca="false">SUM(AC315:AH315)</f>
        <v>52</v>
      </c>
      <c r="D315" s="15" t="str">
        <f aca="false">IF(T315="Y","Superseded record",IF(AND(U315&lt;&gt;"",AA315&lt;0),"Expired (verified)",IF(AND(U315&lt;&gt;"",AA315&lt;=Scoring!$B$5),"Expiring: notice window (verified)",IF(AND(U315&lt;&gt;"",AA315&lt;=Scoring!$B$6),"Expiring: 10-yr horizon (verified)",IF(M315="No Longer Monitored","Out of program",IF(N315="","Unknown vintage",IF(N315&lt;Scoring!$B$12,"Pre-1990, still listed",IF(AND(U315="",AA315&lt;0),"Past 30-yr mark (verify)",IF(AND(U315="",AA315&lt;=Scoring!$B$5),"30-yr mark: notice window (est.)",IF(AND(O315&gt;=Scoring!$B$7,O315&lt;=Scoring!$B$8),"Year-15 window",IF(O315&gt;=Scoring!$B$9,"Recap window",IF(O315&gt;=11,"Late compliance","Credit period"))))))))))))</f>
        <v>Recap window</v>
      </c>
      <c r="E315" s="15" t="s">
        <v>1239</v>
      </c>
      <c r="F315" s="15" t="s">
        <v>1240</v>
      </c>
      <c r="G315" s="15" t="s">
        <v>1241</v>
      </c>
      <c r="H315" s="15" t="s">
        <v>97</v>
      </c>
      <c r="I315" s="15" t="s">
        <v>863</v>
      </c>
      <c r="J315" s="15" t="n">
        <v>100</v>
      </c>
      <c r="K315" s="15" t="n">
        <v>100</v>
      </c>
      <c r="L315" s="15" t="n">
        <f aca="false">IF(OR(J315="",K315=""),"",MAX(J315-K315,0))</f>
        <v>0</v>
      </c>
      <c r="M315" s="15" t="s">
        <v>99</v>
      </c>
      <c r="N315" s="17" t="n">
        <v>2001</v>
      </c>
      <c r="O315" s="15" t="n">
        <f aca="false">IF(N315="","",Scoring!$B$4-N315)</f>
        <v>25</v>
      </c>
      <c r="P315" s="15" t="n">
        <f aca="false">IF(N315="","",N315+14)</f>
        <v>2015</v>
      </c>
      <c r="Q315" s="15" t="n">
        <f aca="false">IF(N315="","",IF(N315&lt;Scoring!$B$12,"n/a (pre-1990)",N315+Scoring!$B$13))</f>
        <v>2030</v>
      </c>
      <c r="R315" s="15" t="str">
        <f aca="false">IF(J315="","Unknown",IF(J315&gt;=5,"Yes","No (under 5 units)"))</f>
        <v>Yes</v>
      </c>
      <c r="S315" s="15"/>
      <c r="T315" s="18"/>
      <c r="U315" s="19"/>
      <c r="V315" s="18"/>
      <c r="W315" s="18"/>
      <c r="X315" s="20"/>
      <c r="Y315" s="18"/>
      <c r="Z315" s="18"/>
      <c r="AA315" s="21" t="n">
        <f aca="false">IF(U315&lt;&gt;"",(U315-Scoring!$B$3)/365.25,IF(N315="","",IF(N315&lt;Scoring!$B$12,"",(DATE(N315+Scoring!$B$13,12,31)-Scoring!$B$3)/365.25)))</f>
        <v>4.24640657084189</v>
      </c>
      <c r="AB315" s="22" t="n">
        <f aca="false">IF(T315="Y",0,IF(OR(D315="Expired (verified)",D315="Expiring: notice window (verified)",D315="Expiring: 10-yr horizon (verified)",D315="Past 30-yr mark (verify)",D315="30-yr mark: notice window (est.)",D315="Year-15 window"),1,0)+IF(ISNUMBER(O315),IF(O315&gt;=Scoring!$B$10,1,0),0)+IF(AND(ISNUMBER(L315),ISNUMBER(J315)),IF(J315&gt;0,IF(L315/J315&gt;=Scoring!$B$11,1,0),0),0)+IF(ISNUMBER(Z315),MIN(Z315,3),0))</f>
        <v>1</v>
      </c>
      <c r="AC315" s="22" t="n">
        <f aca="false">IF(AB315&gt;=3,Scoring!$C$24,IF(AB315=2,Scoring!$C$23,IF(AB315=1,Scoring!$C$22,0)))</f>
        <v>10</v>
      </c>
      <c r="AD315" s="22" t="n">
        <f aca="false">IF(T315="Y",0,IF(ISNUMBER(X315),IF(X315&gt;0.7,Scoring!$C$25,IF(X315&gt;=0.5,Scoring!$C$26,IF(X315&gt;=0.3,Scoring!$C$27,Scoring!$C$28))),Scoring!$C$29))</f>
        <v>10</v>
      </c>
      <c r="AE315" s="22" t="n">
        <f aca="false">IF(D315="Expiring: notice window (verified)",Scoring!$C$30,IF(OR(D315="Expired (verified)",D315="30-yr mark: notice window (est.)",D315="Year-15 window"),Scoring!$C$31,IF(D315="Expiring: 10-yr horizon (verified)",Scoring!$C$32,IF(D315="Past 30-yr mark (verify)",Scoring!$C$33,IF(OR(D315="Credit period",D315="Superseded record"),Scoring!$C$35,Scoring!$C$34)))))</f>
        <v>4</v>
      </c>
      <c r="AF315" s="22" t="n">
        <f aca="false">IF(T315="Y",0,IF(ISNUMBER(V315),IF(Scoring!$B$4-V315&gt;15,Scoring!$C$36,IF(Scoring!$B$4-V315&gt;=10,Scoring!$C$37,IF(Scoring!$B$4-V315&gt;=5,Scoring!$C$38,Scoring!$C$39))),IF(OR(N315="",D315="Out of program"),Scoring!$C$40,IF(O315&gt;15,Scoring!$C$36,IF(O315&gt;=10,Scoring!$C$37,IF(O315&gt;=5,Scoring!$C$38,Scoring!$C$39))))))</f>
        <v>15</v>
      </c>
      <c r="AG315" s="22" t="n">
        <f aca="false">IF(T315="Y",0,IF(Y315="Y",Scoring!$C$41,IF(ISNUMBER(O315),IF(O315&gt;=25,Scoring!$C$42,IF(O315&gt;=15,Scoring!$C$43,Scoring!$C$44)),Scoring!$C$44)))</f>
        <v>8</v>
      </c>
      <c r="AH315" s="22" t="n">
        <f aca="false">IF(T315="Y",0,IF(W315="",Scoring!$C$49,IFERROR(VLOOKUP(W315,Scoring!$B$45:$C$48,2,FALSE()),Scoring!$C$49)))</f>
        <v>5</v>
      </c>
      <c r="AI315" s="23" t="n">
        <f aca="false">C315+IF(ISNUMBER(J315),J315,0)/100000+(10000-ROW())/1000000000</f>
        <v>52.001009685</v>
      </c>
      <c r="AJ315" s="18"/>
      <c r="AK315" s="18"/>
      <c r="AL315" s="18"/>
      <c r="AM315" s="18"/>
    </row>
    <row r="316" customFormat="false" ht="15" hidden="false" customHeight="false" outlineLevel="0" collapsed="false">
      <c r="A316" s="15" t="n">
        <f aca="false">RANK(AI316,$AI$2:$AI$755)</f>
        <v>315</v>
      </c>
      <c r="B316" s="16" t="str">
        <f aca="false">IF(T316="Y","Superseded",IF(C316&gt;=Scoring!$B$16,"Immediate",IF(C316&gt;=Scoring!$B$17,"This week",IF(C316&gt;=Scoring!$B$18,"Nurture","Low"))))</f>
        <v>This week</v>
      </c>
      <c r="C316" s="3" t="n">
        <f aca="false">SUM(AC316:AH316)</f>
        <v>52</v>
      </c>
      <c r="D316" s="15" t="str">
        <f aca="false">IF(T316="Y","Superseded record",IF(AND(U316&lt;&gt;"",AA316&lt;0),"Expired (verified)",IF(AND(U316&lt;&gt;"",AA316&lt;=Scoring!$B$5),"Expiring: notice window (verified)",IF(AND(U316&lt;&gt;"",AA316&lt;=Scoring!$B$6),"Expiring: 10-yr horizon (verified)",IF(M316="No Longer Monitored","Out of program",IF(N316="","Unknown vintage",IF(N316&lt;Scoring!$B$12,"Pre-1990, still listed",IF(AND(U316="",AA316&lt;0),"Past 30-yr mark (verify)",IF(AND(U316="",AA316&lt;=Scoring!$B$5),"30-yr mark: notice window (est.)",IF(AND(O316&gt;=Scoring!$B$7,O316&lt;=Scoring!$B$8),"Year-15 window",IF(O316&gt;=Scoring!$B$9,"Recap window",IF(O316&gt;=11,"Late compliance","Credit period"))))))))))))</f>
        <v>Recap window</v>
      </c>
      <c r="E316" s="15" t="s">
        <v>1242</v>
      </c>
      <c r="F316" s="15" t="s">
        <v>1243</v>
      </c>
      <c r="G316" s="15" t="s">
        <v>1244</v>
      </c>
      <c r="H316" s="15" t="s">
        <v>97</v>
      </c>
      <c r="I316" s="15" t="s">
        <v>164</v>
      </c>
      <c r="J316" s="15" t="n">
        <v>97</v>
      </c>
      <c r="K316" s="15" t="n">
        <v>97</v>
      </c>
      <c r="L316" s="15" t="n">
        <f aca="false">IF(OR(J316="",K316=""),"",MAX(J316-K316,0))</f>
        <v>0</v>
      </c>
      <c r="M316" s="15" t="s">
        <v>99</v>
      </c>
      <c r="N316" s="17" t="n">
        <v>2000</v>
      </c>
      <c r="O316" s="15" t="n">
        <f aca="false">IF(N316="","",Scoring!$B$4-N316)</f>
        <v>26</v>
      </c>
      <c r="P316" s="15" t="n">
        <f aca="false">IF(N316="","",N316+14)</f>
        <v>2014</v>
      </c>
      <c r="Q316" s="15" t="n">
        <f aca="false">IF(N316="","",IF(N316&lt;Scoring!$B$12,"n/a (pre-1990)",N316+Scoring!$B$13))</f>
        <v>2029</v>
      </c>
      <c r="R316" s="15" t="str">
        <f aca="false">IF(J316="","Unknown",IF(J316&gt;=5,"Yes","No (under 5 units)"))</f>
        <v>Yes</v>
      </c>
      <c r="S316" s="15"/>
      <c r="T316" s="18"/>
      <c r="U316" s="19"/>
      <c r="V316" s="18"/>
      <c r="W316" s="18"/>
      <c r="X316" s="20"/>
      <c r="Y316" s="18"/>
      <c r="Z316" s="18"/>
      <c r="AA316" s="21" t="n">
        <f aca="false">IF(U316&lt;&gt;"",(U316-Scoring!$B$3)/365.25,IF(N316="","",IF(N316&lt;Scoring!$B$12,"",(DATE(N316+Scoring!$B$13,12,31)-Scoring!$B$3)/365.25)))</f>
        <v>3.24709103353867</v>
      </c>
      <c r="AB316" s="22" t="n">
        <f aca="false">IF(T316="Y",0,IF(OR(D316="Expired (verified)",D316="Expiring: notice window (verified)",D316="Expiring: 10-yr horizon (verified)",D316="Past 30-yr mark (verify)",D316="30-yr mark: notice window (est.)",D316="Year-15 window"),1,0)+IF(ISNUMBER(O316),IF(O316&gt;=Scoring!$B$10,1,0),0)+IF(AND(ISNUMBER(L316),ISNUMBER(J316)),IF(J316&gt;0,IF(L316/J316&gt;=Scoring!$B$11,1,0),0),0)+IF(ISNUMBER(Z316),MIN(Z316,3),0))</f>
        <v>1</v>
      </c>
      <c r="AC316" s="22" t="n">
        <f aca="false">IF(AB316&gt;=3,Scoring!$C$24,IF(AB316=2,Scoring!$C$23,IF(AB316=1,Scoring!$C$22,0)))</f>
        <v>10</v>
      </c>
      <c r="AD316" s="22" t="n">
        <f aca="false">IF(T316="Y",0,IF(ISNUMBER(X316),IF(X316&gt;0.7,Scoring!$C$25,IF(X316&gt;=0.5,Scoring!$C$26,IF(X316&gt;=0.3,Scoring!$C$27,Scoring!$C$28))),Scoring!$C$29))</f>
        <v>10</v>
      </c>
      <c r="AE316" s="22" t="n">
        <f aca="false">IF(D316="Expiring: notice window (verified)",Scoring!$C$30,IF(OR(D316="Expired (verified)",D316="30-yr mark: notice window (est.)",D316="Year-15 window"),Scoring!$C$31,IF(D316="Expiring: 10-yr horizon (verified)",Scoring!$C$32,IF(D316="Past 30-yr mark (verify)",Scoring!$C$33,IF(OR(D316="Credit period",D316="Superseded record"),Scoring!$C$35,Scoring!$C$34)))))</f>
        <v>4</v>
      </c>
      <c r="AF316" s="22" t="n">
        <f aca="false">IF(T316="Y",0,IF(ISNUMBER(V316),IF(Scoring!$B$4-V316&gt;15,Scoring!$C$36,IF(Scoring!$B$4-V316&gt;=10,Scoring!$C$37,IF(Scoring!$B$4-V316&gt;=5,Scoring!$C$38,Scoring!$C$39))),IF(OR(N316="",D316="Out of program"),Scoring!$C$40,IF(O316&gt;15,Scoring!$C$36,IF(O316&gt;=10,Scoring!$C$37,IF(O316&gt;=5,Scoring!$C$38,Scoring!$C$39))))))</f>
        <v>15</v>
      </c>
      <c r="AG316" s="22" t="n">
        <f aca="false">IF(T316="Y",0,IF(Y316="Y",Scoring!$C$41,IF(ISNUMBER(O316),IF(O316&gt;=25,Scoring!$C$42,IF(O316&gt;=15,Scoring!$C$43,Scoring!$C$44)),Scoring!$C$44)))</f>
        <v>8</v>
      </c>
      <c r="AH316" s="22" t="n">
        <f aca="false">IF(T316="Y",0,IF(W316="",Scoring!$C$49,IFERROR(VLOOKUP(W316,Scoring!$B$45:$C$48,2,FALSE()),Scoring!$C$49)))</f>
        <v>5</v>
      </c>
      <c r="AI316" s="23" t="n">
        <f aca="false">C316+IF(ISNUMBER(J316),J316,0)/100000+(10000-ROW())/1000000000</f>
        <v>52.000979684</v>
      </c>
      <c r="AJ316" s="18"/>
      <c r="AK316" s="18"/>
      <c r="AL316" s="18"/>
      <c r="AM316" s="18"/>
    </row>
    <row r="317" customFormat="false" ht="15" hidden="false" customHeight="false" outlineLevel="0" collapsed="false">
      <c r="A317" s="15" t="n">
        <f aca="false">RANK(AI317,$AI$2:$AI$755)</f>
        <v>316</v>
      </c>
      <c r="B317" s="16" t="str">
        <f aca="false">IF(T317="Y","Superseded",IF(C317&gt;=Scoring!$B$16,"Immediate",IF(C317&gt;=Scoring!$B$17,"This week",IF(C317&gt;=Scoring!$B$18,"Nurture","Low"))))</f>
        <v>This week</v>
      </c>
      <c r="C317" s="3" t="n">
        <f aca="false">SUM(AC317:AH317)</f>
        <v>52</v>
      </c>
      <c r="D317" s="15" t="str">
        <f aca="false">IF(T317="Y","Superseded record",IF(AND(U317&lt;&gt;"",AA317&lt;0),"Expired (verified)",IF(AND(U317&lt;&gt;"",AA317&lt;=Scoring!$B$5),"Expiring: notice window (verified)",IF(AND(U317&lt;&gt;"",AA317&lt;=Scoring!$B$6),"Expiring: 10-yr horizon (verified)",IF(M317="No Longer Monitored","Out of program",IF(N317="","Unknown vintage",IF(N317&lt;Scoring!$B$12,"Pre-1990, still listed",IF(AND(U317="",AA317&lt;0),"Past 30-yr mark (verify)",IF(AND(U317="",AA317&lt;=Scoring!$B$5),"30-yr mark: notice window (est.)",IF(AND(O317&gt;=Scoring!$B$7,O317&lt;=Scoring!$B$8),"Year-15 window",IF(O317&gt;=Scoring!$B$9,"Recap window",IF(O317&gt;=11,"Late compliance","Credit period"))))))))))))</f>
        <v>Recap window</v>
      </c>
      <c r="E317" s="15" t="s">
        <v>1245</v>
      </c>
      <c r="F317" s="15" t="s">
        <v>1246</v>
      </c>
      <c r="G317" s="15" t="s">
        <v>1247</v>
      </c>
      <c r="H317" s="15" t="s">
        <v>141</v>
      </c>
      <c r="I317" s="15" t="s">
        <v>142</v>
      </c>
      <c r="J317" s="15" t="n">
        <v>96</v>
      </c>
      <c r="K317" s="15" t="n">
        <v>96</v>
      </c>
      <c r="L317" s="15" t="n">
        <f aca="false">IF(OR(J317="",K317=""),"",MAX(J317-K317,0))</f>
        <v>0</v>
      </c>
      <c r="M317" s="15" t="s">
        <v>99</v>
      </c>
      <c r="N317" s="17" t="n">
        <v>2000</v>
      </c>
      <c r="O317" s="15" t="n">
        <f aca="false">IF(N317="","",Scoring!$B$4-N317)</f>
        <v>26</v>
      </c>
      <c r="P317" s="15" t="n">
        <f aca="false">IF(N317="","",N317+14)</f>
        <v>2014</v>
      </c>
      <c r="Q317" s="15" t="n">
        <f aca="false">IF(N317="","",IF(N317&lt;Scoring!$B$12,"n/a (pre-1990)",N317+Scoring!$B$13))</f>
        <v>2029</v>
      </c>
      <c r="R317" s="15" t="str">
        <f aca="false">IF(J317="","Unknown",IF(J317&gt;=5,"Yes","No (under 5 units)"))</f>
        <v>Yes</v>
      </c>
      <c r="S317" s="15"/>
      <c r="T317" s="18"/>
      <c r="U317" s="19"/>
      <c r="V317" s="18"/>
      <c r="W317" s="18"/>
      <c r="X317" s="20"/>
      <c r="Y317" s="18"/>
      <c r="Z317" s="18"/>
      <c r="AA317" s="21" t="n">
        <f aca="false">IF(U317&lt;&gt;"",(U317-Scoring!$B$3)/365.25,IF(N317="","",IF(N317&lt;Scoring!$B$12,"",(DATE(N317+Scoring!$B$13,12,31)-Scoring!$B$3)/365.25)))</f>
        <v>3.24709103353867</v>
      </c>
      <c r="AB317" s="22" t="n">
        <f aca="false">IF(T317="Y",0,IF(OR(D317="Expired (verified)",D317="Expiring: notice window (verified)",D317="Expiring: 10-yr horizon (verified)",D317="Past 30-yr mark (verify)",D317="30-yr mark: notice window (est.)",D317="Year-15 window"),1,0)+IF(ISNUMBER(O317),IF(O317&gt;=Scoring!$B$10,1,0),0)+IF(AND(ISNUMBER(L317),ISNUMBER(J317)),IF(J317&gt;0,IF(L317/J317&gt;=Scoring!$B$11,1,0),0),0)+IF(ISNUMBER(Z317),MIN(Z317,3),0))</f>
        <v>1</v>
      </c>
      <c r="AC317" s="22" t="n">
        <f aca="false">IF(AB317&gt;=3,Scoring!$C$24,IF(AB317=2,Scoring!$C$23,IF(AB317=1,Scoring!$C$22,0)))</f>
        <v>10</v>
      </c>
      <c r="AD317" s="22" t="n">
        <f aca="false">IF(T317="Y",0,IF(ISNUMBER(X317),IF(X317&gt;0.7,Scoring!$C$25,IF(X317&gt;=0.5,Scoring!$C$26,IF(X317&gt;=0.3,Scoring!$C$27,Scoring!$C$28))),Scoring!$C$29))</f>
        <v>10</v>
      </c>
      <c r="AE317" s="22" t="n">
        <f aca="false">IF(D317="Expiring: notice window (verified)",Scoring!$C$30,IF(OR(D317="Expired (verified)",D317="30-yr mark: notice window (est.)",D317="Year-15 window"),Scoring!$C$31,IF(D317="Expiring: 10-yr horizon (verified)",Scoring!$C$32,IF(D317="Past 30-yr mark (verify)",Scoring!$C$33,IF(OR(D317="Credit period",D317="Superseded record"),Scoring!$C$35,Scoring!$C$34)))))</f>
        <v>4</v>
      </c>
      <c r="AF317" s="22" t="n">
        <f aca="false">IF(T317="Y",0,IF(ISNUMBER(V317),IF(Scoring!$B$4-V317&gt;15,Scoring!$C$36,IF(Scoring!$B$4-V317&gt;=10,Scoring!$C$37,IF(Scoring!$B$4-V317&gt;=5,Scoring!$C$38,Scoring!$C$39))),IF(OR(N317="",D317="Out of program"),Scoring!$C$40,IF(O317&gt;15,Scoring!$C$36,IF(O317&gt;=10,Scoring!$C$37,IF(O317&gt;=5,Scoring!$C$38,Scoring!$C$39))))))</f>
        <v>15</v>
      </c>
      <c r="AG317" s="22" t="n">
        <f aca="false">IF(T317="Y",0,IF(Y317="Y",Scoring!$C$41,IF(ISNUMBER(O317),IF(O317&gt;=25,Scoring!$C$42,IF(O317&gt;=15,Scoring!$C$43,Scoring!$C$44)),Scoring!$C$44)))</f>
        <v>8</v>
      </c>
      <c r="AH317" s="22" t="n">
        <f aca="false">IF(T317="Y",0,IF(W317="",Scoring!$C$49,IFERROR(VLOOKUP(W317,Scoring!$B$45:$C$48,2,FALSE()),Scoring!$C$49)))</f>
        <v>5</v>
      </c>
      <c r="AI317" s="23" t="n">
        <f aca="false">C317+IF(ISNUMBER(J317),J317,0)/100000+(10000-ROW())/1000000000</f>
        <v>52.000969683</v>
      </c>
      <c r="AJ317" s="18"/>
      <c r="AK317" s="18"/>
      <c r="AL317" s="18"/>
      <c r="AM317" s="18"/>
    </row>
    <row r="318" customFormat="false" ht="15" hidden="false" customHeight="false" outlineLevel="0" collapsed="false">
      <c r="A318" s="15" t="n">
        <f aca="false">RANK(AI318,$AI$2:$AI$755)</f>
        <v>317</v>
      </c>
      <c r="B318" s="16" t="str">
        <f aca="false">IF(T318="Y","Superseded",IF(C318&gt;=Scoring!$B$16,"Immediate",IF(C318&gt;=Scoring!$B$17,"This week",IF(C318&gt;=Scoring!$B$18,"Nurture","Low"))))</f>
        <v>This week</v>
      </c>
      <c r="C318" s="3" t="n">
        <f aca="false">SUM(AC318:AH318)</f>
        <v>52</v>
      </c>
      <c r="D318" s="15" t="str">
        <f aca="false">IF(T318="Y","Superseded record",IF(AND(U318&lt;&gt;"",AA318&lt;0),"Expired (verified)",IF(AND(U318&lt;&gt;"",AA318&lt;=Scoring!$B$5),"Expiring: notice window (verified)",IF(AND(U318&lt;&gt;"",AA318&lt;=Scoring!$B$6),"Expiring: 10-yr horizon (verified)",IF(M318="No Longer Monitored","Out of program",IF(N318="","Unknown vintage",IF(N318&lt;Scoring!$B$12,"Pre-1990, still listed",IF(AND(U318="",AA318&lt;0),"Past 30-yr mark (verify)",IF(AND(U318="",AA318&lt;=Scoring!$B$5),"30-yr mark: notice window (est.)",IF(AND(O318&gt;=Scoring!$B$7,O318&lt;=Scoring!$B$8),"Year-15 window",IF(O318&gt;=Scoring!$B$9,"Recap window",IF(O318&gt;=11,"Late compliance","Credit period"))))))))))))</f>
        <v>Recap window</v>
      </c>
      <c r="E318" s="15" t="s">
        <v>1248</v>
      </c>
      <c r="F318" s="15" t="s">
        <v>1249</v>
      </c>
      <c r="G318" s="15" t="s">
        <v>1250</v>
      </c>
      <c r="H318" s="15" t="s">
        <v>956</v>
      </c>
      <c r="I318" s="15" t="s">
        <v>1232</v>
      </c>
      <c r="J318" s="15" t="n">
        <v>96</v>
      </c>
      <c r="K318" s="15" t="n">
        <v>96</v>
      </c>
      <c r="L318" s="15" t="n">
        <f aca="false">IF(OR(J318="",K318=""),"",MAX(J318-K318,0))</f>
        <v>0</v>
      </c>
      <c r="M318" s="15" t="s">
        <v>99</v>
      </c>
      <c r="N318" s="17" t="n">
        <v>2000</v>
      </c>
      <c r="O318" s="15" t="n">
        <f aca="false">IF(N318="","",Scoring!$B$4-N318)</f>
        <v>26</v>
      </c>
      <c r="P318" s="15" t="n">
        <f aca="false">IF(N318="","",N318+14)</f>
        <v>2014</v>
      </c>
      <c r="Q318" s="15" t="n">
        <f aca="false">IF(N318="","",IF(N318&lt;Scoring!$B$12,"n/a (pre-1990)",N318+Scoring!$B$13))</f>
        <v>2029</v>
      </c>
      <c r="R318" s="15" t="str">
        <f aca="false">IF(J318="","Unknown",IF(J318&gt;=5,"Yes","No (under 5 units)"))</f>
        <v>Yes</v>
      </c>
      <c r="S318" s="15"/>
      <c r="T318" s="18"/>
      <c r="U318" s="19"/>
      <c r="V318" s="18"/>
      <c r="W318" s="18"/>
      <c r="X318" s="20"/>
      <c r="Y318" s="18"/>
      <c r="Z318" s="18"/>
      <c r="AA318" s="21" t="n">
        <f aca="false">IF(U318&lt;&gt;"",(U318-Scoring!$B$3)/365.25,IF(N318="","",IF(N318&lt;Scoring!$B$12,"",(DATE(N318+Scoring!$B$13,12,31)-Scoring!$B$3)/365.25)))</f>
        <v>3.24709103353867</v>
      </c>
      <c r="AB318" s="22" t="n">
        <f aca="false">IF(T318="Y",0,IF(OR(D318="Expired (verified)",D318="Expiring: notice window (verified)",D318="Expiring: 10-yr horizon (verified)",D318="Past 30-yr mark (verify)",D318="30-yr mark: notice window (est.)",D318="Year-15 window"),1,0)+IF(ISNUMBER(O318),IF(O318&gt;=Scoring!$B$10,1,0),0)+IF(AND(ISNUMBER(L318),ISNUMBER(J318)),IF(J318&gt;0,IF(L318/J318&gt;=Scoring!$B$11,1,0),0),0)+IF(ISNUMBER(Z318),MIN(Z318,3),0))</f>
        <v>1</v>
      </c>
      <c r="AC318" s="22" t="n">
        <f aca="false">IF(AB318&gt;=3,Scoring!$C$24,IF(AB318=2,Scoring!$C$23,IF(AB318=1,Scoring!$C$22,0)))</f>
        <v>10</v>
      </c>
      <c r="AD318" s="22" t="n">
        <f aca="false">IF(T318="Y",0,IF(ISNUMBER(X318),IF(X318&gt;0.7,Scoring!$C$25,IF(X318&gt;=0.5,Scoring!$C$26,IF(X318&gt;=0.3,Scoring!$C$27,Scoring!$C$28))),Scoring!$C$29))</f>
        <v>10</v>
      </c>
      <c r="AE318" s="22" t="n">
        <f aca="false">IF(D318="Expiring: notice window (verified)",Scoring!$C$30,IF(OR(D318="Expired (verified)",D318="30-yr mark: notice window (est.)",D318="Year-15 window"),Scoring!$C$31,IF(D318="Expiring: 10-yr horizon (verified)",Scoring!$C$32,IF(D318="Past 30-yr mark (verify)",Scoring!$C$33,IF(OR(D318="Credit period",D318="Superseded record"),Scoring!$C$35,Scoring!$C$34)))))</f>
        <v>4</v>
      </c>
      <c r="AF318" s="22" t="n">
        <f aca="false">IF(T318="Y",0,IF(ISNUMBER(V318),IF(Scoring!$B$4-V318&gt;15,Scoring!$C$36,IF(Scoring!$B$4-V318&gt;=10,Scoring!$C$37,IF(Scoring!$B$4-V318&gt;=5,Scoring!$C$38,Scoring!$C$39))),IF(OR(N318="",D318="Out of program"),Scoring!$C$40,IF(O318&gt;15,Scoring!$C$36,IF(O318&gt;=10,Scoring!$C$37,IF(O318&gt;=5,Scoring!$C$38,Scoring!$C$39))))))</f>
        <v>15</v>
      </c>
      <c r="AG318" s="22" t="n">
        <f aca="false">IF(T318="Y",0,IF(Y318="Y",Scoring!$C$41,IF(ISNUMBER(O318),IF(O318&gt;=25,Scoring!$C$42,IF(O318&gt;=15,Scoring!$C$43,Scoring!$C$44)),Scoring!$C$44)))</f>
        <v>8</v>
      </c>
      <c r="AH318" s="22" t="n">
        <f aca="false">IF(T318="Y",0,IF(W318="",Scoring!$C$49,IFERROR(VLOOKUP(W318,Scoring!$B$45:$C$48,2,FALSE()),Scoring!$C$49)))</f>
        <v>5</v>
      </c>
      <c r="AI318" s="23" t="n">
        <f aca="false">C318+IF(ISNUMBER(J318),J318,0)/100000+(10000-ROW())/1000000000</f>
        <v>52.000969682</v>
      </c>
      <c r="AJ318" s="18"/>
      <c r="AK318" s="18"/>
      <c r="AL318" s="18"/>
      <c r="AM318" s="18"/>
    </row>
    <row r="319" customFormat="false" ht="15" hidden="false" customHeight="false" outlineLevel="0" collapsed="false">
      <c r="A319" s="15" t="n">
        <f aca="false">RANK(AI319,$AI$2:$AI$755)</f>
        <v>318</v>
      </c>
      <c r="B319" s="16" t="str">
        <f aca="false">IF(T319="Y","Superseded",IF(C319&gt;=Scoring!$B$16,"Immediate",IF(C319&gt;=Scoring!$B$17,"This week",IF(C319&gt;=Scoring!$B$18,"Nurture","Low"))))</f>
        <v>This week</v>
      </c>
      <c r="C319" s="3" t="n">
        <f aca="false">SUM(AC319:AH319)</f>
        <v>52</v>
      </c>
      <c r="D319" s="15" t="str">
        <f aca="false">IF(T319="Y","Superseded record",IF(AND(U319&lt;&gt;"",AA319&lt;0),"Expired (verified)",IF(AND(U319&lt;&gt;"",AA319&lt;=Scoring!$B$5),"Expiring: notice window (verified)",IF(AND(U319&lt;&gt;"",AA319&lt;=Scoring!$B$6),"Expiring: 10-yr horizon (verified)",IF(M319="No Longer Monitored","Out of program",IF(N319="","Unknown vintage",IF(N319&lt;Scoring!$B$12,"Pre-1990, still listed",IF(AND(U319="",AA319&lt;0),"Past 30-yr mark (verify)",IF(AND(U319="",AA319&lt;=Scoring!$B$5),"30-yr mark: notice window (est.)",IF(AND(O319&gt;=Scoring!$B$7,O319&lt;=Scoring!$B$8),"Year-15 window",IF(O319&gt;=Scoring!$B$9,"Recap window",IF(O319&gt;=11,"Late compliance","Credit period"))))))))))))</f>
        <v>Recap window</v>
      </c>
      <c r="E319" s="15" t="s">
        <v>1251</v>
      </c>
      <c r="F319" s="15" t="s">
        <v>1252</v>
      </c>
      <c r="G319" s="15" t="s">
        <v>1253</v>
      </c>
      <c r="H319" s="15" t="s">
        <v>240</v>
      </c>
      <c r="I319" s="15" t="s">
        <v>241</v>
      </c>
      <c r="J319" s="15" t="n">
        <v>91</v>
      </c>
      <c r="K319" s="15" t="n">
        <v>91</v>
      </c>
      <c r="L319" s="15" t="n">
        <f aca="false">IF(OR(J319="",K319=""),"",MAX(J319-K319,0))</f>
        <v>0</v>
      </c>
      <c r="M319" s="15" t="s">
        <v>99</v>
      </c>
      <c r="N319" s="17" t="n">
        <v>2000</v>
      </c>
      <c r="O319" s="15" t="n">
        <f aca="false">IF(N319="","",Scoring!$B$4-N319)</f>
        <v>26</v>
      </c>
      <c r="P319" s="15" t="n">
        <f aca="false">IF(N319="","",N319+14)</f>
        <v>2014</v>
      </c>
      <c r="Q319" s="15" t="n">
        <f aca="false">IF(N319="","",IF(N319&lt;Scoring!$B$12,"n/a (pre-1990)",N319+Scoring!$B$13))</f>
        <v>2029</v>
      </c>
      <c r="R319" s="15" t="str">
        <f aca="false">IF(J319="","Unknown",IF(J319&gt;=5,"Yes","No (under 5 units)"))</f>
        <v>Yes</v>
      </c>
      <c r="S319" s="15"/>
      <c r="T319" s="18"/>
      <c r="U319" s="19"/>
      <c r="V319" s="18"/>
      <c r="W319" s="18"/>
      <c r="X319" s="20"/>
      <c r="Y319" s="18"/>
      <c r="Z319" s="18"/>
      <c r="AA319" s="21" t="n">
        <f aca="false">IF(U319&lt;&gt;"",(U319-Scoring!$B$3)/365.25,IF(N319="","",IF(N319&lt;Scoring!$B$12,"",(DATE(N319+Scoring!$B$13,12,31)-Scoring!$B$3)/365.25)))</f>
        <v>3.24709103353867</v>
      </c>
      <c r="AB319" s="22" t="n">
        <f aca="false">IF(T319="Y",0,IF(OR(D319="Expired (verified)",D319="Expiring: notice window (verified)",D319="Expiring: 10-yr horizon (verified)",D319="Past 30-yr mark (verify)",D319="30-yr mark: notice window (est.)",D319="Year-15 window"),1,0)+IF(ISNUMBER(O319),IF(O319&gt;=Scoring!$B$10,1,0),0)+IF(AND(ISNUMBER(L319),ISNUMBER(J319)),IF(J319&gt;0,IF(L319/J319&gt;=Scoring!$B$11,1,0),0),0)+IF(ISNUMBER(Z319),MIN(Z319,3),0))</f>
        <v>1</v>
      </c>
      <c r="AC319" s="22" t="n">
        <f aca="false">IF(AB319&gt;=3,Scoring!$C$24,IF(AB319=2,Scoring!$C$23,IF(AB319=1,Scoring!$C$22,0)))</f>
        <v>10</v>
      </c>
      <c r="AD319" s="22" t="n">
        <f aca="false">IF(T319="Y",0,IF(ISNUMBER(X319),IF(X319&gt;0.7,Scoring!$C$25,IF(X319&gt;=0.5,Scoring!$C$26,IF(X319&gt;=0.3,Scoring!$C$27,Scoring!$C$28))),Scoring!$C$29))</f>
        <v>10</v>
      </c>
      <c r="AE319" s="22" t="n">
        <f aca="false">IF(D319="Expiring: notice window (verified)",Scoring!$C$30,IF(OR(D319="Expired (verified)",D319="30-yr mark: notice window (est.)",D319="Year-15 window"),Scoring!$C$31,IF(D319="Expiring: 10-yr horizon (verified)",Scoring!$C$32,IF(D319="Past 30-yr mark (verify)",Scoring!$C$33,IF(OR(D319="Credit period",D319="Superseded record"),Scoring!$C$35,Scoring!$C$34)))))</f>
        <v>4</v>
      </c>
      <c r="AF319" s="22" t="n">
        <f aca="false">IF(T319="Y",0,IF(ISNUMBER(V319),IF(Scoring!$B$4-V319&gt;15,Scoring!$C$36,IF(Scoring!$B$4-V319&gt;=10,Scoring!$C$37,IF(Scoring!$B$4-V319&gt;=5,Scoring!$C$38,Scoring!$C$39))),IF(OR(N319="",D319="Out of program"),Scoring!$C$40,IF(O319&gt;15,Scoring!$C$36,IF(O319&gt;=10,Scoring!$C$37,IF(O319&gt;=5,Scoring!$C$38,Scoring!$C$39))))))</f>
        <v>15</v>
      </c>
      <c r="AG319" s="22" t="n">
        <f aca="false">IF(T319="Y",0,IF(Y319="Y",Scoring!$C$41,IF(ISNUMBER(O319),IF(O319&gt;=25,Scoring!$C$42,IF(O319&gt;=15,Scoring!$C$43,Scoring!$C$44)),Scoring!$C$44)))</f>
        <v>8</v>
      </c>
      <c r="AH319" s="22" t="n">
        <f aca="false">IF(T319="Y",0,IF(W319="",Scoring!$C$49,IFERROR(VLOOKUP(W319,Scoring!$B$45:$C$48,2,FALSE()),Scoring!$C$49)))</f>
        <v>5</v>
      </c>
      <c r="AI319" s="23" t="n">
        <f aca="false">C319+IF(ISNUMBER(J319),J319,0)/100000+(10000-ROW())/1000000000</f>
        <v>52.000919681</v>
      </c>
      <c r="AJ319" s="18"/>
      <c r="AK319" s="18"/>
      <c r="AL319" s="18"/>
      <c r="AM319" s="18"/>
    </row>
    <row r="320" customFormat="false" ht="15" hidden="false" customHeight="false" outlineLevel="0" collapsed="false">
      <c r="A320" s="15" t="n">
        <f aca="false">RANK(AI320,$AI$2:$AI$755)</f>
        <v>319</v>
      </c>
      <c r="B320" s="16" t="str">
        <f aca="false">IF(T320="Y","Superseded",IF(C320&gt;=Scoring!$B$16,"Immediate",IF(C320&gt;=Scoring!$B$17,"This week",IF(C320&gt;=Scoring!$B$18,"Nurture","Low"))))</f>
        <v>This week</v>
      </c>
      <c r="C320" s="3" t="n">
        <f aca="false">SUM(AC320:AH320)</f>
        <v>52</v>
      </c>
      <c r="D320" s="15" t="str">
        <f aca="false">IF(T320="Y","Superseded record",IF(AND(U320&lt;&gt;"",AA320&lt;0),"Expired (verified)",IF(AND(U320&lt;&gt;"",AA320&lt;=Scoring!$B$5),"Expiring: notice window (verified)",IF(AND(U320&lt;&gt;"",AA320&lt;=Scoring!$B$6),"Expiring: 10-yr horizon (verified)",IF(M320="No Longer Monitored","Out of program",IF(N320="","Unknown vintage",IF(N320&lt;Scoring!$B$12,"Pre-1990, still listed",IF(AND(U320="",AA320&lt;0),"Past 30-yr mark (verify)",IF(AND(U320="",AA320&lt;=Scoring!$B$5),"30-yr mark: notice window (est.)",IF(AND(O320&gt;=Scoring!$B$7,O320&lt;=Scoring!$B$8),"Year-15 window",IF(O320&gt;=Scoring!$B$9,"Recap window",IF(O320&gt;=11,"Late compliance","Credit period"))))))))))))</f>
        <v>Recap window</v>
      </c>
      <c r="E320" s="15" t="s">
        <v>1254</v>
      </c>
      <c r="F320" s="15" t="s">
        <v>1255</v>
      </c>
      <c r="G320" s="15" t="s">
        <v>1256</v>
      </c>
      <c r="H320" s="15" t="s">
        <v>97</v>
      </c>
      <c r="I320" s="15" t="s">
        <v>863</v>
      </c>
      <c r="J320" s="15" t="n">
        <v>88</v>
      </c>
      <c r="K320" s="15" t="n">
        <v>87</v>
      </c>
      <c r="L320" s="15" t="n">
        <f aca="false">IF(OR(J320="",K320=""),"",MAX(J320-K320,0))</f>
        <v>1</v>
      </c>
      <c r="M320" s="15" t="s">
        <v>99</v>
      </c>
      <c r="N320" s="17" t="n">
        <v>2001</v>
      </c>
      <c r="O320" s="15" t="n">
        <f aca="false">IF(N320="","",Scoring!$B$4-N320)</f>
        <v>25</v>
      </c>
      <c r="P320" s="15" t="n">
        <f aca="false">IF(N320="","",N320+14)</f>
        <v>2015</v>
      </c>
      <c r="Q320" s="15" t="n">
        <f aca="false">IF(N320="","",IF(N320&lt;Scoring!$B$12,"n/a (pre-1990)",N320+Scoring!$B$13))</f>
        <v>2030</v>
      </c>
      <c r="R320" s="15" t="str">
        <f aca="false">IF(J320="","Unknown",IF(J320&gt;=5,"Yes","No (under 5 units)"))</f>
        <v>Yes</v>
      </c>
      <c r="S320" s="15"/>
      <c r="T320" s="18"/>
      <c r="U320" s="19"/>
      <c r="V320" s="18"/>
      <c r="W320" s="18"/>
      <c r="X320" s="20"/>
      <c r="Y320" s="18"/>
      <c r="Z320" s="18"/>
      <c r="AA320" s="21" t="n">
        <f aca="false">IF(U320&lt;&gt;"",(U320-Scoring!$B$3)/365.25,IF(N320="","",IF(N320&lt;Scoring!$B$12,"",(DATE(N320+Scoring!$B$13,12,31)-Scoring!$B$3)/365.25)))</f>
        <v>4.24640657084189</v>
      </c>
      <c r="AB320" s="22" t="n">
        <f aca="false">IF(T320="Y",0,IF(OR(D320="Expired (verified)",D320="Expiring: notice window (verified)",D320="Expiring: 10-yr horizon (verified)",D320="Past 30-yr mark (verify)",D320="30-yr mark: notice window (est.)",D320="Year-15 window"),1,0)+IF(ISNUMBER(O320),IF(O320&gt;=Scoring!$B$10,1,0),0)+IF(AND(ISNUMBER(L320),ISNUMBER(J320)),IF(J320&gt;0,IF(L320/J320&gt;=Scoring!$B$11,1,0),0),0)+IF(ISNUMBER(Z320),MIN(Z320,3),0))</f>
        <v>1</v>
      </c>
      <c r="AC320" s="22" t="n">
        <f aca="false">IF(AB320&gt;=3,Scoring!$C$24,IF(AB320=2,Scoring!$C$23,IF(AB320=1,Scoring!$C$22,0)))</f>
        <v>10</v>
      </c>
      <c r="AD320" s="22" t="n">
        <f aca="false">IF(T320="Y",0,IF(ISNUMBER(X320),IF(X320&gt;0.7,Scoring!$C$25,IF(X320&gt;=0.5,Scoring!$C$26,IF(X320&gt;=0.3,Scoring!$C$27,Scoring!$C$28))),Scoring!$C$29))</f>
        <v>10</v>
      </c>
      <c r="AE320" s="22" t="n">
        <f aca="false">IF(D320="Expiring: notice window (verified)",Scoring!$C$30,IF(OR(D320="Expired (verified)",D320="30-yr mark: notice window (est.)",D320="Year-15 window"),Scoring!$C$31,IF(D320="Expiring: 10-yr horizon (verified)",Scoring!$C$32,IF(D320="Past 30-yr mark (verify)",Scoring!$C$33,IF(OR(D320="Credit period",D320="Superseded record"),Scoring!$C$35,Scoring!$C$34)))))</f>
        <v>4</v>
      </c>
      <c r="AF320" s="22" t="n">
        <f aca="false">IF(T320="Y",0,IF(ISNUMBER(V320),IF(Scoring!$B$4-V320&gt;15,Scoring!$C$36,IF(Scoring!$B$4-V320&gt;=10,Scoring!$C$37,IF(Scoring!$B$4-V320&gt;=5,Scoring!$C$38,Scoring!$C$39))),IF(OR(N320="",D320="Out of program"),Scoring!$C$40,IF(O320&gt;15,Scoring!$C$36,IF(O320&gt;=10,Scoring!$C$37,IF(O320&gt;=5,Scoring!$C$38,Scoring!$C$39))))))</f>
        <v>15</v>
      </c>
      <c r="AG320" s="22" t="n">
        <f aca="false">IF(T320="Y",0,IF(Y320="Y",Scoring!$C$41,IF(ISNUMBER(O320),IF(O320&gt;=25,Scoring!$C$42,IF(O320&gt;=15,Scoring!$C$43,Scoring!$C$44)),Scoring!$C$44)))</f>
        <v>8</v>
      </c>
      <c r="AH320" s="22" t="n">
        <f aca="false">IF(T320="Y",0,IF(W320="",Scoring!$C$49,IFERROR(VLOOKUP(W320,Scoring!$B$45:$C$48,2,FALSE()),Scoring!$C$49)))</f>
        <v>5</v>
      </c>
      <c r="AI320" s="23" t="n">
        <f aca="false">C320+IF(ISNUMBER(J320),J320,0)/100000+(10000-ROW())/1000000000</f>
        <v>52.00088968</v>
      </c>
      <c r="AJ320" s="18"/>
      <c r="AK320" s="18"/>
      <c r="AL320" s="18"/>
      <c r="AM320" s="18"/>
    </row>
    <row r="321" customFormat="false" ht="15" hidden="false" customHeight="false" outlineLevel="0" collapsed="false">
      <c r="A321" s="15" t="n">
        <f aca="false">RANK(AI321,$AI$2:$AI$755)</f>
        <v>320</v>
      </c>
      <c r="B321" s="16" t="str">
        <f aca="false">IF(T321="Y","Superseded",IF(C321&gt;=Scoring!$B$16,"Immediate",IF(C321&gt;=Scoring!$B$17,"This week",IF(C321&gt;=Scoring!$B$18,"Nurture","Low"))))</f>
        <v>This week</v>
      </c>
      <c r="C321" s="3" t="n">
        <f aca="false">SUM(AC321:AH321)</f>
        <v>52</v>
      </c>
      <c r="D321" s="15" t="str">
        <f aca="false">IF(T321="Y","Superseded record",IF(AND(U321&lt;&gt;"",AA321&lt;0),"Expired (verified)",IF(AND(U321&lt;&gt;"",AA321&lt;=Scoring!$B$5),"Expiring: notice window (verified)",IF(AND(U321&lt;&gt;"",AA321&lt;=Scoring!$B$6),"Expiring: 10-yr horizon (verified)",IF(M321="No Longer Monitored","Out of program",IF(N321="","Unknown vintage",IF(N321&lt;Scoring!$B$12,"Pre-1990, still listed",IF(AND(U321="",AA321&lt;0),"Past 30-yr mark (verify)",IF(AND(U321="",AA321&lt;=Scoring!$B$5),"30-yr mark: notice window (est.)",IF(AND(O321&gt;=Scoring!$B$7,O321&lt;=Scoring!$B$8),"Year-15 window",IF(O321&gt;=Scoring!$B$9,"Recap window",IF(O321&gt;=11,"Late compliance","Credit period"))))))))))))</f>
        <v>Recap window</v>
      </c>
      <c r="E321" s="15" t="s">
        <v>1257</v>
      </c>
      <c r="F321" s="15" t="s">
        <v>1258</v>
      </c>
      <c r="G321" s="15" t="s">
        <v>1259</v>
      </c>
      <c r="H321" s="15" t="s">
        <v>97</v>
      </c>
      <c r="I321" s="15" t="s">
        <v>362</v>
      </c>
      <c r="J321" s="15" t="n">
        <v>72</v>
      </c>
      <c r="K321" s="15" t="n">
        <v>72</v>
      </c>
      <c r="L321" s="15" t="n">
        <f aca="false">IF(OR(J321="",K321=""),"",MAX(J321-K321,0))</f>
        <v>0</v>
      </c>
      <c r="M321" s="15" t="s">
        <v>99</v>
      </c>
      <c r="N321" s="17" t="n">
        <v>2000</v>
      </c>
      <c r="O321" s="15" t="n">
        <f aca="false">IF(N321="","",Scoring!$B$4-N321)</f>
        <v>26</v>
      </c>
      <c r="P321" s="15" t="n">
        <f aca="false">IF(N321="","",N321+14)</f>
        <v>2014</v>
      </c>
      <c r="Q321" s="15" t="n">
        <f aca="false">IF(N321="","",IF(N321&lt;Scoring!$B$12,"n/a (pre-1990)",N321+Scoring!$B$13))</f>
        <v>2029</v>
      </c>
      <c r="R321" s="15" t="str">
        <f aca="false">IF(J321="","Unknown",IF(J321&gt;=5,"Yes","No (under 5 units)"))</f>
        <v>Yes</v>
      </c>
      <c r="S321" s="15"/>
      <c r="T321" s="18"/>
      <c r="U321" s="19"/>
      <c r="V321" s="18"/>
      <c r="W321" s="18"/>
      <c r="X321" s="20"/>
      <c r="Y321" s="18"/>
      <c r="Z321" s="18"/>
      <c r="AA321" s="21" t="n">
        <f aca="false">IF(U321&lt;&gt;"",(U321-Scoring!$B$3)/365.25,IF(N321="","",IF(N321&lt;Scoring!$B$12,"",(DATE(N321+Scoring!$B$13,12,31)-Scoring!$B$3)/365.25)))</f>
        <v>3.24709103353867</v>
      </c>
      <c r="AB321" s="22" t="n">
        <f aca="false">IF(T321="Y",0,IF(OR(D321="Expired (verified)",D321="Expiring: notice window (verified)",D321="Expiring: 10-yr horizon (verified)",D321="Past 30-yr mark (verify)",D321="30-yr mark: notice window (est.)",D321="Year-15 window"),1,0)+IF(ISNUMBER(O321),IF(O321&gt;=Scoring!$B$10,1,0),0)+IF(AND(ISNUMBER(L321),ISNUMBER(J321)),IF(J321&gt;0,IF(L321/J321&gt;=Scoring!$B$11,1,0),0),0)+IF(ISNUMBER(Z321),MIN(Z321,3),0))</f>
        <v>1</v>
      </c>
      <c r="AC321" s="22" t="n">
        <f aca="false">IF(AB321&gt;=3,Scoring!$C$24,IF(AB321=2,Scoring!$C$23,IF(AB321=1,Scoring!$C$22,0)))</f>
        <v>10</v>
      </c>
      <c r="AD321" s="22" t="n">
        <f aca="false">IF(T321="Y",0,IF(ISNUMBER(X321),IF(X321&gt;0.7,Scoring!$C$25,IF(X321&gt;=0.5,Scoring!$C$26,IF(X321&gt;=0.3,Scoring!$C$27,Scoring!$C$28))),Scoring!$C$29))</f>
        <v>10</v>
      </c>
      <c r="AE321" s="22" t="n">
        <f aca="false">IF(D321="Expiring: notice window (verified)",Scoring!$C$30,IF(OR(D321="Expired (verified)",D321="30-yr mark: notice window (est.)",D321="Year-15 window"),Scoring!$C$31,IF(D321="Expiring: 10-yr horizon (verified)",Scoring!$C$32,IF(D321="Past 30-yr mark (verify)",Scoring!$C$33,IF(OR(D321="Credit period",D321="Superseded record"),Scoring!$C$35,Scoring!$C$34)))))</f>
        <v>4</v>
      </c>
      <c r="AF321" s="22" t="n">
        <f aca="false">IF(T321="Y",0,IF(ISNUMBER(V321),IF(Scoring!$B$4-V321&gt;15,Scoring!$C$36,IF(Scoring!$B$4-V321&gt;=10,Scoring!$C$37,IF(Scoring!$B$4-V321&gt;=5,Scoring!$C$38,Scoring!$C$39))),IF(OR(N321="",D321="Out of program"),Scoring!$C$40,IF(O321&gt;15,Scoring!$C$36,IF(O321&gt;=10,Scoring!$C$37,IF(O321&gt;=5,Scoring!$C$38,Scoring!$C$39))))))</f>
        <v>15</v>
      </c>
      <c r="AG321" s="22" t="n">
        <f aca="false">IF(T321="Y",0,IF(Y321="Y",Scoring!$C$41,IF(ISNUMBER(O321),IF(O321&gt;=25,Scoring!$C$42,IF(O321&gt;=15,Scoring!$C$43,Scoring!$C$44)),Scoring!$C$44)))</f>
        <v>8</v>
      </c>
      <c r="AH321" s="22" t="n">
        <f aca="false">IF(T321="Y",0,IF(W321="",Scoring!$C$49,IFERROR(VLOOKUP(W321,Scoring!$B$45:$C$48,2,FALSE()),Scoring!$C$49)))</f>
        <v>5</v>
      </c>
      <c r="AI321" s="23" t="n">
        <f aca="false">C321+IF(ISNUMBER(J321),J321,0)/100000+(10000-ROW())/1000000000</f>
        <v>52.000729679</v>
      </c>
      <c r="AJ321" s="18"/>
      <c r="AK321" s="18"/>
      <c r="AL321" s="18"/>
      <c r="AM321" s="18"/>
    </row>
    <row r="322" customFormat="false" ht="15" hidden="false" customHeight="false" outlineLevel="0" collapsed="false">
      <c r="A322" s="15" t="n">
        <f aca="false">RANK(AI322,$AI$2:$AI$755)</f>
        <v>321</v>
      </c>
      <c r="B322" s="16" t="str">
        <f aca="false">IF(T322="Y","Superseded",IF(C322&gt;=Scoring!$B$16,"Immediate",IF(C322&gt;=Scoring!$B$17,"This week",IF(C322&gt;=Scoring!$B$18,"Nurture","Low"))))</f>
        <v>This week</v>
      </c>
      <c r="C322" s="3" t="n">
        <f aca="false">SUM(AC322:AH322)</f>
        <v>52</v>
      </c>
      <c r="D322" s="15" t="str">
        <f aca="false">IF(T322="Y","Superseded record",IF(AND(U322&lt;&gt;"",AA322&lt;0),"Expired (verified)",IF(AND(U322&lt;&gt;"",AA322&lt;=Scoring!$B$5),"Expiring: notice window (verified)",IF(AND(U322&lt;&gt;"",AA322&lt;=Scoring!$B$6),"Expiring: 10-yr horizon (verified)",IF(M322="No Longer Monitored","Out of program",IF(N322="","Unknown vintage",IF(N322&lt;Scoring!$B$12,"Pre-1990, still listed",IF(AND(U322="",AA322&lt;0),"Past 30-yr mark (verify)",IF(AND(U322="",AA322&lt;=Scoring!$B$5),"30-yr mark: notice window (est.)",IF(AND(O322&gt;=Scoring!$B$7,O322&lt;=Scoring!$B$8),"Year-15 window",IF(O322&gt;=Scoring!$B$9,"Recap window",IF(O322&gt;=11,"Late compliance","Credit period"))))))))))))</f>
        <v>Pre-1990, still listed</v>
      </c>
      <c r="E322" s="15" t="s">
        <v>1260</v>
      </c>
      <c r="F322" s="15" t="s">
        <v>1261</v>
      </c>
      <c r="G322" s="15" t="s">
        <v>1262</v>
      </c>
      <c r="H322" s="15" t="s">
        <v>97</v>
      </c>
      <c r="I322" s="15" t="s">
        <v>160</v>
      </c>
      <c r="J322" s="15" t="n">
        <v>70</v>
      </c>
      <c r="K322" s="15" t="n">
        <v>70</v>
      </c>
      <c r="L322" s="15" t="n">
        <f aca="false">IF(OR(J322="",K322=""),"",MAX(J322-K322,0))</f>
        <v>0</v>
      </c>
      <c r="M322" s="15" t="s">
        <v>99</v>
      </c>
      <c r="N322" s="17" t="n">
        <v>1987</v>
      </c>
      <c r="O322" s="15" t="n">
        <f aca="false">IF(N322="","",Scoring!$B$4-N322)</f>
        <v>39</v>
      </c>
      <c r="P322" s="15" t="n">
        <f aca="false">IF(N322="","",N322+14)</f>
        <v>2001</v>
      </c>
      <c r="Q322" s="15" t="str">
        <f aca="false">IF(N322="","",IF(N322&lt;Scoring!$B$12,"n/a (pre-1990)",N322+Scoring!$B$13))</f>
        <v>n/a (pre-1990)</v>
      </c>
      <c r="R322" s="15" t="str">
        <f aca="false">IF(J322="","Unknown",IF(J322&gt;=5,"Yes","No (under 5 units)"))</f>
        <v>Yes</v>
      </c>
      <c r="S322" s="15"/>
      <c r="T322" s="18"/>
      <c r="U322" s="19"/>
      <c r="V322" s="18"/>
      <c r="W322" s="18"/>
      <c r="X322" s="20"/>
      <c r="Y322" s="18"/>
      <c r="Z322" s="18"/>
      <c r="AA322" s="21" t="str">
        <f aca="false">IF(U322&lt;&gt;"",(U322-Scoring!$B$3)/365.25,IF(N322="","",IF(N322&lt;Scoring!$B$12,"",(DATE(N322+Scoring!$B$13,12,31)-Scoring!$B$3)/365.25)))</f>
        <v/>
      </c>
      <c r="AB322" s="22" t="n">
        <f aca="false">IF(T322="Y",0,IF(OR(D322="Expired (verified)",D322="Expiring: notice window (verified)",D322="Expiring: 10-yr horizon (verified)",D322="Past 30-yr mark (verify)",D322="30-yr mark: notice window (est.)",D322="Year-15 window"),1,0)+IF(ISNUMBER(O322),IF(O322&gt;=Scoring!$B$10,1,0),0)+IF(AND(ISNUMBER(L322),ISNUMBER(J322)),IF(J322&gt;0,IF(L322/J322&gt;=Scoring!$B$11,1,0),0),0)+IF(ISNUMBER(Z322),MIN(Z322,3),0))</f>
        <v>1</v>
      </c>
      <c r="AC322" s="22" t="n">
        <f aca="false">IF(AB322&gt;=3,Scoring!$C$24,IF(AB322=2,Scoring!$C$23,IF(AB322=1,Scoring!$C$22,0)))</f>
        <v>10</v>
      </c>
      <c r="AD322" s="22" t="n">
        <f aca="false">IF(T322="Y",0,IF(ISNUMBER(X322),IF(X322&gt;0.7,Scoring!$C$25,IF(X322&gt;=0.5,Scoring!$C$26,IF(X322&gt;=0.3,Scoring!$C$27,Scoring!$C$28))),Scoring!$C$29))</f>
        <v>10</v>
      </c>
      <c r="AE322" s="22" t="n">
        <f aca="false">IF(D322="Expiring: notice window (verified)",Scoring!$C$30,IF(OR(D322="Expired (verified)",D322="30-yr mark: notice window (est.)",D322="Year-15 window"),Scoring!$C$31,IF(D322="Expiring: 10-yr horizon (verified)",Scoring!$C$32,IF(D322="Past 30-yr mark (verify)",Scoring!$C$33,IF(OR(D322="Credit period",D322="Superseded record"),Scoring!$C$35,Scoring!$C$34)))))</f>
        <v>4</v>
      </c>
      <c r="AF322" s="22" t="n">
        <f aca="false">IF(T322="Y",0,IF(ISNUMBER(V322),IF(Scoring!$B$4-V322&gt;15,Scoring!$C$36,IF(Scoring!$B$4-V322&gt;=10,Scoring!$C$37,IF(Scoring!$B$4-V322&gt;=5,Scoring!$C$38,Scoring!$C$39))),IF(OR(N322="",D322="Out of program"),Scoring!$C$40,IF(O322&gt;15,Scoring!$C$36,IF(O322&gt;=10,Scoring!$C$37,IF(O322&gt;=5,Scoring!$C$38,Scoring!$C$39))))))</f>
        <v>15</v>
      </c>
      <c r="AG322" s="22" t="n">
        <f aca="false">IF(T322="Y",0,IF(Y322="Y",Scoring!$C$41,IF(ISNUMBER(O322),IF(O322&gt;=25,Scoring!$C$42,IF(O322&gt;=15,Scoring!$C$43,Scoring!$C$44)),Scoring!$C$44)))</f>
        <v>8</v>
      </c>
      <c r="AH322" s="22" t="n">
        <f aca="false">IF(T322="Y",0,IF(W322="",Scoring!$C$49,IFERROR(VLOOKUP(W322,Scoring!$B$45:$C$48,2,FALSE()),Scoring!$C$49)))</f>
        <v>5</v>
      </c>
      <c r="AI322" s="23" t="n">
        <f aca="false">C322+IF(ISNUMBER(J322),J322,0)/100000+(10000-ROW())/1000000000</f>
        <v>52.000709678</v>
      </c>
      <c r="AJ322" s="18"/>
      <c r="AK322" s="18"/>
      <c r="AL322" s="18"/>
      <c r="AM322" s="18"/>
    </row>
    <row r="323" customFormat="false" ht="15" hidden="false" customHeight="false" outlineLevel="0" collapsed="false">
      <c r="A323" s="15" t="n">
        <f aca="false">RANK(AI323,$AI$2:$AI$755)</f>
        <v>322</v>
      </c>
      <c r="B323" s="16" t="str">
        <f aca="false">IF(T323="Y","Superseded",IF(C323&gt;=Scoring!$B$16,"Immediate",IF(C323&gt;=Scoring!$B$17,"This week",IF(C323&gt;=Scoring!$B$18,"Nurture","Low"))))</f>
        <v>This week</v>
      </c>
      <c r="C323" s="3" t="n">
        <f aca="false">SUM(AC323:AH323)</f>
        <v>52</v>
      </c>
      <c r="D323" s="15" t="str">
        <f aca="false">IF(T323="Y","Superseded record",IF(AND(U323&lt;&gt;"",AA323&lt;0),"Expired (verified)",IF(AND(U323&lt;&gt;"",AA323&lt;=Scoring!$B$5),"Expiring: notice window (verified)",IF(AND(U323&lt;&gt;"",AA323&lt;=Scoring!$B$6),"Expiring: 10-yr horizon (verified)",IF(M323="No Longer Monitored","Out of program",IF(N323="","Unknown vintage",IF(N323&lt;Scoring!$B$12,"Pre-1990, still listed",IF(AND(U323="",AA323&lt;0),"Past 30-yr mark (verify)",IF(AND(U323="",AA323&lt;=Scoring!$B$5),"30-yr mark: notice window (est.)",IF(AND(O323&gt;=Scoring!$B$7,O323&lt;=Scoring!$B$8),"Year-15 window",IF(O323&gt;=Scoring!$B$9,"Recap window",IF(O323&gt;=11,"Late compliance","Credit period"))))))))))))</f>
        <v>Recap window</v>
      </c>
      <c r="E323" s="15" t="s">
        <v>1263</v>
      </c>
      <c r="F323" s="15" t="s">
        <v>1264</v>
      </c>
      <c r="G323" s="15" t="s">
        <v>1265</v>
      </c>
      <c r="H323" s="15" t="s">
        <v>240</v>
      </c>
      <c r="I323" s="15" t="s">
        <v>733</v>
      </c>
      <c r="J323" s="15" t="n">
        <v>65</v>
      </c>
      <c r="K323" s="15" t="n">
        <v>65</v>
      </c>
      <c r="L323" s="15" t="n">
        <f aca="false">IF(OR(J323="",K323=""),"",MAX(J323-K323,0))</f>
        <v>0</v>
      </c>
      <c r="M323" s="15" t="s">
        <v>99</v>
      </c>
      <c r="N323" s="17" t="n">
        <v>2001</v>
      </c>
      <c r="O323" s="15" t="n">
        <f aca="false">IF(N323="","",Scoring!$B$4-N323)</f>
        <v>25</v>
      </c>
      <c r="P323" s="15" t="n">
        <f aca="false">IF(N323="","",N323+14)</f>
        <v>2015</v>
      </c>
      <c r="Q323" s="15" t="n">
        <f aca="false">IF(N323="","",IF(N323&lt;Scoring!$B$12,"n/a (pre-1990)",N323+Scoring!$B$13))</f>
        <v>2030</v>
      </c>
      <c r="R323" s="15" t="str">
        <f aca="false">IF(J323="","Unknown",IF(J323&gt;=5,"Yes","No (under 5 units)"))</f>
        <v>Yes</v>
      </c>
      <c r="S323" s="15"/>
      <c r="T323" s="18"/>
      <c r="U323" s="19"/>
      <c r="V323" s="18"/>
      <c r="W323" s="18"/>
      <c r="X323" s="20"/>
      <c r="Y323" s="18"/>
      <c r="Z323" s="18"/>
      <c r="AA323" s="21" t="n">
        <f aca="false">IF(U323&lt;&gt;"",(U323-Scoring!$B$3)/365.25,IF(N323="","",IF(N323&lt;Scoring!$B$12,"",(DATE(N323+Scoring!$B$13,12,31)-Scoring!$B$3)/365.25)))</f>
        <v>4.24640657084189</v>
      </c>
      <c r="AB323" s="22" t="n">
        <f aca="false">IF(T323="Y",0,IF(OR(D323="Expired (verified)",D323="Expiring: notice window (verified)",D323="Expiring: 10-yr horizon (verified)",D323="Past 30-yr mark (verify)",D323="30-yr mark: notice window (est.)",D323="Year-15 window"),1,0)+IF(ISNUMBER(O323),IF(O323&gt;=Scoring!$B$10,1,0),0)+IF(AND(ISNUMBER(L323),ISNUMBER(J323)),IF(J323&gt;0,IF(L323/J323&gt;=Scoring!$B$11,1,0),0),0)+IF(ISNUMBER(Z323),MIN(Z323,3),0))</f>
        <v>1</v>
      </c>
      <c r="AC323" s="22" t="n">
        <f aca="false">IF(AB323&gt;=3,Scoring!$C$24,IF(AB323=2,Scoring!$C$23,IF(AB323=1,Scoring!$C$22,0)))</f>
        <v>10</v>
      </c>
      <c r="AD323" s="22" t="n">
        <f aca="false">IF(T323="Y",0,IF(ISNUMBER(X323),IF(X323&gt;0.7,Scoring!$C$25,IF(X323&gt;=0.5,Scoring!$C$26,IF(X323&gt;=0.3,Scoring!$C$27,Scoring!$C$28))),Scoring!$C$29))</f>
        <v>10</v>
      </c>
      <c r="AE323" s="22" t="n">
        <f aca="false">IF(D323="Expiring: notice window (verified)",Scoring!$C$30,IF(OR(D323="Expired (verified)",D323="30-yr mark: notice window (est.)",D323="Year-15 window"),Scoring!$C$31,IF(D323="Expiring: 10-yr horizon (verified)",Scoring!$C$32,IF(D323="Past 30-yr mark (verify)",Scoring!$C$33,IF(OR(D323="Credit period",D323="Superseded record"),Scoring!$C$35,Scoring!$C$34)))))</f>
        <v>4</v>
      </c>
      <c r="AF323" s="22" t="n">
        <f aca="false">IF(T323="Y",0,IF(ISNUMBER(V323),IF(Scoring!$B$4-V323&gt;15,Scoring!$C$36,IF(Scoring!$B$4-V323&gt;=10,Scoring!$C$37,IF(Scoring!$B$4-V323&gt;=5,Scoring!$C$38,Scoring!$C$39))),IF(OR(N323="",D323="Out of program"),Scoring!$C$40,IF(O323&gt;15,Scoring!$C$36,IF(O323&gt;=10,Scoring!$C$37,IF(O323&gt;=5,Scoring!$C$38,Scoring!$C$39))))))</f>
        <v>15</v>
      </c>
      <c r="AG323" s="22" t="n">
        <f aca="false">IF(T323="Y",0,IF(Y323="Y",Scoring!$C$41,IF(ISNUMBER(O323),IF(O323&gt;=25,Scoring!$C$42,IF(O323&gt;=15,Scoring!$C$43,Scoring!$C$44)),Scoring!$C$44)))</f>
        <v>8</v>
      </c>
      <c r="AH323" s="22" t="n">
        <f aca="false">IF(T323="Y",0,IF(W323="",Scoring!$C$49,IFERROR(VLOOKUP(W323,Scoring!$B$45:$C$48,2,FALSE()),Scoring!$C$49)))</f>
        <v>5</v>
      </c>
      <c r="AI323" s="23" t="n">
        <f aca="false">C323+IF(ISNUMBER(J323),J323,0)/100000+(10000-ROW())/1000000000</f>
        <v>52.000659677</v>
      </c>
      <c r="AJ323" s="18"/>
      <c r="AK323" s="18"/>
      <c r="AL323" s="18"/>
      <c r="AM323" s="18"/>
    </row>
    <row r="324" customFormat="false" ht="15" hidden="false" customHeight="false" outlineLevel="0" collapsed="false">
      <c r="A324" s="15" t="n">
        <f aca="false">RANK(AI324,$AI$2:$AI$755)</f>
        <v>323</v>
      </c>
      <c r="B324" s="16" t="str">
        <f aca="false">IF(T324="Y","Superseded",IF(C324&gt;=Scoring!$B$16,"Immediate",IF(C324&gt;=Scoring!$B$17,"This week",IF(C324&gt;=Scoring!$B$18,"Nurture","Low"))))</f>
        <v>This week</v>
      </c>
      <c r="C324" s="3" t="n">
        <f aca="false">SUM(AC324:AH324)</f>
        <v>52</v>
      </c>
      <c r="D324" s="15" t="str">
        <f aca="false">IF(T324="Y","Superseded record",IF(AND(U324&lt;&gt;"",AA324&lt;0),"Expired (verified)",IF(AND(U324&lt;&gt;"",AA324&lt;=Scoring!$B$5),"Expiring: notice window (verified)",IF(AND(U324&lt;&gt;"",AA324&lt;=Scoring!$B$6),"Expiring: 10-yr horizon (verified)",IF(M324="No Longer Monitored","Out of program",IF(N324="","Unknown vintage",IF(N324&lt;Scoring!$B$12,"Pre-1990, still listed",IF(AND(U324="",AA324&lt;0),"Past 30-yr mark (verify)",IF(AND(U324="",AA324&lt;=Scoring!$B$5),"30-yr mark: notice window (est.)",IF(AND(O324&gt;=Scoring!$B$7,O324&lt;=Scoring!$B$8),"Year-15 window",IF(O324&gt;=Scoring!$B$9,"Recap window",IF(O324&gt;=11,"Late compliance","Credit period"))))))))))))</f>
        <v>Recap window</v>
      </c>
      <c r="E324" s="15" t="s">
        <v>1266</v>
      </c>
      <c r="F324" s="15" t="s">
        <v>1267</v>
      </c>
      <c r="G324" s="15" t="s">
        <v>1268</v>
      </c>
      <c r="H324" s="15" t="s">
        <v>700</v>
      </c>
      <c r="I324" s="15" t="s">
        <v>701</v>
      </c>
      <c r="J324" s="15" t="n">
        <v>64</v>
      </c>
      <c r="K324" s="15" t="n">
        <v>64</v>
      </c>
      <c r="L324" s="15" t="n">
        <f aca="false">IF(OR(J324="",K324=""),"",MAX(J324-K324,0))</f>
        <v>0</v>
      </c>
      <c r="M324" s="15" t="s">
        <v>99</v>
      </c>
      <c r="N324" s="17" t="n">
        <v>2000</v>
      </c>
      <c r="O324" s="15" t="n">
        <f aca="false">IF(N324="","",Scoring!$B$4-N324)</f>
        <v>26</v>
      </c>
      <c r="P324" s="15" t="n">
        <f aca="false">IF(N324="","",N324+14)</f>
        <v>2014</v>
      </c>
      <c r="Q324" s="15" t="n">
        <f aca="false">IF(N324="","",IF(N324&lt;Scoring!$B$12,"n/a (pre-1990)",N324+Scoring!$B$13))</f>
        <v>2029</v>
      </c>
      <c r="R324" s="15" t="str">
        <f aca="false">IF(J324="","Unknown",IF(J324&gt;=5,"Yes","No (under 5 units)"))</f>
        <v>Yes</v>
      </c>
      <c r="S324" s="15"/>
      <c r="T324" s="18"/>
      <c r="U324" s="19"/>
      <c r="V324" s="18"/>
      <c r="W324" s="18"/>
      <c r="X324" s="20"/>
      <c r="Y324" s="18"/>
      <c r="Z324" s="18"/>
      <c r="AA324" s="21" t="n">
        <f aca="false">IF(U324&lt;&gt;"",(U324-Scoring!$B$3)/365.25,IF(N324="","",IF(N324&lt;Scoring!$B$12,"",(DATE(N324+Scoring!$B$13,12,31)-Scoring!$B$3)/365.25)))</f>
        <v>3.24709103353867</v>
      </c>
      <c r="AB324" s="22" t="n">
        <f aca="false">IF(T324="Y",0,IF(OR(D324="Expired (verified)",D324="Expiring: notice window (verified)",D324="Expiring: 10-yr horizon (verified)",D324="Past 30-yr mark (verify)",D324="30-yr mark: notice window (est.)",D324="Year-15 window"),1,0)+IF(ISNUMBER(O324),IF(O324&gt;=Scoring!$B$10,1,0),0)+IF(AND(ISNUMBER(L324),ISNUMBER(J324)),IF(J324&gt;0,IF(L324/J324&gt;=Scoring!$B$11,1,0),0),0)+IF(ISNUMBER(Z324),MIN(Z324,3),0))</f>
        <v>1</v>
      </c>
      <c r="AC324" s="22" t="n">
        <f aca="false">IF(AB324&gt;=3,Scoring!$C$24,IF(AB324=2,Scoring!$C$23,IF(AB324=1,Scoring!$C$22,0)))</f>
        <v>10</v>
      </c>
      <c r="AD324" s="22" t="n">
        <f aca="false">IF(T324="Y",0,IF(ISNUMBER(X324),IF(X324&gt;0.7,Scoring!$C$25,IF(X324&gt;=0.5,Scoring!$C$26,IF(X324&gt;=0.3,Scoring!$C$27,Scoring!$C$28))),Scoring!$C$29))</f>
        <v>10</v>
      </c>
      <c r="AE324" s="22" t="n">
        <f aca="false">IF(D324="Expiring: notice window (verified)",Scoring!$C$30,IF(OR(D324="Expired (verified)",D324="30-yr mark: notice window (est.)",D324="Year-15 window"),Scoring!$C$31,IF(D324="Expiring: 10-yr horizon (verified)",Scoring!$C$32,IF(D324="Past 30-yr mark (verify)",Scoring!$C$33,IF(OR(D324="Credit period",D324="Superseded record"),Scoring!$C$35,Scoring!$C$34)))))</f>
        <v>4</v>
      </c>
      <c r="AF324" s="22" t="n">
        <f aca="false">IF(T324="Y",0,IF(ISNUMBER(V324),IF(Scoring!$B$4-V324&gt;15,Scoring!$C$36,IF(Scoring!$B$4-V324&gt;=10,Scoring!$C$37,IF(Scoring!$B$4-V324&gt;=5,Scoring!$C$38,Scoring!$C$39))),IF(OR(N324="",D324="Out of program"),Scoring!$C$40,IF(O324&gt;15,Scoring!$C$36,IF(O324&gt;=10,Scoring!$C$37,IF(O324&gt;=5,Scoring!$C$38,Scoring!$C$39))))))</f>
        <v>15</v>
      </c>
      <c r="AG324" s="22" t="n">
        <f aca="false">IF(T324="Y",0,IF(Y324="Y",Scoring!$C$41,IF(ISNUMBER(O324),IF(O324&gt;=25,Scoring!$C$42,IF(O324&gt;=15,Scoring!$C$43,Scoring!$C$44)),Scoring!$C$44)))</f>
        <v>8</v>
      </c>
      <c r="AH324" s="22" t="n">
        <f aca="false">IF(T324="Y",0,IF(W324="",Scoring!$C$49,IFERROR(VLOOKUP(W324,Scoring!$B$45:$C$48,2,FALSE()),Scoring!$C$49)))</f>
        <v>5</v>
      </c>
      <c r="AI324" s="23" t="n">
        <f aca="false">C324+IF(ISNUMBER(J324),J324,0)/100000+(10000-ROW())/1000000000</f>
        <v>52.000649676</v>
      </c>
      <c r="AJ324" s="18"/>
      <c r="AK324" s="18"/>
      <c r="AL324" s="18"/>
      <c r="AM324" s="18"/>
    </row>
    <row r="325" customFormat="false" ht="15" hidden="false" customHeight="false" outlineLevel="0" collapsed="false">
      <c r="A325" s="15" t="n">
        <f aca="false">RANK(AI325,$AI$2:$AI$755)</f>
        <v>324</v>
      </c>
      <c r="B325" s="16" t="str">
        <f aca="false">IF(T325="Y","Superseded",IF(C325&gt;=Scoring!$B$16,"Immediate",IF(C325&gt;=Scoring!$B$17,"This week",IF(C325&gt;=Scoring!$B$18,"Nurture","Low"))))</f>
        <v>This week</v>
      </c>
      <c r="C325" s="3" t="n">
        <f aca="false">SUM(AC325:AH325)</f>
        <v>52</v>
      </c>
      <c r="D325" s="15" t="str">
        <f aca="false">IF(T325="Y","Superseded record",IF(AND(U325&lt;&gt;"",AA325&lt;0),"Expired (verified)",IF(AND(U325&lt;&gt;"",AA325&lt;=Scoring!$B$5),"Expiring: notice window (verified)",IF(AND(U325&lt;&gt;"",AA325&lt;=Scoring!$B$6),"Expiring: 10-yr horizon (verified)",IF(M325="No Longer Monitored","Out of program",IF(N325="","Unknown vintage",IF(N325&lt;Scoring!$B$12,"Pre-1990, still listed",IF(AND(U325="",AA325&lt;0),"Past 30-yr mark (verify)",IF(AND(U325="",AA325&lt;=Scoring!$B$5),"30-yr mark: notice window (est.)",IF(AND(O325&gt;=Scoring!$B$7,O325&lt;=Scoring!$B$8),"Year-15 window",IF(O325&gt;=Scoring!$B$9,"Recap window",IF(O325&gt;=11,"Late compliance","Credit period"))))))))))))</f>
        <v>Recap window</v>
      </c>
      <c r="E325" s="15" t="s">
        <v>1269</v>
      </c>
      <c r="F325" s="15" t="s">
        <v>1270</v>
      </c>
      <c r="G325" s="15" t="s">
        <v>1271</v>
      </c>
      <c r="H325" s="15" t="s">
        <v>97</v>
      </c>
      <c r="I325" s="15" t="s">
        <v>863</v>
      </c>
      <c r="J325" s="15" t="n">
        <v>63</v>
      </c>
      <c r="K325" s="15" t="n">
        <v>63</v>
      </c>
      <c r="L325" s="15" t="n">
        <f aca="false">IF(OR(J325="",K325=""),"",MAX(J325-K325,0))</f>
        <v>0</v>
      </c>
      <c r="M325" s="15" t="s">
        <v>99</v>
      </c>
      <c r="N325" s="17" t="n">
        <v>2000</v>
      </c>
      <c r="O325" s="15" t="n">
        <f aca="false">IF(N325="","",Scoring!$B$4-N325)</f>
        <v>26</v>
      </c>
      <c r="P325" s="15" t="n">
        <f aca="false">IF(N325="","",N325+14)</f>
        <v>2014</v>
      </c>
      <c r="Q325" s="15" t="n">
        <f aca="false">IF(N325="","",IF(N325&lt;Scoring!$B$12,"n/a (pre-1990)",N325+Scoring!$B$13))</f>
        <v>2029</v>
      </c>
      <c r="R325" s="15" t="str">
        <f aca="false">IF(J325="","Unknown",IF(J325&gt;=5,"Yes","No (under 5 units)"))</f>
        <v>Yes</v>
      </c>
      <c r="S325" s="15"/>
      <c r="T325" s="18"/>
      <c r="U325" s="19"/>
      <c r="V325" s="18"/>
      <c r="W325" s="18"/>
      <c r="X325" s="20"/>
      <c r="Y325" s="18"/>
      <c r="Z325" s="18"/>
      <c r="AA325" s="21" t="n">
        <f aca="false">IF(U325&lt;&gt;"",(U325-Scoring!$B$3)/365.25,IF(N325="","",IF(N325&lt;Scoring!$B$12,"",(DATE(N325+Scoring!$B$13,12,31)-Scoring!$B$3)/365.25)))</f>
        <v>3.24709103353867</v>
      </c>
      <c r="AB325" s="22" t="n">
        <f aca="false">IF(T325="Y",0,IF(OR(D325="Expired (verified)",D325="Expiring: notice window (verified)",D325="Expiring: 10-yr horizon (verified)",D325="Past 30-yr mark (verify)",D325="30-yr mark: notice window (est.)",D325="Year-15 window"),1,0)+IF(ISNUMBER(O325),IF(O325&gt;=Scoring!$B$10,1,0),0)+IF(AND(ISNUMBER(L325),ISNUMBER(J325)),IF(J325&gt;0,IF(L325/J325&gt;=Scoring!$B$11,1,0),0),0)+IF(ISNUMBER(Z325),MIN(Z325,3),0))</f>
        <v>1</v>
      </c>
      <c r="AC325" s="22" t="n">
        <f aca="false">IF(AB325&gt;=3,Scoring!$C$24,IF(AB325=2,Scoring!$C$23,IF(AB325=1,Scoring!$C$22,0)))</f>
        <v>10</v>
      </c>
      <c r="AD325" s="22" t="n">
        <f aca="false">IF(T325="Y",0,IF(ISNUMBER(X325),IF(X325&gt;0.7,Scoring!$C$25,IF(X325&gt;=0.5,Scoring!$C$26,IF(X325&gt;=0.3,Scoring!$C$27,Scoring!$C$28))),Scoring!$C$29))</f>
        <v>10</v>
      </c>
      <c r="AE325" s="22" t="n">
        <f aca="false">IF(D325="Expiring: notice window (verified)",Scoring!$C$30,IF(OR(D325="Expired (verified)",D325="30-yr mark: notice window (est.)",D325="Year-15 window"),Scoring!$C$31,IF(D325="Expiring: 10-yr horizon (verified)",Scoring!$C$32,IF(D325="Past 30-yr mark (verify)",Scoring!$C$33,IF(OR(D325="Credit period",D325="Superseded record"),Scoring!$C$35,Scoring!$C$34)))))</f>
        <v>4</v>
      </c>
      <c r="AF325" s="22" t="n">
        <f aca="false">IF(T325="Y",0,IF(ISNUMBER(V325),IF(Scoring!$B$4-V325&gt;15,Scoring!$C$36,IF(Scoring!$B$4-V325&gt;=10,Scoring!$C$37,IF(Scoring!$B$4-V325&gt;=5,Scoring!$C$38,Scoring!$C$39))),IF(OR(N325="",D325="Out of program"),Scoring!$C$40,IF(O325&gt;15,Scoring!$C$36,IF(O325&gt;=10,Scoring!$C$37,IF(O325&gt;=5,Scoring!$C$38,Scoring!$C$39))))))</f>
        <v>15</v>
      </c>
      <c r="AG325" s="22" t="n">
        <f aca="false">IF(T325="Y",0,IF(Y325="Y",Scoring!$C$41,IF(ISNUMBER(O325),IF(O325&gt;=25,Scoring!$C$42,IF(O325&gt;=15,Scoring!$C$43,Scoring!$C$44)),Scoring!$C$44)))</f>
        <v>8</v>
      </c>
      <c r="AH325" s="22" t="n">
        <f aca="false">IF(T325="Y",0,IF(W325="",Scoring!$C$49,IFERROR(VLOOKUP(W325,Scoring!$B$45:$C$48,2,FALSE()),Scoring!$C$49)))</f>
        <v>5</v>
      </c>
      <c r="AI325" s="23" t="n">
        <f aca="false">C325+IF(ISNUMBER(J325),J325,0)/100000+(10000-ROW())/1000000000</f>
        <v>52.000639675</v>
      </c>
      <c r="AJ325" s="18"/>
      <c r="AK325" s="18"/>
      <c r="AL325" s="18"/>
      <c r="AM325" s="18"/>
    </row>
    <row r="326" customFormat="false" ht="15" hidden="false" customHeight="false" outlineLevel="0" collapsed="false">
      <c r="A326" s="15" t="n">
        <f aca="false">RANK(AI326,$AI$2:$AI$755)</f>
        <v>325</v>
      </c>
      <c r="B326" s="16" t="str">
        <f aca="false">IF(T326="Y","Superseded",IF(C326&gt;=Scoring!$B$16,"Immediate",IF(C326&gt;=Scoring!$B$17,"This week",IF(C326&gt;=Scoring!$B$18,"Nurture","Low"))))</f>
        <v>This week</v>
      </c>
      <c r="C326" s="3" t="n">
        <f aca="false">SUM(AC326:AH326)</f>
        <v>52</v>
      </c>
      <c r="D326" s="15" t="str">
        <f aca="false">IF(T326="Y","Superseded record",IF(AND(U326&lt;&gt;"",AA326&lt;0),"Expired (verified)",IF(AND(U326&lt;&gt;"",AA326&lt;=Scoring!$B$5),"Expiring: notice window (verified)",IF(AND(U326&lt;&gt;"",AA326&lt;=Scoring!$B$6),"Expiring: 10-yr horizon (verified)",IF(M326="No Longer Monitored","Out of program",IF(N326="","Unknown vintage",IF(N326&lt;Scoring!$B$12,"Pre-1990, still listed",IF(AND(U326="",AA326&lt;0),"Past 30-yr mark (verify)",IF(AND(U326="",AA326&lt;=Scoring!$B$5),"30-yr mark: notice window (est.)",IF(AND(O326&gt;=Scoring!$B$7,O326&lt;=Scoring!$B$8),"Year-15 window",IF(O326&gt;=Scoring!$B$9,"Recap window",IF(O326&gt;=11,"Late compliance","Credit period"))))))))))))</f>
        <v>Recap window</v>
      </c>
      <c r="E326" s="15" t="s">
        <v>1272</v>
      </c>
      <c r="F326" s="15" t="s">
        <v>1273</v>
      </c>
      <c r="G326" s="15" t="s">
        <v>1274</v>
      </c>
      <c r="H326" s="15" t="s">
        <v>97</v>
      </c>
      <c r="I326" s="15" t="s">
        <v>362</v>
      </c>
      <c r="J326" s="15" t="n">
        <v>62</v>
      </c>
      <c r="K326" s="15" t="n">
        <v>61</v>
      </c>
      <c r="L326" s="15" t="n">
        <f aca="false">IF(OR(J326="",K326=""),"",MAX(J326-K326,0))</f>
        <v>1</v>
      </c>
      <c r="M326" s="15" t="s">
        <v>99</v>
      </c>
      <c r="N326" s="17" t="n">
        <v>2001</v>
      </c>
      <c r="O326" s="15" t="n">
        <f aca="false">IF(N326="","",Scoring!$B$4-N326)</f>
        <v>25</v>
      </c>
      <c r="P326" s="15" t="n">
        <f aca="false">IF(N326="","",N326+14)</f>
        <v>2015</v>
      </c>
      <c r="Q326" s="15" t="n">
        <f aca="false">IF(N326="","",IF(N326&lt;Scoring!$B$12,"n/a (pre-1990)",N326+Scoring!$B$13))</f>
        <v>2030</v>
      </c>
      <c r="R326" s="15" t="str">
        <f aca="false">IF(J326="","Unknown",IF(J326&gt;=5,"Yes","No (under 5 units)"))</f>
        <v>Yes</v>
      </c>
      <c r="S326" s="15"/>
      <c r="T326" s="18"/>
      <c r="U326" s="19"/>
      <c r="V326" s="18"/>
      <c r="W326" s="18"/>
      <c r="X326" s="20"/>
      <c r="Y326" s="18"/>
      <c r="Z326" s="18"/>
      <c r="AA326" s="21" t="n">
        <f aca="false">IF(U326&lt;&gt;"",(U326-Scoring!$B$3)/365.25,IF(N326="","",IF(N326&lt;Scoring!$B$12,"",(DATE(N326+Scoring!$B$13,12,31)-Scoring!$B$3)/365.25)))</f>
        <v>4.24640657084189</v>
      </c>
      <c r="AB326" s="22" t="n">
        <f aca="false">IF(T326="Y",0,IF(OR(D326="Expired (verified)",D326="Expiring: notice window (verified)",D326="Expiring: 10-yr horizon (verified)",D326="Past 30-yr mark (verify)",D326="30-yr mark: notice window (est.)",D326="Year-15 window"),1,0)+IF(ISNUMBER(O326),IF(O326&gt;=Scoring!$B$10,1,0),0)+IF(AND(ISNUMBER(L326),ISNUMBER(J326)),IF(J326&gt;0,IF(L326/J326&gt;=Scoring!$B$11,1,0),0),0)+IF(ISNUMBER(Z326),MIN(Z326,3),0))</f>
        <v>1</v>
      </c>
      <c r="AC326" s="22" t="n">
        <f aca="false">IF(AB326&gt;=3,Scoring!$C$24,IF(AB326=2,Scoring!$C$23,IF(AB326=1,Scoring!$C$22,0)))</f>
        <v>10</v>
      </c>
      <c r="AD326" s="22" t="n">
        <f aca="false">IF(T326="Y",0,IF(ISNUMBER(X326),IF(X326&gt;0.7,Scoring!$C$25,IF(X326&gt;=0.5,Scoring!$C$26,IF(X326&gt;=0.3,Scoring!$C$27,Scoring!$C$28))),Scoring!$C$29))</f>
        <v>10</v>
      </c>
      <c r="AE326" s="22" t="n">
        <f aca="false">IF(D326="Expiring: notice window (verified)",Scoring!$C$30,IF(OR(D326="Expired (verified)",D326="30-yr mark: notice window (est.)",D326="Year-15 window"),Scoring!$C$31,IF(D326="Expiring: 10-yr horizon (verified)",Scoring!$C$32,IF(D326="Past 30-yr mark (verify)",Scoring!$C$33,IF(OR(D326="Credit period",D326="Superseded record"),Scoring!$C$35,Scoring!$C$34)))))</f>
        <v>4</v>
      </c>
      <c r="AF326" s="22" t="n">
        <f aca="false">IF(T326="Y",0,IF(ISNUMBER(V326),IF(Scoring!$B$4-V326&gt;15,Scoring!$C$36,IF(Scoring!$B$4-V326&gt;=10,Scoring!$C$37,IF(Scoring!$B$4-V326&gt;=5,Scoring!$C$38,Scoring!$C$39))),IF(OR(N326="",D326="Out of program"),Scoring!$C$40,IF(O326&gt;15,Scoring!$C$36,IF(O326&gt;=10,Scoring!$C$37,IF(O326&gt;=5,Scoring!$C$38,Scoring!$C$39))))))</f>
        <v>15</v>
      </c>
      <c r="AG326" s="22" t="n">
        <f aca="false">IF(T326="Y",0,IF(Y326="Y",Scoring!$C$41,IF(ISNUMBER(O326),IF(O326&gt;=25,Scoring!$C$42,IF(O326&gt;=15,Scoring!$C$43,Scoring!$C$44)),Scoring!$C$44)))</f>
        <v>8</v>
      </c>
      <c r="AH326" s="22" t="n">
        <f aca="false">IF(T326="Y",0,IF(W326="",Scoring!$C$49,IFERROR(VLOOKUP(W326,Scoring!$B$45:$C$48,2,FALSE()),Scoring!$C$49)))</f>
        <v>5</v>
      </c>
      <c r="AI326" s="23" t="n">
        <f aca="false">C326+IF(ISNUMBER(J326),J326,0)/100000+(10000-ROW())/1000000000</f>
        <v>52.000629674</v>
      </c>
      <c r="AJ326" s="18"/>
      <c r="AK326" s="18"/>
      <c r="AL326" s="18"/>
      <c r="AM326" s="18"/>
    </row>
    <row r="327" customFormat="false" ht="15" hidden="false" customHeight="false" outlineLevel="0" collapsed="false">
      <c r="A327" s="15" t="n">
        <f aca="false">RANK(AI327,$AI$2:$AI$755)</f>
        <v>326</v>
      </c>
      <c r="B327" s="16" t="str">
        <f aca="false">IF(T327="Y","Superseded",IF(C327&gt;=Scoring!$B$16,"Immediate",IF(C327&gt;=Scoring!$B$17,"This week",IF(C327&gt;=Scoring!$B$18,"Nurture","Low"))))</f>
        <v>This week</v>
      </c>
      <c r="C327" s="3" t="n">
        <f aca="false">SUM(AC327:AH327)</f>
        <v>52</v>
      </c>
      <c r="D327" s="15" t="str">
        <f aca="false">IF(T327="Y","Superseded record",IF(AND(U327&lt;&gt;"",AA327&lt;0),"Expired (verified)",IF(AND(U327&lt;&gt;"",AA327&lt;=Scoring!$B$5),"Expiring: notice window (verified)",IF(AND(U327&lt;&gt;"",AA327&lt;=Scoring!$B$6),"Expiring: 10-yr horizon (verified)",IF(M327="No Longer Monitored","Out of program",IF(N327="","Unknown vintage",IF(N327&lt;Scoring!$B$12,"Pre-1990, still listed",IF(AND(U327="",AA327&lt;0),"Past 30-yr mark (verify)",IF(AND(U327="",AA327&lt;=Scoring!$B$5),"30-yr mark: notice window (est.)",IF(AND(O327&gt;=Scoring!$B$7,O327&lt;=Scoring!$B$8),"Year-15 window",IF(O327&gt;=Scoring!$B$9,"Recap window",IF(O327&gt;=11,"Late compliance","Credit period"))))))))))))</f>
        <v>Recap window</v>
      </c>
      <c r="E327" s="15" t="s">
        <v>1275</v>
      </c>
      <c r="F327" s="15" t="s">
        <v>1276</v>
      </c>
      <c r="G327" s="15" t="s">
        <v>1277</v>
      </c>
      <c r="H327" s="15" t="s">
        <v>97</v>
      </c>
      <c r="I327" s="15" t="s">
        <v>729</v>
      </c>
      <c r="J327" s="15" t="n">
        <v>60</v>
      </c>
      <c r="K327" s="15" t="n">
        <v>60</v>
      </c>
      <c r="L327" s="15" t="n">
        <f aca="false">IF(OR(J327="",K327=""),"",MAX(J327-K327,0))</f>
        <v>0</v>
      </c>
      <c r="M327" s="15" t="s">
        <v>99</v>
      </c>
      <c r="N327" s="17" t="n">
        <v>2000</v>
      </c>
      <c r="O327" s="15" t="n">
        <f aca="false">IF(N327="","",Scoring!$B$4-N327)</f>
        <v>26</v>
      </c>
      <c r="P327" s="15" t="n">
        <f aca="false">IF(N327="","",N327+14)</f>
        <v>2014</v>
      </c>
      <c r="Q327" s="15" t="n">
        <f aca="false">IF(N327="","",IF(N327&lt;Scoring!$B$12,"n/a (pre-1990)",N327+Scoring!$B$13))</f>
        <v>2029</v>
      </c>
      <c r="R327" s="15" t="str">
        <f aca="false">IF(J327="","Unknown",IF(J327&gt;=5,"Yes","No (under 5 units)"))</f>
        <v>Yes</v>
      </c>
      <c r="S327" s="15"/>
      <c r="T327" s="18"/>
      <c r="U327" s="19"/>
      <c r="V327" s="18"/>
      <c r="W327" s="18"/>
      <c r="X327" s="20"/>
      <c r="Y327" s="18"/>
      <c r="Z327" s="18"/>
      <c r="AA327" s="21" t="n">
        <f aca="false">IF(U327&lt;&gt;"",(U327-Scoring!$B$3)/365.25,IF(N327="","",IF(N327&lt;Scoring!$B$12,"",(DATE(N327+Scoring!$B$13,12,31)-Scoring!$B$3)/365.25)))</f>
        <v>3.24709103353867</v>
      </c>
      <c r="AB327" s="22" t="n">
        <f aca="false">IF(T327="Y",0,IF(OR(D327="Expired (verified)",D327="Expiring: notice window (verified)",D327="Expiring: 10-yr horizon (verified)",D327="Past 30-yr mark (verify)",D327="30-yr mark: notice window (est.)",D327="Year-15 window"),1,0)+IF(ISNUMBER(O327),IF(O327&gt;=Scoring!$B$10,1,0),0)+IF(AND(ISNUMBER(L327),ISNUMBER(J327)),IF(J327&gt;0,IF(L327/J327&gt;=Scoring!$B$11,1,0),0),0)+IF(ISNUMBER(Z327),MIN(Z327,3),0))</f>
        <v>1</v>
      </c>
      <c r="AC327" s="22" t="n">
        <f aca="false">IF(AB327&gt;=3,Scoring!$C$24,IF(AB327=2,Scoring!$C$23,IF(AB327=1,Scoring!$C$22,0)))</f>
        <v>10</v>
      </c>
      <c r="AD327" s="22" t="n">
        <f aca="false">IF(T327="Y",0,IF(ISNUMBER(X327),IF(X327&gt;0.7,Scoring!$C$25,IF(X327&gt;=0.5,Scoring!$C$26,IF(X327&gt;=0.3,Scoring!$C$27,Scoring!$C$28))),Scoring!$C$29))</f>
        <v>10</v>
      </c>
      <c r="AE327" s="22" t="n">
        <f aca="false">IF(D327="Expiring: notice window (verified)",Scoring!$C$30,IF(OR(D327="Expired (verified)",D327="30-yr mark: notice window (est.)",D327="Year-15 window"),Scoring!$C$31,IF(D327="Expiring: 10-yr horizon (verified)",Scoring!$C$32,IF(D327="Past 30-yr mark (verify)",Scoring!$C$33,IF(OR(D327="Credit period",D327="Superseded record"),Scoring!$C$35,Scoring!$C$34)))))</f>
        <v>4</v>
      </c>
      <c r="AF327" s="22" t="n">
        <f aca="false">IF(T327="Y",0,IF(ISNUMBER(V327),IF(Scoring!$B$4-V327&gt;15,Scoring!$C$36,IF(Scoring!$B$4-V327&gt;=10,Scoring!$C$37,IF(Scoring!$B$4-V327&gt;=5,Scoring!$C$38,Scoring!$C$39))),IF(OR(N327="",D327="Out of program"),Scoring!$C$40,IF(O327&gt;15,Scoring!$C$36,IF(O327&gt;=10,Scoring!$C$37,IF(O327&gt;=5,Scoring!$C$38,Scoring!$C$39))))))</f>
        <v>15</v>
      </c>
      <c r="AG327" s="22" t="n">
        <f aca="false">IF(T327="Y",0,IF(Y327="Y",Scoring!$C$41,IF(ISNUMBER(O327),IF(O327&gt;=25,Scoring!$C$42,IF(O327&gt;=15,Scoring!$C$43,Scoring!$C$44)),Scoring!$C$44)))</f>
        <v>8</v>
      </c>
      <c r="AH327" s="22" t="n">
        <f aca="false">IF(T327="Y",0,IF(W327="",Scoring!$C$49,IFERROR(VLOOKUP(W327,Scoring!$B$45:$C$48,2,FALSE()),Scoring!$C$49)))</f>
        <v>5</v>
      </c>
      <c r="AI327" s="23" t="n">
        <f aca="false">C327+IF(ISNUMBER(J327),J327,0)/100000+(10000-ROW())/1000000000</f>
        <v>52.000609673</v>
      </c>
      <c r="AJ327" s="18"/>
      <c r="AK327" s="18"/>
      <c r="AL327" s="18"/>
      <c r="AM327" s="18"/>
    </row>
    <row r="328" customFormat="false" ht="15" hidden="false" customHeight="false" outlineLevel="0" collapsed="false">
      <c r="A328" s="15" t="n">
        <f aca="false">RANK(AI328,$AI$2:$AI$755)</f>
        <v>327</v>
      </c>
      <c r="B328" s="16" t="str">
        <f aca="false">IF(T328="Y","Superseded",IF(C328&gt;=Scoring!$B$16,"Immediate",IF(C328&gt;=Scoring!$B$17,"This week",IF(C328&gt;=Scoring!$B$18,"Nurture","Low"))))</f>
        <v>This week</v>
      </c>
      <c r="C328" s="3" t="n">
        <f aca="false">SUM(AC328:AH328)</f>
        <v>52</v>
      </c>
      <c r="D328" s="15" t="str">
        <f aca="false">IF(T328="Y","Superseded record",IF(AND(U328&lt;&gt;"",AA328&lt;0),"Expired (verified)",IF(AND(U328&lt;&gt;"",AA328&lt;=Scoring!$B$5),"Expiring: notice window (verified)",IF(AND(U328&lt;&gt;"",AA328&lt;=Scoring!$B$6),"Expiring: 10-yr horizon (verified)",IF(M328="No Longer Monitored","Out of program",IF(N328="","Unknown vintage",IF(N328&lt;Scoring!$B$12,"Pre-1990, still listed",IF(AND(U328="",AA328&lt;0),"Past 30-yr mark (verify)",IF(AND(U328="",AA328&lt;=Scoring!$B$5),"30-yr mark: notice window (est.)",IF(AND(O328&gt;=Scoring!$B$7,O328&lt;=Scoring!$B$8),"Year-15 window",IF(O328&gt;=Scoring!$B$9,"Recap window",IF(O328&gt;=11,"Late compliance","Credit period"))))))))))))</f>
        <v>Recap window</v>
      </c>
      <c r="E328" s="15" t="s">
        <v>1278</v>
      </c>
      <c r="F328" s="15" t="s">
        <v>1279</v>
      </c>
      <c r="G328" s="15" t="s">
        <v>1280</v>
      </c>
      <c r="H328" s="15" t="s">
        <v>455</v>
      </c>
      <c r="I328" s="15" t="s">
        <v>1165</v>
      </c>
      <c r="J328" s="15" t="n">
        <v>59</v>
      </c>
      <c r="K328" s="15" t="n">
        <v>57</v>
      </c>
      <c r="L328" s="15" t="n">
        <f aca="false">IF(OR(J328="",K328=""),"",MAX(J328-K328,0))</f>
        <v>2</v>
      </c>
      <c r="M328" s="15" t="s">
        <v>99</v>
      </c>
      <c r="N328" s="17" t="n">
        <v>2000</v>
      </c>
      <c r="O328" s="15" t="n">
        <f aca="false">IF(N328="","",Scoring!$B$4-N328)</f>
        <v>26</v>
      </c>
      <c r="P328" s="15" t="n">
        <f aca="false">IF(N328="","",N328+14)</f>
        <v>2014</v>
      </c>
      <c r="Q328" s="15" t="n">
        <f aca="false">IF(N328="","",IF(N328&lt;Scoring!$B$12,"n/a (pre-1990)",N328+Scoring!$B$13))</f>
        <v>2029</v>
      </c>
      <c r="R328" s="15" t="str">
        <f aca="false">IF(J328="","Unknown",IF(J328&gt;=5,"Yes","No (under 5 units)"))</f>
        <v>Yes</v>
      </c>
      <c r="S328" s="15"/>
      <c r="T328" s="18"/>
      <c r="U328" s="19"/>
      <c r="V328" s="18"/>
      <c r="W328" s="18"/>
      <c r="X328" s="20"/>
      <c r="Y328" s="18"/>
      <c r="Z328" s="18"/>
      <c r="AA328" s="21" t="n">
        <f aca="false">IF(U328&lt;&gt;"",(U328-Scoring!$B$3)/365.25,IF(N328="","",IF(N328&lt;Scoring!$B$12,"",(DATE(N328+Scoring!$B$13,12,31)-Scoring!$B$3)/365.25)))</f>
        <v>3.24709103353867</v>
      </c>
      <c r="AB328" s="22" t="n">
        <f aca="false">IF(T328="Y",0,IF(OR(D328="Expired (verified)",D328="Expiring: notice window (verified)",D328="Expiring: 10-yr horizon (verified)",D328="Past 30-yr mark (verify)",D328="30-yr mark: notice window (est.)",D328="Year-15 window"),1,0)+IF(ISNUMBER(O328),IF(O328&gt;=Scoring!$B$10,1,0),0)+IF(AND(ISNUMBER(L328),ISNUMBER(J328)),IF(J328&gt;0,IF(L328/J328&gt;=Scoring!$B$11,1,0),0),0)+IF(ISNUMBER(Z328),MIN(Z328,3),0))</f>
        <v>1</v>
      </c>
      <c r="AC328" s="22" t="n">
        <f aca="false">IF(AB328&gt;=3,Scoring!$C$24,IF(AB328=2,Scoring!$C$23,IF(AB328=1,Scoring!$C$22,0)))</f>
        <v>10</v>
      </c>
      <c r="AD328" s="22" t="n">
        <f aca="false">IF(T328="Y",0,IF(ISNUMBER(X328),IF(X328&gt;0.7,Scoring!$C$25,IF(X328&gt;=0.5,Scoring!$C$26,IF(X328&gt;=0.3,Scoring!$C$27,Scoring!$C$28))),Scoring!$C$29))</f>
        <v>10</v>
      </c>
      <c r="AE328" s="22" t="n">
        <f aca="false">IF(D328="Expiring: notice window (verified)",Scoring!$C$30,IF(OR(D328="Expired (verified)",D328="30-yr mark: notice window (est.)",D328="Year-15 window"),Scoring!$C$31,IF(D328="Expiring: 10-yr horizon (verified)",Scoring!$C$32,IF(D328="Past 30-yr mark (verify)",Scoring!$C$33,IF(OR(D328="Credit period",D328="Superseded record"),Scoring!$C$35,Scoring!$C$34)))))</f>
        <v>4</v>
      </c>
      <c r="AF328" s="22" t="n">
        <f aca="false">IF(T328="Y",0,IF(ISNUMBER(V328),IF(Scoring!$B$4-V328&gt;15,Scoring!$C$36,IF(Scoring!$B$4-V328&gt;=10,Scoring!$C$37,IF(Scoring!$B$4-V328&gt;=5,Scoring!$C$38,Scoring!$C$39))),IF(OR(N328="",D328="Out of program"),Scoring!$C$40,IF(O328&gt;15,Scoring!$C$36,IF(O328&gt;=10,Scoring!$C$37,IF(O328&gt;=5,Scoring!$C$38,Scoring!$C$39))))))</f>
        <v>15</v>
      </c>
      <c r="AG328" s="22" t="n">
        <f aca="false">IF(T328="Y",0,IF(Y328="Y",Scoring!$C$41,IF(ISNUMBER(O328),IF(O328&gt;=25,Scoring!$C$42,IF(O328&gt;=15,Scoring!$C$43,Scoring!$C$44)),Scoring!$C$44)))</f>
        <v>8</v>
      </c>
      <c r="AH328" s="22" t="n">
        <f aca="false">IF(T328="Y",0,IF(W328="",Scoring!$C$49,IFERROR(VLOOKUP(W328,Scoring!$B$45:$C$48,2,FALSE()),Scoring!$C$49)))</f>
        <v>5</v>
      </c>
      <c r="AI328" s="23" t="n">
        <f aca="false">C328+IF(ISNUMBER(J328),J328,0)/100000+(10000-ROW())/1000000000</f>
        <v>52.000599672</v>
      </c>
      <c r="AJ328" s="18"/>
      <c r="AK328" s="18"/>
      <c r="AL328" s="18"/>
      <c r="AM328" s="18"/>
    </row>
    <row r="329" customFormat="false" ht="15" hidden="false" customHeight="false" outlineLevel="0" collapsed="false">
      <c r="A329" s="15" t="n">
        <f aca="false">RANK(AI329,$AI$2:$AI$755)</f>
        <v>328</v>
      </c>
      <c r="B329" s="16" t="str">
        <f aca="false">IF(T329="Y","Superseded",IF(C329&gt;=Scoring!$B$16,"Immediate",IF(C329&gt;=Scoring!$B$17,"This week",IF(C329&gt;=Scoring!$B$18,"Nurture","Low"))))</f>
        <v>This week</v>
      </c>
      <c r="C329" s="3" t="n">
        <f aca="false">SUM(AC329:AH329)</f>
        <v>52</v>
      </c>
      <c r="D329" s="15" t="str">
        <f aca="false">IF(T329="Y","Superseded record",IF(AND(U329&lt;&gt;"",AA329&lt;0),"Expired (verified)",IF(AND(U329&lt;&gt;"",AA329&lt;=Scoring!$B$5),"Expiring: notice window (verified)",IF(AND(U329&lt;&gt;"",AA329&lt;=Scoring!$B$6),"Expiring: 10-yr horizon (verified)",IF(M329="No Longer Monitored","Out of program",IF(N329="","Unknown vintage",IF(N329&lt;Scoring!$B$12,"Pre-1990, still listed",IF(AND(U329="",AA329&lt;0),"Past 30-yr mark (verify)",IF(AND(U329="",AA329&lt;=Scoring!$B$5),"30-yr mark: notice window (est.)",IF(AND(O329&gt;=Scoring!$B$7,O329&lt;=Scoring!$B$8),"Year-15 window",IF(O329&gt;=Scoring!$B$9,"Recap window",IF(O329&gt;=11,"Late compliance","Credit period"))))))))))))</f>
        <v>Recap window</v>
      </c>
      <c r="E329" s="15" t="s">
        <v>1281</v>
      </c>
      <c r="F329" s="15" t="s">
        <v>1282</v>
      </c>
      <c r="G329" s="15" t="s">
        <v>1283</v>
      </c>
      <c r="H329" s="15" t="s">
        <v>97</v>
      </c>
      <c r="I329" s="15" t="s">
        <v>116</v>
      </c>
      <c r="J329" s="15" t="n">
        <v>59</v>
      </c>
      <c r="K329" s="15" t="n">
        <v>59</v>
      </c>
      <c r="L329" s="15" t="n">
        <f aca="false">IF(OR(J329="",K329=""),"",MAX(J329-K329,0))</f>
        <v>0</v>
      </c>
      <c r="M329" s="15" t="s">
        <v>99</v>
      </c>
      <c r="N329" s="17" t="n">
        <v>2001</v>
      </c>
      <c r="O329" s="15" t="n">
        <f aca="false">IF(N329="","",Scoring!$B$4-N329)</f>
        <v>25</v>
      </c>
      <c r="P329" s="15" t="n">
        <f aca="false">IF(N329="","",N329+14)</f>
        <v>2015</v>
      </c>
      <c r="Q329" s="15" t="n">
        <f aca="false">IF(N329="","",IF(N329&lt;Scoring!$B$12,"n/a (pre-1990)",N329+Scoring!$B$13))</f>
        <v>2030</v>
      </c>
      <c r="R329" s="15" t="str">
        <f aca="false">IF(J329="","Unknown",IF(J329&gt;=5,"Yes","No (under 5 units)"))</f>
        <v>Yes</v>
      </c>
      <c r="S329" s="15"/>
      <c r="T329" s="18"/>
      <c r="U329" s="19"/>
      <c r="V329" s="18"/>
      <c r="W329" s="18"/>
      <c r="X329" s="20"/>
      <c r="Y329" s="18"/>
      <c r="Z329" s="18"/>
      <c r="AA329" s="21" t="n">
        <f aca="false">IF(U329&lt;&gt;"",(U329-Scoring!$B$3)/365.25,IF(N329="","",IF(N329&lt;Scoring!$B$12,"",(DATE(N329+Scoring!$B$13,12,31)-Scoring!$B$3)/365.25)))</f>
        <v>4.24640657084189</v>
      </c>
      <c r="AB329" s="22" t="n">
        <f aca="false">IF(T329="Y",0,IF(OR(D329="Expired (verified)",D329="Expiring: notice window (verified)",D329="Expiring: 10-yr horizon (verified)",D329="Past 30-yr mark (verify)",D329="30-yr mark: notice window (est.)",D329="Year-15 window"),1,0)+IF(ISNUMBER(O329),IF(O329&gt;=Scoring!$B$10,1,0),0)+IF(AND(ISNUMBER(L329),ISNUMBER(J329)),IF(J329&gt;0,IF(L329/J329&gt;=Scoring!$B$11,1,0),0),0)+IF(ISNUMBER(Z329),MIN(Z329,3),0))</f>
        <v>1</v>
      </c>
      <c r="AC329" s="22" t="n">
        <f aca="false">IF(AB329&gt;=3,Scoring!$C$24,IF(AB329=2,Scoring!$C$23,IF(AB329=1,Scoring!$C$22,0)))</f>
        <v>10</v>
      </c>
      <c r="AD329" s="22" t="n">
        <f aca="false">IF(T329="Y",0,IF(ISNUMBER(X329),IF(X329&gt;0.7,Scoring!$C$25,IF(X329&gt;=0.5,Scoring!$C$26,IF(X329&gt;=0.3,Scoring!$C$27,Scoring!$C$28))),Scoring!$C$29))</f>
        <v>10</v>
      </c>
      <c r="AE329" s="22" t="n">
        <f aca="false">IF(D329="Expiring: notice window (verified)",Scoring!$C$30,IF(OR(D329="Expired (verified)",D329="30-yr mark: notice window (est.)",D329="Year-15 window"),Scoring!$C$31,IF(D329="Expiring: 10-yr horizon (verified)",Scoring!$C$32,IF(D329="Past 30-yr mark (verify)",Scoring!$C$33,IF(OR(D329="Credit period",D329="Superseded record"),Scoring!$C$35,Scoring!$C$34)))))</f>
        <v>4</v>
      </c>
      <c r="AF329" s="22" t="n">
        <f aca="false">IF(T329="Y",0,IF(ISNUMBER(V329),IF(Scoring!$B$4-V329&gt;15,Scoring!$C$36,IF(Scoring!$B$4-V329&gt;=10,Scoring!$C$37,IF(Scoring!$B$4-V329&gt;=5,Scoring!$C$38,Scoring!$C$39))),IF(OR(N329="",D329="Out of program"),Scoring!$C$40,IF(O329&gt;15,Scoring!$C$36,IF(O329&gt;=10,Scoring!$C$37,IF(O329&gt;=5,Scoring!$C$38,Scoring!$C$39))))))</f>
        <v>15</v>
      </c>
      <c r="AG329" s="22" t="n">
        <f aca="false">IF(T329="Y",0,IF(Y329="Y",Scoring!$C$41,IF(ISNUMBER(O329),IF(O329&gt;=25,Scoring!$C$42,IF(O329&gt;=15,Scoring!$C$43,Scoring!$C$44)),Scoring!$C$44)))</f>
        <v>8</v>
      </c>
      <c r="AH329" s="22" t="n">
        <f aca="false">IF(T329="Y",0,IF(W329="",Scoring!$C$49,IFERROR(VLOOKUP(W329,Scoring!$B$45:$C$48,2,FALSE()),Scoring!$C$49)))</f>
        <v>5</v>
      </c>
      <c r="AI329" s="23" t="n">
        <f aca="false">C329+IF(ISNUMBER(J329),J329,0)/100000+(10000-ROW())/1000000000</f>
        <v>52.000599671</v>
      </c>
      <c r="AJ329" s="18"/>
      <c r="AK329" s="18"/>
      <c r="AL329" s="18"/>
      <c r="AM329" s="18"/>
    </row>
    <row r="330" customFormat="false" ht="15" hidden="false" customHeight="false" outlineLevel="0" collapsed="false">
      <c r="A330" s="15" t="n">
        <f aca="false">RANK(AI330,$AI$2:$AI$755)</f>
        <v>329</v>
      </c>
      <c r="B330" s="16" t="str">
        <f aca="false">IF(T330="Y","Superseded",IF(C330&gt;=Scoring!$B$16,"Immediate",IF(C330&gt;=Scoring!$B$17,"This week",IF(C330&gt;=Scoring!$B$18,"Nurture","Low"))))</f>
        <v>This week</v>
      </c>
      <c r="C330" s="3" t="n">
        <f aca="false">SUM(AC330:AH330)</f>
        <v>52</v>
      </c>
      <c r="D330" s="15" t="str">
        <f aca="false">IF(T330="Y","Superseded record",IF(AND(U330&lt;&gt;"",AA330&lt;0),"Expired (verified)",IF(AND(U330&lt;&gt;"",AA330&lt;=Scoring!$B$5),"Expiring: notice window (verified)",IF(AND(U330&lt;&gt;"",AA330&lt;=Scoring!$B$6),"Expiring: 10-yr horizon (verified)",IF(M330="No Longer Monitored","Out of program",IF(N330="","Unknown vintage",IF(N330&lt;Scoring!$B$12,"Pre-1990, still listed",IF(AND(U330="",AA330&lt;0),"Past 30-yr mark (verify)",IF(AND(U330="",AA330&lt;=Scoring!$B$5),"30-yr mark: notice window (est.)",IF(AND(O330&gt;=Scoring!$B$7,O330&lt;=Scoring!$B$8),"Year-15 window",IF(O330&gt;=Scoring!$B$9,"Recap window",IF(O330&gt;=11,"Late compliance","Credit period"))))))))))))</f>
        <v>Recap window</v>
      </c>
      <c r="E330" s="15" t="s">
        <v>1284</v>
      </c>
      <c r="F330" s="15" t="s">
        <v>1285</v>
      </c>
      <c r="G330" s="15" t="s">
        <v>1286</v>
      </c>
      <c r="H330" s="15" t="s">
        <v>851</v>
      </c>
      <c r="I330" s="15" t="s">
        <v>852</v>
      </c>
      <c r="J330" s="15" t="n">
        <v>58</v>
      </c>
      <c r="K330" s="15" t="n">
        <v>57</v>
      </c>
      <c r="L330" s="15" t="n">
        <f aca="false">IF(OR(J330="",K330=""),"",MAX(J330-K330,0))</f>
        <v>1</v>
      </c>
      <c r="M330" s="15" t="s">
        <v>99</v>
      </c>
      <c r="N330" s="17" t="n">
        <v>2000</v>
      </c>
      <c r="O330" s="15" t="n">
        <f aca="false">IF(N330="","",Scoring!$B$4-N330)</f>
        <v>26</v>
      </c>
      <c r="P330" s="15" t="n">
        <f aca="false">IF(N330="","",N330+14)</f>
        <v>2014</v>
      </c>
      <c r="Q330" s="15" t="n">
        <f aca="false">IF(N330="","",IF(N330&lt;Scoring!$B$12,"n/a (pre-1990)",N330+Scoring!$B$13))</f>
        <v>2029</v>
      </c>
      <c r="R330" s="15" t="str">
        <f aca="false">IF(J330="","Unknown",IF(J330&gt;=5,"Yes","No (under 5 units)"))</f>
        <v>Yes</v>
      </c>
      <c r="S330" s="15"/>
      <c r="T330" s="18"/>
      <c r="U330" s="19"/>
      <c r="V330" s="18"/>
      <c r="W330" s="18"/>
      <c r="X330" s="20"/>
      <c r="Y330" s="18"/>
      <c r="Z330" s="18"/>
      <c r="AA330" s="21" t="n">
        <f aca="false">IF(U330&lt;&gt;"",(U330-Scoring!$B$3)/365.25,IF(N330="","",IF(N330&lt;Scoring!$B$12,"",(DATE(N330+Scoring!$B$13,12,31)-Scoring!$B$3)/365.25)))</f>
        <v>3.24709103353867</v>
      </c>
      <c r="AB330" s="22" t="n">
        <f aca="false">IF(T330="Y",0,IF(OR(D330="Expired (verified)",D330="Expiring: notice window (verified)",D330="Expiring: 10-yr horizon (verified)",D330="Past 30-yr mark (verify)",D330="30-yr mark: notice window (est.)",D330="Year-15 window"),1,0)+IF(ISNUMBER(O330),IF(O330&gt;=Scoring!$B$10,1,0),0)+IF(AND(ISNUMBER(L330),ISNUMBER(J330)),IF(J330&gt;0,IF(L330/J330&gt;=Scoring!$B$11,1,0),0),0)+IF(ISNUMBER(Z330),MIN(Z330,3),0))</f>
        <v>1</v>
      </c>
      <c r="AC330" s="22" t="n">
        <f aca="false">IF(AB330&gt;=3,Scoring!$C$24,IF(AB330=2,Scoring!$C$23,IF(AB330=1,Scoring!$C$22,0)))</f>
        <v>10</v>
      </c>
      <c r="AD330" s="22" t="n">
        <f aca="false">IF(T330="Y",0,IF(ISNUMBER(X330),IF(X330&gt;0.7,Scoring!$C$25,IF(X330&gt;=0.5,Scoring!$C$26,IF(X330&gt;=0.3,Scoring!$C$27,Scoring!$C$28))),Scoring!$C$29))</f>
        <v>10</v>
      </c>
      <c r="AE330" s="22" t="n">
        <f aca="false">IF(D330="Expiring: notice window (verified)",Scoring!$C$30,IF(OR(D330="Expired (verified)",D330="30-yr mark: notice window (est.)",D330="Year-15 window"),Scoring!$C$31,IF(D330="Expiring: 10-yr horizon (verified)",Scoring!$C$32,IF(D330="Past 30-yr mark (verify)",Scoring!$C$33,IF(OR(D330="Credit period",D330="Superseded record"),Scoring!$C$35,Scoring!$C$34)))))</f>
        <v>4</v>
      </c>
      <c r="AF330" s="22" t="n">
        <f aca="false">IF(T330="Y",0,IF(ISNUMBER(V330),IF(Scoring!$B$4-V330&gt;15,Scoring!$C$36,IF(Scoring!$B$4-V330&gt;=10,Scoring!$C$37,IF(Scoring!$B$4-V330&gt;=5,Scoring!$C$38,Scoring!$C$39))),IF(OR(N330="",D330="Out of program"),Scoring!$C$40,IF(O330&gt;15,Scoring!$C$36,IF(O330&gt;=10,Scoring!$C$37,IF(O330&gt;=5,Scoring!$C$38,Scoring!$C$39))))))</f>
        <v>15</v>
      </c>
      <c r="AG330" s="22" t="n">
        <f aca="false">IF(T330="Y",0,IF(Y330="Y",Scoring!$C$41,IF(ISNUMBER(O330),IF(O330&gt;=25,Scoring!$C$42,IF(O330&gt;=15,Scoring!$C$43,Scoring!$C$44)),Scoring!$C$44)))</f>
        <v>8</v>
      </c>
      <c r="AH330" s="22" t="n">
        <f aca="false">IF(T330="Y",0,IF(W330="",Scoring!$C$49,IFERROR(VLOOKUP(W330,Scoring!$B$45:$C$48,2,FALSE()),Scoring!$C$49)))</f>
        <v>5</v>
      </c>
      <c r="AI330" s="23" t="n">
        <f aca="false">C330+IF(ISNUMBER(J330),J330,0)/100000+(10000-ROW())/1000000000</f>
        <v>52.00058967</v>
      </c>
      <c r="AJ330" s="18"/>
      <c r="AK330" s="18"/>
      <c r="AL330" s="18"/>
      <c r="AM330" s="18"/>
    </row>
    <row r="331" customFormat="false" ht="15" hidden="false" customHeight="false" outlineLevel="0" collapsed="false">
      <c r="A331" s="15" t="n">
        <f aca="false">RANK(AI331,$AI$2:$AI$755)</f>
        <v>330</v>
      </c>
      <c r="B331" s="16" t="str">
        <f aca="false">IF(T331="Y","Superseded",IF(C331&gt;=Scoring!$B$16,"Immediate",IF(C331&gt;=Scoring!$B$17,"This week",IF(C331&gt;=Scoring!$B$18,"Nurture","Low"))))</f>
        <v>This week</v>
      </c>
      <c r="C331" s="3" t="n">
        <f aca="false">SUM(AC331:AH331)</f>
        <v>52</v>
      </c>
      <c r="D331" s="15" t="str">
        <f aca="false">IF(T331="Y","Superseded record",IF(AND(U331&lt;&gt;"",AA331&lt;0),"Expired (verified)",IF(AND(U331&lt;&gt;"",AA331&lt;=Scoring!$B$5),"Expiring: notice window (verified)",IF(AND(U331&lt;&gt;"",AA331&lt;=Scoring!$B$6),"Expiring: 10-yr horizon (verified)",IF(M331="No Longer Monitored","Out of program",IF(N331="","Unknown vintage",IF(N331&lt;Scoring!$B$12,"Pre-1990, still listed",IF(AND(U331="",AA331&lt;0),"Past 30-yr mark (verify)",IF(AND(U331="",AA331&lt;=Scoring!$B$5),"30-yr mark: notice window (est.)",IF(AND(O331&gt;=Scoring!$B$7,O331&lt;=Scoring!$B$8),"Year-15 window",IF(O331&gt;=Scoring!$B$9,"Recap window",IF(O331&gt;=11,"Late compliance","Credit period"))))))))))))</f>
        <v>Recap window</v>
      </c>
      <c r="E331" s="15" t="s">
        <v>1287</v>
      </c>
      <c r="F331" s="15" t="s">
        <v>1288</v>
      </c>
      <c r="G331" s="15" t="s">
        <v>1289</v>
      </c>
      <c r="H331" s="15" t="s">
        <v>888</v>
      </c>
      <c r="I331" s="15" t="s">
        <v>889</v>
      </c>
      <c r="J331" s="15" t="n">
        <v>52</v>
      </c>
      <c r="K331" s="15" t="n">
        <v>51</v>
      </c>
      <c r="L331" s="15" t="n">
        <f aca="false">IF(OR(J331="",K331=""),"",MAX(J331-K331,0))</f>
        <v>1</v>
      </c>
      <c r="M331" s="15" t="s">
        <v>99</v>
      </c>
      <c r="N331" s="17" t="n">
        <v>2000</v>
      </c>
      <c r="O331" s="15" t="n">
        <f aca="false">IF(N331="","",Scoring!$B$4-N331)</f>
        <v>26</v>
      </c>
      <c r="P331" s="15" t="n">
        <f aca="false">IF(N331="","",N331+14)</f>
        <v>2014</v>
      </c>
      <c r="Q331" s="15" t="n">
        <f aca="false">IF(N331="","",IF(N331&lt;Scoring!$B$12,"n/a (pre-1990)",N331+Scoring!$B$13))</f>
        <v>2029</v>
      </c>
      <c r="R331" s="15" t="str">
        <f aca="false">IF(J331="","Unknown",IF(J331&gt;=5,"Yes","No (under 5 units)"))</f>
        <v>Yes</v>
      </c>
      <c r="S331" s="15"/>
      <c r="T331" s="18"/>
      <c r="U331" s="19"/>
      <c r="V331" s="18"/>
      <c r="W331" s="18"/>
      <c r="X331" s="20"/>
      <c r="Y331" s="18"/>
      <c r="Z331" s="18"/>
      <c r="AA331" s="21" t="n">
        <f aca="false">IF(U331&lt;&gt;"",(U331-Scoring!$B$3)/365.25,IF(N331="","",IF(N331&lt;Scoring!$B$12,"",(DATE(N331+Scoring!$B$13,12,31)-Scoring!$B$3)/365.25)))</f>
        <v>3.24709103353867</v>
      </c>
      <c r="AB331" s="22" t="n">
        <f aca="false">IF(T331="Y",0,IF(OR(D331="Expired (verified)",D331="Expiring: notice window (verified)",D331="Expiring: 10-yr horizon (verified)",D331="Past 30-yr mark (verify)",D331="30-yr mark: notice window (est.)",D331="Year-15 window"),1,0)+IF(ISNUMBER(O331),IF(O331&gt;=Scoring!$B$10,1,0),0)+IF(AND(ISNUMBER(L331),ISNUMBER(J331)),IF(J331&gt;0,IF(L331/J331&gt;=Scoring!$B$11,1,0),0),0)+IF(ISNUMBER(Z331),MIN(Z331,3),0))</f>
        <v>1</v>
      </c>
      <c r="AC331" s="22" t="n">
        <f aca="false">IF(AB331&gt;=3,Scoring!$C$24,IF(AB331=2,Scoring!$C$23,IF(AB331=1,Scoring!$C$22,0)))</f>
        <v>10</v>
      </c>
      <c r="AD331" s="22" t="n">
        <f aca="false">IF(T331="Y",0,IF(ISNUMBER(X331),IF(X331&gt;0.7,Scoring!$C$25,IF(X331&gt;=0.5,Scoring!$C$26,IF(X331&gt;=0.3,Scoring!$C$27,Scoring!$C$28))),Scoring!$C$29))</f>
        <v>10</v>
      </c>
      <c r="AE331" s="22" t="n">
        <f aca="false">IF(D331="Expiring: notice window (verified)",Scoring!$C$30,IF(OR(D331="Expired (verified)",D331="30-yr mark: notice window (est.)",D331="Year-15 window"),Scoring!$C$31,IF(D331="Expiring: 10-yr horizon (verified)",Scoring!$C$32,IF(D331="Past 30-yr mark (verify)",Scoring!$C$33,IF(OR(D331="Credit period",D331="Superseded record"),Scoring!$C$35,Scoring!$C$34)))))</f>
        <v>4</v>
      </c>
      <c r="AF331" s="22" t="n">
        <f aca="false">IF(T331="Y",0,IF(ISNUMBER(V331),IF(Scoring!$B$4-V331&gt;15,Scoring!$C$36,IF(Scoring!$B$4-V331&gt;=10,Scoring!$C$37,IF(Scoring!$B$4-V331&gt;=5,Scoring!$C$38,Scoring!$C$39))),IF(OR(N331="",D331="Out of program"),Scoring!$C$40,IF(O331&gt;15,Scoring!$C$36,IF(O331&gt;=10,Scoring!$C$37,IF(O331&gt;=5,Scoring!$C$38,Scoring!$C$39))))))</f>
        <v>15</v>
      </c>
      <c r="AG331" s="22" t="n">
        <f aca="false">IF(T331="Y",0,IF(Y331="Y",Scoring!$C$41,IF(ISNUMBER(O331),IF(O331&gt;=25,Scoring!$C$42,IF(O331&gt;=15,Scoring!$C$43,Scoring!$C$44)),Scoring!$C$44)))</f>
        <v>8</v>
      </c>
      <c r="AH331" s="22" t="n">
        <f aca="false">IF(T331="Y",0,IF(W331="",Scoring!$C$49,IFERROR(VLOOKUP(W331,Scoring!$B$45:$C$48,2,FALSE()),Scoring!$C$49)))</f>
        <v>5</v>
      </c>
      <c r="AI331" s="23" t="n">
        <f aca="false">C331+IF(ISNUMBER(J331),J331,0)/100000+(10000-ROW())/1000000000</f>
        <v>52.000529669</v>
      </c>
      <c r="AJ331" s="18"/>
      <c r="AK331" s="18"/>
      <c r="AL331" s="18"/>
      <c r="AM331" s="18"/>
    </row>
    <row r="332" customFormat="false" ht="15" hidden="false" customHeight="false" outlineLevel="0" collapsed="false">
      <c r="A332" s="15" t="n">
        <f aca="false">RANK(AI332,$AI$2:$AI$755)</f>
        <v>331</v>
      </c>
      <c r="B332" s="16" t="str">
        <f aca="false">IF(T332="Y","Superseded",IF(C332&gt;=Scoring!$B$16,"Immediate",IF(C332&gt;=Scoring!$B$17,"This week",IF(C332&gt;=Scoring!$B$18,"Nurture","Low"))))</f>
        <v>This week</v>
      </c>
      <c r="C332" s="3" t="n">
        <f aca="false">SUM(AC332:AH332)</f>
        <v>52</v>
      </c>
      <c r="D332" s="15" t="str">
        <f aca="false">IF(T332="Y","Superseded record",IF(AND(U332&lt;&gt;"",AA332&lt;0),"Expired (verified)",IF(AND(U332&lt;&gt;"",AA332&lt;=Scoring!$B$5),"Expiring: notice window (verified)",IF(AND(U332&lt;&gt;"",AA332&lt;=Scoring!$B$6),"Expiring: 10-yr horizon (verified)",IF(M332="No Longer Monitored","Out of program",IF(N332="","Unknown vintage",IF(N332&lt;Scoring!$B$12,"Pre-1990, still listed",IF(AND(U332="",AA332&lt;0),"Past 30-yr mark (verify)",IF(AND(U332="",AA332&lt;=Scoring!$B$5),"30-yr mark: notice window (est.)",IF(AND(O332&gt;=Scoring!$B$7,O332&lt;=Scoring!$B$8),"Year-15 window",IF(O332&gt;=Scoring!$B$9,"Recap window",IF(O332&gt;=11,"Late compliance","Credit period"))))))))))))</f>
        <v>Recap window</v>
      </c>
      <c r="E332" s="15" t="s">
        <v>1290</v>
      </c>
      <c r="F332" s="15" t="s">
        <v>1291</v>
      </c>
      <c r="G332" s="15" t="s">
        <v>1292</v>
      </c>
      <c r="H332" s="15" t="s">
        <v>536</v>
      </c>
      <c r="I332" s="15" t="s">
        <v>537</v>
      </c>
      <c r="J332" s="15" t="n">
        <v>50</v>
      </c>
      <c r="K332" s="15" t="n">
        <v>50</v>
      </c>
      <c r="L332" s="15" t="n">
        <f aca="false">IF(OR(J332="",K332=""),"",MAX(J332-K332,0))</f>
        <v>0</v>
      </c>
      <c r="M332" s="15" t="s">
        <v>99</v>
      </c>
      <c r="N332" s="17" t="n">
        <v>2000</v>
      </c>
      <c r="O332" s="15" t="n">
        <f aca="false">IF(N332="","",Scoring!$B$4-N332)</f>
        <v>26</v>
      </c>
      <c r="P332" s="15" t="n">
        <f aca="false">IF(N332="","",N332+14)</f>
        <v>2014</v>
      </c>
      <c r="Q332" s="15" t="n">
        <f aca="false">IF(N332="","",IF(N332&lt;Scoring!$B$12,"n/a (pre-1990)",N332+Scoring!$B$13))</f>
        <v>2029</v>
      </c>
      <c r="R332" s="15" t="str">
        <f aca="false">IF(J332="","Unknown",IF(J332&gt;=5,"Yes","No (under 5 units)"))</f>
        <v>Yes</v>
      </c>
      <c r="S332" s="15"/>
      <c r="T332" s="18"/>
      <c r="U332" s="19"/>
      <c r="V332" s="18"/>
      <c r="W332" s="18"/>
      <c r="X332" s="20"/>
      <c r="Y332" s="18"/>
      <c r="Z332" s="18"/>
      <c r="AA332" s="21" t="n">
        <f aca="false">IF(U332&lt;&gt;"",(U332-Scoring!$B$3)/365.25,IF(N332="","",IF(N332&lt;Scoring!$B$12,"",(DATE(N332+Scoring!$B$13,12,31)-Scoring!$B$3)/365.25)))</f>
        <v>3.24709103353867</v>
      </c>
      <c r="AB332" s="22" t="n">
        <f aca="false">IF(T332="Y",0,IF(OR(D332="Expired (verified)",D332="Expiring: notice window (verified)",D332="Expiring: 10-yr horizon (verified)",D332="Past 30-yr mark (verify)",D332="30-yr mark: notice window (est.)",D332="Year-15 window"),1,0)+IF(ISNUMBER(O332),IF(O332&gt;=Scoring!$B$10,1,0),0)+IF(AND(ISNUMBER(L332),ISNUMBER(J332)),IF(J332&gt;0,IF(L332/J332&gt;=Scoring!$B$11,1,0),0),0)+IF(ISNUMBER(Z332),MIN(Z332,3),0))</f>
        <v>1</v>
      </c>
      <c r="AC332" s="22" t="n">
        <f aca="false">IF(AB332&gt;=3,Scoring!$C$24,IF(AB332=2,Scoring!$C$23,IF(AB332=1,Scoring!$C$22,0)))</f>
        <v>10</v>
      </c>
      <c r="AD332" s="22" t="n">
        <f aca="false">IF(T332="Y",0,IF(ISNUMBER(X332),IF(X332&gt;0.7,Scoring!$C$25,IF(X332&gt;=0.5,Scoring!$C$26,IF(X332&gt;=0.3,Scoring!$C$27,Scoring!$C$28))),Scoring!$C$29))</f>
        <v>10</v>
      </c>
      <c r="AE332" s="22" t="n">
        <f aca="false">IF(D332="Expiring: notice window (verified)",Scoring!$C$30,IF(OR(D332="Expired (verified)",D332="30-yr mark: notice window (est.)",D332="Year-15 window"),Scoring!$C$31,IF(D332="Expiring: 10-yr horizon (verified)",Scoring!$C$32,IF(D332="Past 30-yr mark (verify)",Scoring!$C$33,IF(OR(D332="Credit period",D332="Superseded record"),Scoring!$C$35,Scoring!$C$34)))))</f>
        <v>4</v>
      </c>
      <c r="AF332" s="22" t="n">
        <f aca="false">IF(T332="Y",0,IF(ISNUMBER(V332),IF(Scoring!$B$4-V332&gt;15,Scoring!$C$36,IF(Scoring!$B$4-V332&gt;=10,Scoring!$C$37,IF(Scoring!$B$4-V332&gt;=5,Scoring!$C$38,Scoring!$C$39))),IF(OR(N332="",D332="Out of program"),Scoring!$C$40,IF(O332&gt;15,Scoring!$C$36,IF(O332&gt;=10,Scoring!$C$37,IF(O332&gt;=5,Scoring!$C$38,Scoring!$C$39))))))</f>
        <v>15</v>
      </c>
      <c r="AG332" s="22" t="n">
        <f aca="false">IF(T332="Y",0,IF(Y332="Y",Scoring!$C$41,IF(ISNUMBER(O332),IF(O332&gt;=25,Scoring!$C$42,IF(O332&gt;=15,Scoring!$C$43,Scoring!$C$44)),Scoring!$C$44)))</f>
        <v>8</v>
      </c>
      <c r="AH332" s="22" t="n">
        <f aca="false">IF(T332="Y",0,IF(W332="",Scoring!$C$49,IFERROR(VLOOKUP(W332,Scoring!$B$45:$C$48,2,FALSE()),Scoring!$C$49)))</f>
        <v>5</v>
      </c>
      <c r="AI332" s="23" t="n">
        <f aca="false">C332+IF(ISNUMBER(J332),J332,0)/100000+(10000-ROW())/1000000000</f>
        <v>52.000509668</v>
      </c>
      <c r="AJ332" s="18"/>
      <c r="AK332" s="18"/>
      <c r="AL332" s="18"/>
      <c r="AM332" s="18"/>
    </row>
    <row r="333" customFormat="false" ht="15" hidden="false" customHeight="false" outlineLevel="0" collapsed="false">
      <c r="A333" s="15" t="n">
        <f aca="false">RANK(AI333,$AI$2:$AI$755)</f>
        <v>332</v>
      </c>
      <c r="B333" s="16" t="str">
        <f aca="false">IF(T333="Y","Superseded",IF(C333&gt;=Scoring!$B$16,"Immediate",IF(C333&gt;=Scoring!$B$17,"This week",IF(C333&gt;=Scoring!$B$18,"Nurture","Low"))))</f>
        <v>This week</v>
      </c>
      <c r="C333" s="3" t="n">
        <f aca="false">SUM(AC333:AH333)</f>
        <v>52</v>
      </c>
      <c r="D333" s="15" t="str">
        <f aca="false">IF(T333="Y","Superseded record",IF(AND(U333&lt;&gt;"",AA333&lt;0),"Expired (verified)",IF(AND(U333&lt;&gt;"",AA333&lt;=Scoring!$B$5),"Expiring: notice window (verified)",IF(AND(U333&lt;&gt;"",AA333&lt;=Scoring!$B$6),"Expiring: 10-yr horizon (verified)",IF(M333="No Longer Monitored","Out of program",IF(N333="","Unknown vintage",IF(N333&lt;Scoring!$B$12,"Pre-1990, still listed",IF(AND(U333="",AA333&lt;0),"Past 30-yr mark (verify)",IF(AND(U333="",AA333&lt;=Scoring!$B$5),"30-yr mark: notice window (est.)",IF(AND(O333&gt;=Scoring!$B$7,O333&lt;=Scoring!$B$8),"Year-15 window",IF(O333&gt;=Scoring!$B$9,"Recap window",IF(O333&gt;=11,"Late compliance","Credit period"))))))))))))</f>
        <v>Recap window</v>
      </c>
      <c r="E333" s="15" t="s">
        <v>1293</v>
      </c>
      <c r="F333" s="15" t="s">
        <v>1294</v>
      </c>
      <c r="G333" s="15" t="s">
        <v>1295</v>
      </c>
      <c r="H333" s="15" t="s">
        <v>423</v>
      </c>
      <c r="I333" s="15" t="s">
        <v>1296</v>
      </c>
      <c r="J333" s="15" t="n">
        <v>50</v>
      </c>
      <c r="K333" s="15" t="n">
        <v>49</v>
      </c>
      <c r="L333" s="15" t="n">
        <f aca="false">IF(OR(J333="",K333=""),"",MAX(J333-K333,0))</f>
        <v>1</v>
      </c>
      <c r="M333" s="15" t="s">
        <v>99</v>
      </c>
      <c r="N333" s="17" t="n">
        <v>2001</v>
      </c>
      <c r="O333" s="15" t="n">
        <f aca="false">IF(N333="","",Scoring!$B$4-N333)</f>
        <v>25</v>
      </c>
      <c r="P333" s="15" t="n">
        <f aca="false">IF(N333="","",N333+14)</f>
        <v>2015</v>
      </c>
      <c r="Q333" s="15" t="n">
        <f aca="false">IF(N333="","",IF(N333&lt;Scoring!$B$12,"n/a (pre-1990)",N333+Scoring!$B$13))</f>
        <v>2030</v>
      </c>
      <c r="R333" s="15" t="str">
        <f aca="false">IF(J333="","Unknown",IF(J333&gt;=5,"Yes","No (under 5 units)"))</f>
        <v>Yes</v>
      </c>
      <c r="S333" s="15"/>
      <c r="T333" s="18"/>
      <c r="U333" s="19"/>
      <c r="V333" s="18"/>
      <c r="W333" s="18"/>
      <c r="X333" s="20"/>
      <c r="Y333" s="18"/>
      <c r="Z333" s="18"/>
      <c r="AA333" s="21" t="n">
        <f aca="false">IF(U333&lt;&gt;"",(U333-Scoring!$B$3)/365.25,IF(N333="","",IF(N333&lt;Scoring!$B$12,"",(DATE(N333+Scoring!$B$13,12,31)-Scoring!$B$3)/365.25)))</f>
        <v>4.24640657084189</v>
      </c>
      <c r="AB333" s="22" t="n">
        <f aca="false">IF(T333="Y",0,IF(OR(D333="Expired (verified)",D333="Expiring: notice window (verified)",D333="Expiring: 10-yr horizon (verified)",D333="Past 30-yr mark (verify)",D333="30-yr mark: notice window (est.)",D333="Year-15 window"),1,0)+IF(ISNUMBER(O333),IF(O333&gt;=Scoring!$B$10,1,0),0)+IF(AND(ISNUMBER(L333),ISNUMBER(J333)),IF(J333&gt;0,IF(L333/J333&gt;=Scoring!$B$11,1,0),0),0)+IF(ISNUMBER(Z333),MIN(Z333,3),0))</f>
        <v>1</v>
      </c>
      <c r="AC333" s="22" t="n">
        <f aca="false">IF(AB333&gt;=3,Scoring!$C$24,IF(AB333=2,Scoring!$C$23,IF(AB333=1,Scoring!$C$22,0)))</f>
        <v>10</v>
      </c>
      <c r="AD333" s="22" t="n">
        <f aca="false">IF(T333="Y",0,IF(ISNUMBER(X333),IF(X333&gt;0.7,Scoring!$C$25,IF(X333&gt;=0.5,Scoring!$C$26,IF(X333&gt;=0.3,Scoring!$C$27,Scoring!$C$28))),Scoring!$C$29))</f>
        <v>10</v>
      </c>
      <c r="AE333" s="22" t="n">
        <f aca="false">IF(D333="Expiring: notice window (verified)",Scoring!$C$30,IF(OR(D333="Expired (verified)",D333="30-yr mark: notice window (est.)",D333="Year-15 window"),Scoring!$C$31,IF(D333="Expiring: 10-yr horizon (verified)",Scoring!$C$32,IF(D333="Past 30-yr mark (verify)",Scoring!$C$33,IF(OR(D333="Credit period",D333="Superseded record"),Scoring!$C$35,Scoring!$C$34)))))</f>
        <v>4</v>
      </c>
      <c r="AF333" s="22" t="n">
        <f aca="false">IF(T333="Y",0,IF(ISNUMBER(V333),IF(Scoring!$B$4-V333&gt;15,Scoring!$C$36,IF(Scoring!$B$4-V333&gt;=10,Scoring!$C$37,IF(Scoring!$B$4-V333&gt;=5,Scoring!$C$38,Scoring!$C$39))),IF(OR(N333="",D333="Out of program"),Scoring!$C$40,IF(O333&gt;15,Scoring!$C$36,IF(O333&gt;=10,Scoring!$C$37,IF(O333&gt;=5,Scoring!$C$38,Scoring!$C$39))))))</f>
        <v>15</v>
      </c>
      <c r="AG333" s="22" t="n">
        <f aca="false">IF(T333="Y",0,IF(Y333="Y",Scoring!$C$41,IF(ISNUMBER(O333),IF(O333&gt;=25,Scoring!$C$42,IF(O333&gt;=15,Scoring!$C$43,Scoring!$C$44)),Scoring!$C$44)))</f>
        <v>8</v>
      </c>
      <c r="AH333" s="22" t="n">
        <f aca="false">IF(T333="Y",0,IF(W333="",Scoring!$C$49,IFERROR(VLOOKUP(W333,Scoring!$B$45:$C$48,2,FALSE()),Scoring!$C$49)))</f>
        <v>5</v>
      </c>
      <c r="AI333" s="23" t="n">
        <f aca="false">C333+IF(ISNUMBER(J333),J333,0)/100000+(10000-ROW())/1000000000</f>
        <v>52.000509667</v>
      </c>
      <c r="AJ333" s="18"/>
      <c r="AK333" s="18"/>
      <c r="AL333" s="18"/>
      <c r="AM333" s="18"/>
    </row>
    <row r="334" customFormat="false" ht="15" hidden="false" customHeight="false" outlineLevel="0" collapsed="false">
      <c r="A334" s="15" t="n">
        <f aca="false">RANK(AI334,$AI$2:$AI$755)</f>
        <v>333</v>
      </c>
      <c r="B334" s="16" t="str">
        <f aca="false">IF(T334="Y","Superseded",IF(C334&gt;=Scoring!$B$16,"Immediate",IF(C334&gt;=Scoring!$B$17,"This week",IF(C334&gt;=Scoring!$B$18,"Nurture","Low"))))</f>
        <v>This week</v>
      </c>
      <c r="C334" s="3" t="n">
        <f aca="false">SUM(AC334:AH334)</f>
        <v>52</v>
      </c>
      <c r="D334" s="15" t="str">
        <f aca="false">IF(T334="Y","Superseded record",IF(AND(U334&lt;&gt;"",AA334&lt;0),"Expired (verified)",IF(AND(U334&lt;&gt;"",AA334&lt;=Scoring!$B$5),"Expiring: notice window (verified)",IF(AND(U334&lt;&gt;"",AA334&lt;=Scoring!$B$6),"Expiring: 10-yr horizon (verified)",IF(M334="No Longer Monitored","Out of program",IF(N334="","Unknown vintage",IF(N334&lt;Scoring!$B$12,"Pre-1990, still listed",IF(AND(U334="",AA334&lt;0),"Past 30-yr mark (verify)",IF(AND(U334="",AA334&lt;=Scoring!$B$5),"30-yr mark: notice window (est.)",IF(AND(O334&gt;=Scoring!$B$7,O334&lt;=Scoring!$B$8),"Year-15 window",IF(O334&gt;=Scoring!$B$9,"Recap window",IF(O334&gt;=11,"Late compliance","Credit period"))))))))))))</f>
        <v>Recap window</v>
      </c>
      <c r="E334" s="15" t="s">
        <v>1297</v>
      </c>
      <c r="F334" s="15" t="s">
        <v>1298</v>
      </c>
      <c r="G334" s="15" t="s">
        <v>1299</v>
      </c>
      <c r="H334" s="15" t="s">
        <v>423</v>
      </c>
      <c r="I334" s="15" t="s">
        <v>1296</v>
      </c>
      <c r="J334" s="15" t="n">
        <v>48</v>
      </c>
      <c r="K334" s="15" t="n">
        <v>48</v>
      </c>
      <c r="L334" s="15" t="n">
        <f aca="false">IF(OR(J334="",K334=""),"",MAX(J334-K334,0))</f>
        <v>0</v>
      </c>
      <c r="M334" s="15" t="s">
        <v>99</v>
      </c>
      <c r="N334" s="17" t="n">
        <v>2000</v>
      </c>
      <c r="O334" s="15" t="n">
        <f aca="false">IF(N334="","",Scoring!$B$4-N334)</f>
        <v>26</v>
      </c>
      <c r="P334" s="15" t="n">
        <f aca="false">IF(N334="","",N334+14)</f>
        <v>2014</v>
      </c>
      <c r="Q334" s="15" t="n">
        <f aca="false">IF(N334="","",IF(N334&lt;Scoring!$B$12,"n/a (pre-1990)",N334+Scoring!$B$13))</f>
        <v>2029</v>
      </c>
      <c r="R334" s="15" t="str">
        <f aca="false">IF(J334="","Unknown",IF(J334&gt;=5,"Yes","No (under 5 units)"))</f>
        <v>Yes</v>
      </c>
      <c r="S334" s="15"/>
      <c r="T334" s="18"/>
      <c r="U334" s="19"/>
      <c r="V334" s="18"/>
      <c r="W334" s="18"/>
      <c r="X334" s="20"/>
      <c r="Y334" s="18"/>
      <c r="Z334" s="18"/>
      <c r="AA334" s="21" t="n">
        <f aca="false">IF(U334&lt;&gt;"",(U334-Scoring!$B$3)/365.25,IF(N334="","",IF(N334&lt;Scoring!$B$12,"",(DATE(N334+Scoring!$B$13,12,31)-Scoring!$B$3)/365.25)))</f>
        <v>3.24709103353867</v>
      </c>
      <c r="AB334" s="22" t="n">
        <f aca="false">IF(T334="Y",0,IF(OR(D334="Expired (verified)",D334="Expiring: notice window (verified)",D334="Expiring: 10-yr horizon (verified)",D334="Past 30-yr mark (verify)",D334="30-yr mark: notice window (est.)",D334="Year-15 window"),1,0)+IF(ISNUMBER(O334),IF(O334&gt;=Scoring!$B$10,1,0),0)+IF(AND(ISNUMBER(L334),ISNUMBER(J334)),IF(J334&gt;0,IF(L334/J334&gt;=Scoring!$B$11,1,0),0),0)+IF(ISNUMBER(Z334),MIN(Z334,3),0))</f>
        <v>1</v>
      </c>
      <c r="AC334" s="22" t="n">
        <f aca="false">IF(AB334&gt;=3,Scoring!$C$24,IF(AB334=2,Scoring!$C$23,IF(AB334=1,Scoring!$C$22,0)))</f>
        <v>10</v>
      </c>
      <c r="AD334" s="22" t="n">
        <f aca="false">IF(T334="Y",0,IF(ISNUMBER(X334),IF(X334&gt;0.7,Scoring!$C$25,IF(X334&gt;=0.5,Scoring!$C$26,IF(X334&gt;=0.3,Scoring!$C$27,Scoring!$C$28))),Scoring!$C$29))</f>
        <v>10</v>
      </c>
      <c r="AE334" s="22" t="n">
        <f aca="false">IF(D334="Expiring: notice window (verified)",Scoring!$C$30,IF(OR(D334="Expired (verified)",D334="30-yr mark: notice window (est.)",D334="Year-15 window"),Scoring!$C$31,IF(D334="Expiring: 10-yr horizon (verified)",Scoring!$C$32,IF(D334="Past 30-yr mark (verify)",Scoring!$C$33,IF(OR(D334="Credit period",D334="Superseded record"),Scoring!$C$35,Scoring!$C$34)))))</f>
        <v>4</v>
      </c>
      <c r="AF334" s="22" t="n">
        <f aca="false">IF(T334="Y",0,IF(ISNUMBER(V334),IF(Scoring!$B$4-V334&gt;15,Scoring!$C$36,IF(Scoring!$B$4-V334&gt;=10,Scoring!$C$37,IF(Scoring!$B$4-V334&gt;=5,Scoring!$C$38,Scoring!$C$39))),IF(OR(N334="",D334="Out of program"),Scoring!$C$40,IF(O334&gt;15,Scoring!$C$36,IF(O334&gt;=10,Scoring!$C$37,IF(O334&gt;=5,Scoring!$C$38,Scoring!$C$39))))))</f>
        <v>15</v>
      </c>
      <c r="AG334" s="22" t="n">
        <f aca="false">IF(T334="Y",0,IF(Y334="Y",Scoring!$C$41,IF(ISNUMBER(O334),IF(O334&gt;=25,Scoring!$C$42,IF(O334&gt;=15,Scoring!$C$43,Scoring!$C$44)),Scoring!$C$44)))</f>
        <v>8</v>
      </c>
      <c r="AH334" s="22" t="n">
        <f aca="false">IF(T334="Y",0,IF(W334="",Scoring!$C$49,IFERROR(VLOOKUP(W334,Scoring!$B$45:$C$48,2,FALSE()),Scoring!$C$49)))</f>
        <v>5</v>
      </c>
      <c r="AI334" s="23" t="n">
        <f aca="false">C334+IF(ISNUMBER(J334),J334,0)/100000+(10000-ROW())/1000000000</f>
        <v>52.000489666</v>
      </c>
      <c r="AJ334" s="18"/>
      <c r="AK334" s="18"/>
      <c r="AL334" s="18"/>
      <c r="AM334" s="18"/>
    </row>
    <row r="335" customFormat="false" ht="15" hidden="false" customHeight="false" outlineLevel="0" collapsed="false">
      <c r="A335" s="15" t="n">
        <f aca="false">RANK(AI335,$AI$2:$AI$755)</f>
        <v>334</v>
      </c>
      <c r="B335" s="16" t="str">
        <f aca="false">IF(T335="Y","Superseded",IF(C335&gt;=Scoring!$B$16,"Immediate",IF(C335&gt;=Scoring!$B$17,"This week",IF(C335&gt;=Scoring!$B$18,"Nurture","Low"))))</f>
        <v>This week</v>
      </c>
      <c r="C335" s="3" t="n">
        <f aca="false">SUM(AC335:AH335)</f>
        <v>52</v>
      </c>
      <c r="D335" s="15" t="str">
        <f aca="false">IF(T335="Y","Superseded record",IF(AND(U335&lt;&gt;"",AA335&lt;0),"Expired (verified)",IF(AND(U335&lt;&gt;"",AA335&lt;=Scoring!$B$5),"Expiring: notice window (verified)",IF(AND(U335&lt;&gt;"",AA335&lt;=Scoring!$B$6),"Expiring: 10-yr horizon (verified)",IF(M335="No Longer Monitored","Out of program",IF(N335="","Unknown vintage",IF(N335&lt;Scoring!$B$12,"Pre-1990, still listed",IF(AND(U335="",AA335&lt;0),"Past 30-yr mark (verify)",IF(AND(U335="",AA335&lt;=Scoring!$B$5),"30-yr mark: notice window (est.)",IF(AND(O335&gt;=Scoring!$B$7,O335&lt;=Scoring!$B$8),"Year-15 window",IF(O335&gt;=Scoring!$B$9,"Recap window",IF(O335&gt;=11,"Late compliance","Credit period"))))))))))))</f>
        <v>Recap window</v>
      </c>
      <c r="E335" s="15" t="s">
        <v>1300</v>
      </c>
      <c r="F335" s="15" t="s">
        <v>1301</v>
      </c>
      <c r="G335" s="15" t="s">
        <v>1302</v>
      </c>
      <c r="H335" s="15" t="s">
        <v>287</v>
      </c>
      <c r="I335" s="15" t="s">
        <v>288</v>
      </c>
      <c r="J335" s="15" t="n">
        <v>47</v>
      </c>
      <c r="K335" s="15" t="n">
        <v>46</v>
      </c>
      <c r="L335" s="15" t="n">
        <f aca="false">IF(OR(J335="",K335=""),"",MAX(J335-K335,0))</f>
        <v>1</v>
      </c>
      <c r="M335" s="15" t="s">
        <v>99</v>
      </c>
      <c r="N335" s="17" t="n">
        <v>2001</v>
      </c>
      <c r="O335" s="15" t="n">
        <f aca="false">IF(N335="","",Scoring!$B$4-N335)</f>
        <v>25</v>
      </c>
      <c r="P335" s="15" t="n">
        <f aca="false">IF(N335="","",N335+14)</f>
        <v>2015</v>
      </c>
      <c r="Q335" s="15" t="n">
        <f aca="false">IF(N335="","",IF(N335&lt;Scoring!$B$12,"n/a (pre-1990)",N335+Scoring!$B$13))</f>
        <v>2030</v>
      </c>
      <c r="R335" s="15" t="str">
        <f aca="false">IF(J335="","Unknown",IF(J335&gt;=5,"Yes","No (under 5 units)"))</f>
        <v>Yes</v>
      </c>
      <c r="S335" s="15"/>
      <c r="T335" s="18"/>
      <c r="U335" s="19"/>
      <c r="V335" s="18"/>
      <c r="W335" s="18"/>
      <c r="X335" s="20"/>
      <c r="Y335" s="18"/>
      <c r="Z335" s="18"/>
      <c r="AA335" s="21" t="n">
        <f aca="false">IF(U335&lt;&gt;"",(U335-Scoring!$B$3)/365.25,IF(N335="","",IF(N335&lt;Scoring!$B$12,"",(DATE(N335+Scoring!$B$13,12,31)-Scoring!$B$3)/365.25)))</f>
        <v>4.24640657084189</v>
      </c>
      <c r="AB335" s="22" t="n">
        <f aca="false">IF(T335="Y",0,IF(OR(D335="Expired (verified)",D335="Expiring: notice window (verified)",D335="Expiring: 10-yr horizon (verified)",D335="Past 30-yr mark (verify)",D335="30-yr mark: notice window (est.)",D335="Year-15 window"),1,0)+IF(ISNUMBER(O335),IF(O335&gt;=Scoring!$B$10,1,0),0)+IF(AND(ISNUMBER(L335),ISNUMBER(J335)),IF(J335&gt;0,IF(L335/J335&gt;=Scoring!$B$11,1,0),0),0)+IF(ISNUMBER(Z335),MIN(Z335,3),0))</f>
        <v>1</v>
      </c>
      <c r="AC335" s="22" t="n">
        <f aca="false">IF(AB335&gt;=3,Scoring!$C$24,IF(AB335=2,Scoring!$C$23,IF(AB335=1,Scoring!$C$22,0)))</f>
        <v>10</v>
      </c>
      <c r="AD335" s="22" t="n">
        <f aca="false">IF(T335="Y",0,IF(ISNUMBER(X335),IF(X335&gt;0.7,Scoring!$C$25,IF(X335&gt;=0.5,Scoring!$C$26,IF(X335&gt;=0.3,Scoring!$C$27,Scoring!$C$28))),Scoring!$C$29))</f>
        <v>10</v>
      </c>
      <c r="AE335" s="22" t="n">
        <f aca="false">IF(D335="Expiring: notice window (verified)",Scoring!$C$30,IF(OR(D335="Expired (verified)",D335="30-yr mark: notice window (est.)",D335="Year-15 window"),Scoring!$C$31,IF(D335="Expiring: 10-yr horizon (verified)",Scoring!$C$32,IF(D335="Past 30-yr mark (verify)",Scoring!$C$33,IF(OR(D335="Credit period",D335="Superseded record"),Scoring!$C$35,Scoring!$C$34)))))</f>
        <v>4</v>
      </c>
      <c r="AF335" s="22" t="n">
        <f aca="false">IF(T335="Y",0,IF(ISNUMBER(V335),IF(Scoring!$B$4-V335&gt;15,Scoring!$C$36,IF(Scoring!$B$4-V335&gt;=10,Scoring!$C$37,IF(Scoring!$B$4-V335&gt;=5,Scoring!$C$38,Scoring!$C$39))),IF(OR(N335="",D335="Out of program"),Scoring!$C$40,IF(O335&gt;15,Scoring!$C$36,IF(O335&gt;=10,Scoring!$C$37,IF(O335&gt;=5,Scoring!$C$38,Scoring!$C$39))))))</f>
        <v>15</v>
      </c>
      <c r="AG335" s="22" t="n">
        <f aca="false">IF(T335="Y",0,IF(Y335="Y",Scoring!$C$41,IF(ISNUMBER(O335),IF(O335&gt;=25,Scoring!$C$42,IF(O335&gt;=15,Scoring!$C$43,Scoring!$C$44)),Scoring!$C$44)))</f>
        <v>8</v>
      </c>
      <c r="AH335" s="22" t="n">
        <f aca="false">IF(T335="Y",0,IF(W335="",Scoring!$C$49,IFERROR(VLOOKUP(W335,Scoring!$B$45:$C$48,2,FALSE()),Scoring!$C$49)))</f>
        <v>5</v>
      </c>
      <c r="AI335" s="23" t="n">
        <f aca="false">C335+IF(ISNUMBER(J335),J335,0)/100000+(10000-ROW())/1000000000</f>
        <v>52.000479665</v>
      </c>
      <c r="AJ335" s="18"/>
      <c r="AK335" s="18"/>
      <c r="AL335" s="18"/>
      <c r="AM335" s="18"/>
    </row>
    <row r="336" customFormat="false" ht="15" hidden="false" customHeight="false" outlineLevel="0" collapsed="false">
      <c r="A336" s="15" t="n">
        <f aca="false">RANK(AI336,$AI$2:$AI$755)</f>
        <v>335</v>
      </c>
      <c r="B336" s="16" t="str">
        <f aca="false">IF(T336="Y","Superseded",IF(C336&gt;=Scoring!$B$16,"Immediate",IF(C336&gt;=Scoring!$B$17,"This week",IF(C336&gt;=Scoring!$B$18,"Nurture","Low"))))</f>
        <v>This week</v>
      </c>
      <c r="C336" s="3" t="n">
        <f aca="false">SUM(AC336:AH336)</f>
        <v>52</v>
      </c>
      <c r="D336" s="15" t="str">
        <f aca="false">IF(T336="Y","Superseded record",IF(AND(U336&lt;&gt;"",AA336&lt;0),"Expired (verified)",IF(AND(U336&lt;&gt;"",AA336&lt;=Scoring!$B$5),"Expiring: notice window (verified)",IF(AND(U336&lt;&gt;"",AA336&lt;=Scoring!$B$6),"Expiring: 10-yr horizon (verified)",IF(M336="No Longer Monitored","Out of program",IF(N336="","Unknown vintage",IF(N336&lt;Scoring!$B$12,"Pre-1990, still listed",IF(AND(U336="",AA336&lt;0),"Past 30-yr mark (verify)",IF(AND(U336="",AA336&lt;=Scoring!$B$5),"30-yr mark: notice window (est.)",IF(AND(O336&gt;=Scoring!$B$7,O336&lt;=Scoring!$B$8),"Year-15 window",IF(O336&gt;=Scoring!$B$9,"Recap window",IF(O336&gt;=11,"Late compliance","Credit period"))))))))))))</f>
        <v>Pre-1990, still listed</v>
      </c>
      <c r="E336" s="15" t="s">
        <v>1303</v>
      </c>
      <c r="F336" s="15" t="s">
        <v>1304</v>
      </c>
      <c r="G336" s="15" t="s">
        <v>1305</v>
      </c>
      <c r="H336" s="15" t="s">
        <v>485</v>
      </c>
      <c r="I336" s="15" t="s">
        <v>486</v>
      </c>
      <c r="J336" s="15" t="n">
        <v>45</v>
      </c>
      <c r="K336" s="15" t="n">
        <v>45</v>
      </c>
      <c r="L336" s="15" t="n">
        <f aca="false">IF(OR(J336="",K336=""),"",MAX(J336-K336,0))</f>
        <v>0</v>
      </c>
      <c r="M336" s="15" t="s">
        <v>99</v>
      </c>
      <c r="N336" s="17" t="n">
        <v>1988</v>
      </c>
      <c r="O336" s="15" t="n">
        <f aca="false">IF(N336="","",Scoring!$B$4-N336)</f>
        <v>38</v>
      </c>
      <c r="P336" s="15" t="n">
        <f aca="false">IF(N336="","",N336+14)</f>
        <v>2002</v>
      </c>
      <c r="Q336" s="15" t="str">
        <f aca="false">IF(N336="","",IF(N336&lt;Scoring!$B$12,"n/a (pre-1990)",N336+Scoring!$B$13))</f>
        <v>n/a (pre-1990)</v>
      </c>
      <c r="R336" s="15" t="str">
        <f aca="false">IF(J336="","Unknown",IF(J336&gt;=5,"Yes","No (under 5 units)"))</f>
        <v>Yes</v>
      </c>
      <c r="S336" s="15"/>
      <c r="T336" s="18"/>
      <c r="U336" s="19"/>
      <c r="V336" s="18"/>
      <c r="W336" s="18"/>
      <c r="X336" s="20"/>
      <c r="Y336" s="18"/>
      <c r="Z336" s="18"/>
      <c r="AA336" s="21" t="str">
        <f aca="false">IF(U336&lt;&gt;"",(U336-Scoring!$B$3)/365.25,IF(N336="","",IF(N336&lt;Scoring!$B$12,"",(DATE(N336+Scoring!$B$13,12,31)-Scoring!$B$3)/365.25)))</f>
        <v/>
      </c>
      <c r="AB336" s="22" t="n">
        <f aca="false">IF(T336="Y",0,IF(OR(D336="Expired (verified)",D336="Expiring: notice window (verified)",D336="Expiring: 10-yr horizon (verified)",D336="Past 30-yr mark (verify)",D336="30-yr mark: notice window (est.)",D336="Year-15 window"),1,0)+IF(ISNUMBER(O336),IF(O336&gt;=Scoring!$B$10,1,0),0)+IF(AND(ISNUMBER(L336),ISNUMBER(J336)),IF(J336&gt;0,IF(L336/J336&gt;=Scoring!$B$11,1,0),0),0)+IF(ISNUMBER(Z336),MIN(Z336,3),0))</f>
        <v>1</v>
      </c>
      <c r="AC336" s="22" t="n">
        <f aca="false">IF(AB336&gt;=3,Scoring!$C$24,IF(AB336=2,Scoring!$C$23,IF(AB336=1,Scoring!$C$22,0)))</f>
        <v>10</v>
      </c>
      <c r="AD336" s="22" t="n">
        <f aca="false">IF(T336="Y",0,IF(ISNUMBER(X336),IF(X336&gt;0.7,Scoring!$C$25,IF(X336&gt;=0.5,Scoring!$C$26,IF(X336&gt;=0.3,Scoring!$C$27,Scoring!$C$28))),Scoring!$C$29))</f>
        <v>10</v>
      </c>
      <c r="AE336" s="22" t="n">
        <f aca="false">IF(D336="Expiring: notice window (verified)",Scoring!$C$30,IF(OR(D336="Expired (verified)",D336="30-yr mark: notice window (est.)",D336="Year-15 window"),Scoring!$C$31,IF(D336="Expiring: 10-yr horizon (verified)",Scoring!$C$32,IF(D336="Past 30-yr mark (verify)",Scoring!$C$33,IF(OR(D336="Credit period",D336="Superseded record"),Scoring!$C$35,Scoring!$C$34)))))</f>
        <v>4</v>
      </c>
      <c r="AF336" s="22" t="n">
        <f aca="false">IF(T336="Y",0,IF(ISNUMBER(V336),IF(Scoring!$B$4-V336&gt;15,Scoring!$C$36,IF(Scoring!$B$4-V336&gt;=10,Scoring!$C$37,IF(Scoring!$B$4-V336&gt;=5,Scoring!$C$38,Scoring!$C$39))),IF(OR(N336="",D336="Out of program"),Scoring!$C$40,IF(O336&gt;15,Scoring!$C$36,IF(O336&gt;=10,Scoring!$C$37,IF(O336&gt;=5,Scoring!$C$38,Scoring!$C$39))))))</f>
        <v>15</v>
      </c>
      <c r="AG336" s="22" t="n">
        <f aca="false">IF(T336="Y",0,IF(Y336="Y",Scoring!$C$41,IF(ISNUMBER(O336),IF(O336&gt;=25,Scoring!$C$42,IF(O336&gt;=15,Scoring!$C$43,Scoring!$C$44)),Scoring!$C$44)))</f>
        <v>8</v>
      </c>
      <c r="AH336" s="22" t="n">
        <f aca="false">IF(T336="Y",0,IF(W336="",Scoring!$C$49,IFERROR(VLOOKUP(W336,Scoring!$B$45:$C$48,2,FALSE()),Scoring!$C$49)))</f>
        <v>5</v>
      </c>
      <c r="AI336" s="23" t="n">
        <f aca="false">C336+IF(ISNUMBER(J336),J336,0)/100000+(10000-ROW())/1000000000</f>
        <v>52.000459664</v>
      </c>
      <c r="AJ336" s="18"/>
      <c r="AK336" s="18"/>
      <c r="AL336" s="18"/>
      <c r="AM336" s="18"/>
    </row>
    <row r="337" customFormat="false" ht="15" hidden="false" customHeight="false" outlineLevel="0" collapsed="false">
      <c r="A337" s="15" t="n">
        <f aca="false">RANK(AI337,$AI$2:$AI$755)</f>
        <v>336</v>
      </c>
      <c r="B337" s="16" t="str">
        <f aca="false">IF(T337="Y","Superseded",IF(C337&gt;=Scoring!$B$16,"Immediate",IF(C337&gt;=Scoring!$B$17,"This week",IF(C337&gt;=Scoring!$B$18,"Nurture","Low"))))</f>
        <v>This week</v>
      </c>
      <c r="C337" s="3" t="n">
        <f aca="false">SUM(AC337:AH337)</f>
        <v>52</v>
      </c>
      <c r="D337" s="15" t="str">
        <f aca="false">IF(T337="Y","Superseded record",IF(AND(U337&lt;&gt;"",AA337&lt;0),"Expired (verified)",IF(AND(U337&lt;&gt;"",AA337&lt;=Scoring!$B$5),"Expiring: notice window (verified)",IF(AND(U337&lt;&gt;"",AA337&lt;=Scoring!$B$6),"Expiring: 10-yr horizon (verified)",IF(M337="No Longer Monitored","Out of program",IF(N337="","Unknown vintage",IF(N337&lt;Scoring!$B$12,"Pre-1990, still listed",IF(AND(U337="",AA337&lt;0),"Past 30-yr mark (verify)",IF(AND(U337="",AA337&lt;=Scoring!$B$5),"30-yr mark: notice window (est.)",IF(AND(O337&gt;=Scoring!$B$7,O337&lt;=Scoring!$B$8),"Year-15 window",IF(O337&gt;=Scoring!$B$9,"Recap window",IF(O337&gt;=11,"Late compliance","Credit period"))))))))))))</f>
        <v>Pre-1990, still listed</v>
      </c>
      <c r="E337" s="15" t="s">
        <v>1306</v>
      </c>
      <c r="F337" s="15" t="s">
        <v>1307</v>
      </c>
      <c r="G337" s="15" t="s">
        <v>1308</v>
      </c>
      <c r="H337" s="15" t="s">
        <v>97</v>
      </c>
      <c r="I337" s="15" t="s">
        <v>1309</v>
      </c>
      <c r="J337" s="15" t="n">
        <v>44</v>
      </c>
      <c r="K337" s="15" t="n">
        <v>44</v>
      </c>
      <c r="L337" s="15" t="n">
        <f aca="false">IF(OR(J337="",K337=""),"",MAX(J337-K337,0))</f>
        <v>0</v>
      </c>
      <c r="M337" s="15" t="s">
        <v>99</v>
      </c>
      <c r="N337" s="17" t="n">
        <v>1988</v>
      </c>
      <c r="O337" s="15" t="n">
        <f aca="false">IF(N337="","",Scoring!$B$4-N337)</f>
        <v>38</v>
      </c>
      <c r="P337" s="15" t="n">
        <f aca="false">IF(N337="","",N337+14)</f>
        <v>2002</v>
      </c>
      <c r="Q337" s="15" t="str">
        <f aca="false">IF(N337="","",IF(N337&lt;Scoring!$B$12,"n/a (pre-1990)",N337+Scoring!$B$13))</f>
        <v>n/a (pre-1990)</v>
      </c>
      <c r="R337" s="15" t="str">
        <f aca="false">IF(J337="","Unknown",IF(J337&gt;=5,"Yes","No (under 5 units)"))</f>
        <v>Yes</v>
      </c>
      <c r="S337" s="15"/>
      <c r="T337" s="18"/>
      <c r="U337" s="19"/>
      <c r="V337" s="18"/>
      <c r="W337" s="18"/>
      <c r="X337" s="20"/>
      <c r="Y337" s="18"/>
      <c r="Z337" s="18"/>
      <c r="AA337" s="21" t="str">
        <f aca="false">IF(U337&lt;&gt;"",(U337-Scoring!$B$3)/365.25,IF(N337="","",IF(N337&lt;Scoring!$B$12,"",(DATE(N337+Scoring!$B$13,12,31)-Scoring!$B$3)/365.25)))</f>
        <v/>
      </c>
      <c r="AB337" s="22" t="n">
        <f aca="false">IF(T337="Y",0,IF(OR(D337="Expired (verified)",D337="Expiring: notice window (verified)",D337="Expiring: 10-yr horizon (verified)",D337="Past 30-yr mark (verify)",D337="30-yr mark: notice window (est.)",D337="Year-15 window"),1,0)+IF(ISNUMBER(O337),IF(O337&gt;=Scoring!$B$10,1,0),0)+IF(AND(ISNUMBER(L337),ISNUMBER(J337)),IF(J337&gt;0,IF(L337/J337&gt;=Scoring!$B$11,1,0),0),0)+IF(ISNUMBER(Z337),MIN(Z337,3),0))</f>
        <v>1</v>
      </c>
      <c r="AC337" s="22" t="n">
        <f aca="false">IF(AB337&gt;=3,Scoring!$C$24,IF(AB337=2,Scoring!$C$23,IF(AB337=1,Scoring!$C$22,0)))</f>
        <v>10</v>
      </c>
      <c r="AD337" s="22" t="n">
        <f aca="false">IF(T337="Y",0,IF(ISNUMBER(X337),IF(X337&gt;0.7,Scoring!$C$25,IF(X337&gt;=0.5,Scoring!$C$26,IF(X337&gt;=0.3,Scoring!$C$27,Scoring!$C$28))),Scoring!$C$29))</f>
        <v>10</v>
      </c>
      <c r="AE337" s="22" t="n">
        <f aca="false">IF(D337="Expiring: notice window (verified)",Scoring!$C$30,IF(OR(D337="Expired (verified)",D337="30-yr mark: notice window (est.)",D337="Year-15 window"),Scoring!$C$31,IF(D337="Expiring: 10-yr horizon (verified)",Scoring!$C$32,IF(D337="Past 30-yr mark (verify)",Scoring!$C$33,IF(OR(D337="Credit period",D337="Superseded record"),Scoring!$C$35,Scoring!$C$34)))))</f>
        <v>4</v>
      </c>
      <c r="AF337" s="22" t="n">
        <f aca="false">IF(T337="Y",0,IF(ISNUMBER(V337),IF(Scoring!$B$4-V337&gt;15,Scoring!$C$36,IF(Scoring!$B$4-V337&gt;=10,Scoring!$C$37,IF(Scoring!$B$4-V337&gt;=5,Scoring!$C$38,Scoring!$C$39))),IF(OR(N337="",D337="Out of program"),Scoring!$C$40,IF(O337&gt;15,Scoring!$C$36,IF(O337&gt;=10,Scoring!$C$37,IF(O337&gt;=5,Scoring!$C$38,Scoring!$C$39))))))</f>
        <v>15</v>
      </c>
      <c r="AG337" s="22" t="n">
        <f aca="false">IF(T337="Y",0,IF(Y337="Y",Scoring!$C$41,IF(ISNUMBER(O337),IF(O337&gt;=25,Scoring!$C$42,IF(O337&gt;=15,Scoring!$C$43,Scoring!$C$44)),Scoring!$C$44)))</f>
        <v>8</v>
      </c>
      <c r="AH337" s="22" t="n">
        <f aca="false">IF(T337="Y",0,IF(W337="",Scoring!$C$49,IFERROR(VLOOKUP(W337,Scoring!$B$45:$C$48,2,FALSE()),Scoring!$C$49)))</f>
        <v>5</v>
      </c>
      <c r="AI337" s="23" t="n">
        <f aca="false">C337+IF(ISNUMBER(J337),J337,0)/100000+(10000-ROW())/1000000000</f>
        <v>52.000449663</v>
      </c>
      <c r="AJ337" s="18"/>
      <c r="AK337" s="18"/>
      <c r="AL337" s="18"/>
      <c r="AM337" s="18"/>
    </row>
    <row r="338" customFormat="false" ht="15" hidden="false" customHeight="false" outlineLevel="0" collapsed="false">
      <c r="A338" s="15" t="n">
        <f aca="false">RANK(AI338,$AI$2:$AI$755)</f>
        <v>337</v>
      </c>
      <c r="B338" s="16" t="str">
        <f aca="false">IF(T338="Y","Superseded",IF(C338&gt;=Scoring!$B$16,"Immediate",IF(C338&gt;=Scoring!$B$17,"This week",IF(C338&gt;=Scoring!$B$18,"Nurture","Low"))))</f>
        <v>This week</v>
      </c>
      <c r="C338" s="3" t="n">
        <f aca="false">SUM(AC338:AH338)</f>
        <v>52</v>
      </c>
      <c r="D338" s="15" t="str">
        <f aca="false">IF(T338="Y","Superseded record",IF(AND(U338&lt;&gt;"",AA338&lt;0),"Expired (verified)",IF(AND(U338&lt;&gt;"",AA338&lt;=Scoring!$B$5),"Expiring: notice window (verified)",IF(AND(U338&lt;&gt;"",AA338&lt;=Scoring!$B$6),"Expiring: 10-yr horizon (verified)",IF(M338="No Longer Monitored","Out of program",IF(N338="","Unknown vintage",IF(N338&lt;Scoring!$B$12,"Pre-1990, still listed",IF(AND(U338="",AA338&lt;0),"Past 30-yr mark (verify)",IF(AND(U338="",AA338&lt;=Scoring!$B$5),"30-yr mark: notice window (est.)",IF(AND(O338&gt;=Scoring!$B$7,O338&lt;=Scoring!$B$8),"Year-15 window",IF(O338&gt;=Scoring!$B$9,"Recap window",IF(O338&gt;=11,"Late compliance","Credit period"))))))))))))</f>
        <v>Recap window</v>
      </c>
      <c r="E338" s="15" t="s">
        <v>1310</v>
      </c>
      <c r="F338" s="15" t="s">
        <v>1311</v>
      </c>
      <c r="G338" s="15" t="s">
        <v>1312</v>
      </c>
      <c r="H338" s="15" t="s">
        <v>97</v>
      </c>
      <c r="I338" s="15" t="s">
        <v>863</v>
      </c>
      <c r="J338" s="15" t="n">
        <v>40</v>
      </c>
      <c r="K338" s="15" t="n">
        <v>40</v>
      </c>
      <c r="L338" s="15" t="n">
        <f aca="false">IF(OR(J338="",K338=""),"",MAX(J338-K338,0))</f>
        <v>0</v>
      </c>
      <c r="M338" s="15" t="s">
        <v>99</v>
      </c>
      <c r="N338" s="17" t="n">
        <v>2000</v>
      </c>
      <c r="O338" s="15" t="n">
        <f aca="false">IF(N338="","",Scoring!$B$4-N338)</f>
        <v>26</v>
      </c>
      <c r="P338" s="15" t="n">
        <f aca="false">IF(N338="","",N338+14)</f>
        <v>2014</v>
      </c>
      <c r="Q338" s="15" t="n">
        <f aca="false">IF(N338="","",IF(N338&lt;Scoring!$B$12,"n/a (pre-1990)",N338+Scoring!$B$13))</f>
        <v>2029</v>
      </c>
      <c r="R338" s="15" t="str">
        <f aca="false">IF(J338="","Unknown",IF(J338&gt;=5,"Yes","No (under 5 units)"))</f>
        <v>Yes</v>
      </c>
      <c r="S338" s="15"/>
      <c r="T338" s="18"/>
      <c r="U338" s="19"/>
      <c r="V338" s="18"/>
      <c r="W338" s="18"/>
      <c r="X338" s="20"/>
      <c r="Y338" s="18"/>
      <c r="Z338" s="18"/>
      <c r="AA338" s="21" t="n">
        <f aca="false">IF(U338&lt;&gt;"",(U338-Scoring!$B$3)/365.25,IF(N338="","",IF(N338&lt;Scoring!$B$12,"",(DATE(N338+Scoring!$B$13,12,31)-Scoring!$B$3)/365.25)))</f>
        <v>3.24709103353867</v>
      </c>
      <c r="AB338" s="22" t="n">
        <f aca="false">IF(T338="Y",0,IF(OR(D338="Expired (verified)",D338="Expiring: notice window (verified)",D338="Expiring: 10-yr horizon (verified)",D338="Past 30-yr mark (verify)",D338="30-yr mark: notice window (est.)",D338="Year-15 window"),1,0)+IF(ISNUMBER(O338),IF(O338&gt;=Scoring!$B$10,1,0),0)+IF(AND(ISNUMBER(L338),ISNUMBER(J338)),IF(J338&gt;0,IF(L338/J338&gt;=Scoring!$B$11,1,0),0),0)+IF(ISNUMBER(Z338),MIN(Z338,3),0))</f>
        <v>1</v>
      </c>
      <c r="AC338" s="22" t="n">
        <f aca="false">IF(AB338&gt;=3,Scoring!$C$24,IF(AB338=2,Scoring!$C$23,IF(AB338=1,Scoring!$C$22,0)))</f>
        <v>10</v>
      </c>
      <c r="AD338" s="22" t="n">
        <f aca="false">IF(T338="Y",0,IF(ISNUMBER(X338),IF(X338&gt;0.7,Scoring!$C$25,IF(X338&gt;=0.5,Scoring!$C$26,IF(X338&gt;=0.3,Scoring!$C$27,Scoring!$C$28))),Scoring!$C$29))</f>
        <v>10</v>
      </c>
      <c r="AE338" s="22" t="n">
        <f aca="false">IF(D338="Expiring: notice window (verified)",Scoring!$C$30,IF(OR(D338="Expired (verified)",D338="30-yr mark: notice window (est.)",D338="Year-15 window"),Scoring!$C$31,IF(D338="Expiring: 10-yr horizon (verified)",Scoring!$C$32,IF(D338="Past 30-yr mark (verify)",Scoring!$C$33,IF(OR(D338="Credit period",D338="Superseded record"),Scoring!$C$35,Scoring!$C$34)))))</f>
        <v>4</v>
      </c>
      <c r="AF338" s="22" t="n">
        <f aca="false">IF(T338="Y",0,IF(ISNUMBER(V338),IF(Scoring!$B$4-V338&gt;15,Scoring!$C$36,IF(Scoring!$B$4-V338&gt;=10,Scoring!$C$37,IF(Scoring!$B$4-V338&gt;=5,Scoring!$C$38,Scoring!$C$39))),IF(OR(N338="",D338="Out of program"),Scoring!$C$40,IF(O338&gt;15,Scoring!$C$36,IF(O338&gt;=10,Scoring!$C$37,IF(O338&gt;=5,Scoring!$C$38,Scoring!$C$39))))))</f>
        <v>15</v>
      </c>
      <c r="AG338" s="22" t="n">
        <f aca="false">IF(T338="Y",0,IF(Y338="Y",Scoring!$C$41,IF(ISNUMBER(O338),IF(O338&gt;=25,Scoring!$C$42,IF(O338&gt;=15,Scoring!$C$43,Scoring!$C$44)),Scoring!$C$44)))</f>
        <v>8</v>
      </c>
      <c r="AH338" s="22" t="n">
        <f aca="false">IF(T338="Y",0,IF(W338="",Scoring!$C$49,IFERROR(VLOOKUP(W338,Scoring!$B$45:$C$48,2,FALSE()),Scoring!$C$49)))</f>
        <v>5</v>
      </c>
      <c r="AI338" s="23" t="n">
        <f aca="false">C338+IF(ISNUMBER(J338),J338,0)/100000+(10000-ROW())/1000000000</f>
        <v>52.000409662</v>
      </c>
      <c r="AJ338" s="18"/>
      <c r="AK338" s="18"/>
      <c r="AL338" s="18"/>
      <c r="AM338" s="18"/>
    </row>
    <row r="339" customFormat="false" ht="15" hidden="false" customHeight="false" outlineLevel="0" collapsed="false">
      <c r="A339" s="15" t="n">
        <f aca="false">RANK(AI339,$AI$2:$AI$755)</f>
        <v>338</v>
      </c>
      <c r="B339" s="16" t="str">
        <f aca="false">IF(T339="Y","Superseded",IF(C339&gt;=Scoring!$B$16,"Immediate",IF(C339&gt;=Scoring!$B$17,"This week",IF(C339&gt;=Scoring!$B$18,"Nurture","Low"))))</f>
        <v>This week</v>
      </c>
      <c r="C339" s="3" t="n">
        <f aca="false">SUM(AC339:AH339)</f>
        <v>52</v>
      </c>
      <c r="D339" s="15" t="str">
        <f aca="false">IF(T339="Y","Superseded record",IF(AND(U339&lt;&gt;"",AA339&lt;0),"Expired (verified)",IF(AND(U339&lt;&gt;"",AA339&lt;=Scoring!$B$5),"Expiring: notice window (verified)",IF(AND(U339&lt;&gt;"",AA339&lt;=Scoring!$B$6),"Expiring: 10-yr horizon (verified)",IF(M339="No Longer Monitored","Out of program",IF(N339="","Unknown vintage",IF(N339&lt;Scoring!$B$12,"Pre-1990, still listed",IF(AND(U339="",AA339&lt;0),"Past 30-yr mark (verify)",IF(AND(U339="",AA339&lt;=Scoring!$B$5),"30-yr mark: notice window (est.)",IF(AND(O339&gt;=Scoring!$B$7,O339&lt;=Scoring!$B$8),"Year-15 window",IF(O339&gt;=Scoring!$B$9,"Recap window",IF(O339&gt;=11,"Late compliance","Credit period"))))))))))))</f>
        <v>Recap window</v>
      </c>
      <c r="E339" s="15" t="s">
        <v>1313</v>
      </c>
      <c r="F339" s="15" t="s">
        <v>1314</v>
      </c>
      <c r="G339" s="15" t="s">
        <v>1315</v>
      </c>
      <c r="H339" s="15" t="s">
        <v>1316</v>
      </c>
      <c r="I339" s="15" t="s">
        <v>1317</v>
      </c>
      <c r="J339" s="15" t="n">
        <v>40</v>
      </c>
      <c r="K339" s="15" t="n">
        <v>39</v>
      </c>
      <c r="L339" s="15" t="n">
        <f aca="false">IF(OR(J339="",K339=""),"",MAX(J339-K339,0))</f>
        <v>1</v>
      </c>
      <c r="M339" s="15" t="s">
        <v>99</v>
      </c>
      <c r="N339" s="17" t="n">
        <v>2000</v>
      </c>
      <c r="O339" s="15" t="n">
        <f aca="false">IF(N339="","",Scoring!$B$4-N339)</f>
        <v>26</v>
      </c>
      <c r="P339" s="15" t="n">
        <f aca="false">IF(N339="","",N339+14)</f>
        <v>2014</v>
      </c>
      <c r="Q339" s="15" t="n">
        <f aca="false">IF(N339="","",IF(N339&lt;Scoring!$B$12,"n/a (pre-1990)",N339+Scoring!$B$13))</f>
        <v>2029</v>
      </c>
      <c r="R339" s="15" t="str">
        <f aca="false">IF(J339="","Unknown",IF(J339&gt;=5,"Yes","No (under 5 units)"))</f>
        <v>Yes</v>
      </c>
      <c r="S339" s="15"/>
      <c r="T339" s="18"/>
      <c r="U339" s="19"/>
      <c r="V339" s="18"/>
      <c r="W339" s="18"/>
      <c r="X339" s="20"/>
      <c r="Y339" s="18"/>
      <c r="Z339" s="18"/>
      <c r="AA339" s="21" t="n">
        <f aca="false">IF(U339&lt;&gt;"",(U339-Scoring!$B$3)/365.25,IF(N339="","",IF(N339&lt;Scoring!$B$12,"",(DATE(N339+Scoring!$B$13,12,31)-Scoring!$B$3)/365.25)))</f>
        <v>3.24709103353867</v>
      </c>
      <c r="AB339" s="22" t="n">
        <f aca="false">IF(T339="Y",0,IF(OR(D339="Expired (verified)",D339="Expiring: notice window (verified)",D339="Expiring: 10-yr horizon (verified)",D339="Past 30-yr mark (verify)",D339="30-yr mark: notice window (est.)",D339="Year-15 window"),1,0)+IF(ISNUMBER(O339),IF(O339&gt;=Scoring!$B$10,1,0),0)+IF(AND(ISNUMBER(L339),ISNUMBER(J339)),IF(J339&gt;0,IF(L339/J339&gt;=Scoring!$B$11,1,0),0),0)+IF(ISNUMBER(Z339),MIN(Z339,3),0))</f>
        <v>1</v>
      </c>
      <c r="AC339" s="22" t="n">
        <f aca="false">IF(AB339&gt;=3,Scoring!$C$24,IF(AB339=2,Scoring!$C$23,IF(AB339=1,Scoring!$C$22,0)))</f>
        <v>10</v>
      </c>
      <c r="AD339" s="22" t="n">
        <f aca="false">IF(T339="Y",0,IF(ISNUMBER(X339),IF(X339&gt;0.7,Scoring!$C$25,IF(X339&gt;=0.5,Scoring!$C$26,IF(X339&gt;=0.3,Scoring!$C$27,Scoring!$C$28))),Scoring!$C$29))</f>
        <v>10</v>
      </c>
      <c r="AE339" s="22" t="n">
        <f aca="false">IF(D339="Expiring: notice window (verified)",Scoring!$C$30,IF(OR(D339="Expired (verified)",D339="30-yr mark: notice window (est.)",D339="Year-15 window"),Scoring!$C$31,IF(D339="Expiring: 10-yr horizon (verified)",Scoring!$C$32,IF(D339="Past 30-yr mark (verify)",Scoring!$C$33,IF(OR(D339="Credit period",D339="Superseded record"),Scoring!$C$35,Scoring!$C$34)))))</f>
        <v>4</v>
      </c>
      <c r="AF339" s="22" t="n">
        <f aca="false">IF(T339="Y",0,IF(ISNUMBER(V339),IF(Scoring!$B$4-V339&gt;15,Scoring!$C$36,IF(Scoring!$B$4-V339&gt;=10,Scoring!$C$37,IF(Scoring!$B$4-V339&gt;=5,Scoring!$C$38,Scoring!$C$39))),IF(OR(N339="",D339="Out of program"),Scoring!$C$40,IF(O339&gt;15,Scoring!$C$36,IF(O339&gt;=10,Scoring!$C$37,IF(O339&gt;=5,Scoring!$C$38,Scoring!$C$39))))))</f>
        <v>15</v>
      </c>
      <c r="AG339" s="22" t="n">
        <f aca="false">IF(T339="Y",0,IF(Y339="Y",Scoring!$C$41,IF(ISNUMBER(O339),IF(O339&gt;=25,Scoring!$C$42,IF(O339&gt;=15,Scoring!$C$43,Scoring!$C$44)),Scoring!$C$44)))</f>
        <v>8</v>
      </c>
      <c r="AH339" s="22" t="n">
        <f aca="false">IF(T339="Y",0,IF(W339="",Scoring!$C$49,IFERROR(VLOOKUP(W339,Scoring!$B$45:$C$48,2,FALSE()),Scoring!$C$49)))</f>
        <v>5</v>
      </c>
      <c r="AI339" s="23" t="n">
        <f aca="false">C339+IF(ISNUMBER(J339),J339,0)/100000+(10000-ROW())/1000000000</f>
        <v>52.000409661</v>
      </c>
      <c r="AJ339" s="18"/>
      <c r="AK339" s="18"/>
      <c r="AL339" s="18"/>
      <c r="AM339" s="18"/>
    </row>
    <row r="340" customFormat="false" ht="15" hidden="false" customHeight="false" outlineLevel="0" collapsed="false">
      <c r="A340" s="15" t="n">
        <f aca="false">RANK(AI340,$AI$2:$AI$755)</f>
        <v>339</v>
      </c>
      <c r="B340" s="16" t="str">
        <f aca="false">IF(T340="Y","Superseded",IF(C340&gt;=Scoring!$B$16,"Immediate",IF(C340&gt;=Scoring!$B$17,"This week",IF(C340&gt;=Scoring!$B$18,"Nurture","Low"))))</f>
        <v>This week</v>
      </c>
      <c r="C340" s="3" t="n">
        <f aca="false">SUM(AC340:AH340)</f>
        <v>52</v>
      </c>
      <c r="D340" s="15" t="str">
        <f aca="false">IF(T340="Y","Superseded record",IF(AND(U340&lt;&gt;"",AA340&lt;0),"Expired (verified)",IF(AND(U340&lt;&gt;"",AA340&lt;=Scoring!$B$5),"Expiring: notice window (verified)",IF(AND(U340&lt;&gt;"",AA340&lt;=Scoring!$B$6),"Expiring: 10-yr horizon (verified)",IF(M340="No Longer Monitored","Out of program",IF(N340="","Unknown vintage",IF(N340&lt;Scoring!$B$12,"Pre-1990, still listed",IF(AND(U340="",AA340&lt;0),"Past 30-yr mark (verify)",IF(AND(U340="",AA340&lt;=Scoring!$B$5),"30-yr mark: notice window (est.)",IF(AND(O340&gt;=Scoring!$B$7,O340&lt;=Scoring!$B$8),"Year-15 window",IF(O340&gt;=Scoring!$B$9,"Recap window",IF(O340&gt;=11,"Late compliance","Credit period"))))))))))))</f>
        <v>Recap window</v>
      </c>
      <c r="E340" s="15" t="s">
        <v>1318</v>
      </c>
      <c r="F340" s="15" t="s">
        <v>1319</v>
      </c>
      <c r="G340" s="15" t="s">
        <v>1320</v>
      </c>
      <c r="H340" s="15" t="s">
        <v>1321</v>
      </c>
      <c r="I340" s="15" t="s">
        <v>1322</v>
      </c>
      <c r="J340" s="15" t="n">
        <v>40</v>
      </c>
      <c r="K340" s="15" t="n">
        <v>40</v>
      </c>
      <c r="L340" s="15" t="n">
        <f aca="false">IF(OR(J340="",K340=""),"",MAX(J340-K340,0))</f>
        <v>0</v>
      </c>
      <c r="M340" s="15" t="s">
        <v>99</v>
      </c>
      <c r="N340" s="17" t="n">
        <v>2001</v>
      </c>
      <c r="O340" s="15" t="n">
        <f aca="false">IF(N340="","",Scoring!$B$4-N340)</f>
        <v>25</v>
      </c>
      <c r="P340" s="15" t="n">
        <f aca="false">IF(N340="","",N340+14)</f>
        <v>2015</v>
      </c>
      <c r="Q340" s="15" t="n">
        <f aca="false">IF(N340="","",IF(N340&lt;Scoring!$B$12,"n/a (pre-1990)",N340+Scoring!$B$13))</f>
        <v>2030</v>
      </c>
      <c r="R340" s="15" t="str">
        <f aca="false">IF(J340="","Unknown",IF(J340&gt;=5,"Yes","No (under 5 units)"))</f>
        <v>Yes</v>
      </c>
      <c r="S340" s="15"/>
      <c r="T340" s="18"/>
      <c r="U340" s="19"/>
      <c r="V340" s="18"/>
      <c r="W340" s="18"/>
      <c r="X340" s="20"/>
      <c r="Y340" s="18"/>
      <c r="Z340" s="18"/>
      <c r="AA340" s="21" t="n">
        <f aca="false">IF(U340&lt;&gt;"",(U340-Scoring!$B$3)/365.25,IF(N340="","",IF(N340&lt;Scoring!$B$12,"",(DATE(N340+Scoring!$B$13,12,31)-Scoring!$B$3)/365.25)))</f>
        <v>4.24640657084189</v>
      </c>
      <c r="AB340" s="22" t="n">
        <f aca="false">IF(T340="Y",0,IF(OR(D340="Expired (verified)",D340="Expiring: notice window (verified)",D340="Expiring: 10-yr horizon (verified)",D340="Past 30-yr mark (verify)",D340="30-yr mark: notice window (est.)",D340="Year-15 window"),1,0)+IF(ISNUMBER(O340),IF(O340&gt;=Scoring!$B$10,1,0),0)+IF(AND(ISNUMBER(L340),ISNUMBER(J340)),IF(J340&gt;0,IF(L340/J340&gt;=Scoring!$B$11,1,0),0),0)+IF(ISNUMBER(Z340),MIN(Z340,3),0))</f>
        <v>1</v>
      </c>
      <c r="AC340" s="22" t="n">
        <f aca="false">IF(AB340&gt;=3,Scoring!$C$24,IF(AB340=2,Scoring!$C$23,IF(AB340=1,Scoring!$C$22,0)))</f>
        <v>10</v>
      </c>
      <c r="AD340" s="22" t="n">
        <f aca="false">IF(T340="Y",0,IF(ISNUMBER(X340),IF(X340&gt;0.7,Scoring!$C$25,IF(X340&gt;=0.5,Scoring!$C$26,IF(X340&gt;=0.3,Scoring!$C$27,Scoring!$C$28))),Scoring!$C$29))</f>
        <v>10</v>
      </c>
      <c r="AE340" s="22" t="n">
        <f aca="false">IF(D340="Expiring: notice window (verified)",Scoring!$C$30,IF(OR(D340="Expired (verified)",D340="30-yr mark: notice window (est.)",D340="Year-15 window"),Scoring!$C$31,IF(D340="Expiring: 10-yr horizon (verified)",Scoring!$C$32,IF(D340="Past 30-yr mark (verify)",Scoring!$C$33,IF(OR(D340="Credit period",D340="Superseded record"),Scoring!$C$35,Scoring!$C$34)))))</f>
        <v>4</v>
      </c>
      <c r="AF340" s="22" t="n">
        <f aca="false">IF(T340="Y",0,IF(ISNUMBER(V340),IF(Scoring!$B$4-V340&gt;15,Scoring!$C$36,IF(Scoring!$B$4-V340&gt;=10,Scoring!$C$37,IF(Scoring!$B$4-V340&gt;=5,Scoring!$C$38,Scoring!$C$39))),IF(OR(N340="",D340="Out of program"),Scoring!$C$40,IF(O340&gt;15,Scoring!$C$36,IF(O340&gt;=10,Scoring!$C$37,IF(O340&gt;=5,Scoring!$C$38,Scoring!$C$39))))))</f>
        <v>15</v>
      </c>
      <c r="AG340" s="22" t="n">
        <f aca="false">IF(T340="Y",0,IF(Y340="Y",Scoring!$C$41,IF(ISNUMBER(O340),IF(O340&gt;=25,Scoring!$C$42,IF(O340&gt;=15,Scoring!$C$43,Scoring!$C$44)),Scoring!$C$44)))</f>
        <v>8</v>
      </c>
      <c r="AH340" s="22" t="n">
        <f aca="false">IF(T340="Y",0,IF(W340="",Scoring!$C$49,IFERROR(VLOOKUP(W340,Scoring!$B$45:$C$48,2,FALSE()),Scoring!$C$49)))</f>
        <v>5</v>
      </c>
      <c r="AI340" s="23" t="n">
        <f aca="false">C340+IF(ISNUMBER(J340),J340,0)/100000+(10000-ROW())/1000000000</f>
        <v>52.00040966</v>
      </c>
      <c r="AJ340" s="18"/>
      <c r="AK340" s="18"/>
      <c r="AL340" s="18"/>
      <c r="AM340" s="18"/>
    </row>
    <row r="341" customFormat="false" ht="15" hidden="false" customHeight="false" outlineLevel="0" collapsed="false">
      <c r="A341" s="15" t="n">
        <f aca="false">RANK(AI341,$AI$2:$AI$755)</f>
        <v>340</v>
      </c>
      <c r="B341" s="16" t="str">
        <f aca="false">IF(T341="Y","Superseded",IF(C341&gt;=Scoring!$B$16,"Immediate",IF(C341&gt;=Scoring!$B$17,"This week",IF(C341&gt;=Scoring!$B$18,"Nurture","Low"))))</f>
        <v>This week</v>
      </c>
      <c r="C341" s="3" t="n">
        <f aca="false">SUM(AC341:AH341)</f>
        <v>52</v>
      </c>
      <c r="D341" s="15" t="str">
        <f aca="false">IF(T341="Y","Superseded record",IF(AND(U341&lt;&gt;"",AA341&lt;0),"Expired (verified)",IF(AND(U341&lt;&gt;"",AA341&lt;=Scoring!$B$5),"Expiring: notice window (verified)",IF(AND(U341&lt;&gt;"",AA341&lt;=Scoring!$B$6),"Expiring: 10-yr horizon (verified)",IF(M341="No Longer Monitored","Out of program",IF(N341="","Unknown vintage",IF(N341&lt;Scoring!$B$12,"Pre-1990, still listed",IF(AND(U341="",AA341&lt;0),"Past 30-yr mark (verify)",IF(AND(U341="",AA341&lt;=Scoring!$B$5),"30-yr mark: notice window (est.)",IF(AND(O341&gt;=Scoring!$B$7,O341&lt;=Scoring!$B$8),"Year-15 window",IF(O341&gt;=Scoring!$B$9,"Recap window",IF(O341&gt;=11,"Late compliance","Credit period"))))))))))))</f>
        <v>Recap window</v>
      </c>
      <c r="E341" s="15" t="s">
        <v>1323</v>
      </c>
      <c r="F341" s="15" t="s">
        <v>1324</v>
      </c>
      <c r="G341" s="15" t="s">
        <v>1325</v>
      </c>
      <c r="H341" s="15" t="s">
        <v>1326</v>
      </c>
      <c r="I341" s="15" t="s">
        <v>1327</v>
      </c>
      <c r="J341" s="15" t="n">
        <v>40</v>
      </c>
      <c r="K341" s="15" t="n">
        <v>40</v>
      </c>
      <c r="L341" s="15" t="n">
        <f aca="false">IF(OR(J341="",K341=""),"",MAX(J341-K341,0))</f>
        <v>0</v>
      </c>
      <c r="M341" s="15" t="s">
        <v>99</v>
      </c>
      <c r="N341" s="17" t="n">
        <v>2001</v>
      </c>
      <c r="O341" s="15" t="n">
        <f aca="false">IF(N341="","",Scoring!$B$4-N341)</f>
        <v>25</v>
      </c>
      <c r="P341" s="15" t="n">
        <f aca="false">IF(N341="","",N341+14)</f>
        <v>2015</v>
      </c>
      <c r="Q341" s="15" t="n">
        <f aca="false">IF(N341="","",IF(N341&lt;Scoring!$B$12,"n/a (pre-1990)",N341+Scoring!$B$13))</f>
        <v>2030</v>
      </c>
      <c r="R341" s="15" t="str">
        <f aca="false">IF(J341="","Unknown",IF(J341&gt;=5,"Yes","No (under 5 units)"))</f>
        <v>Yes</v>
      </c>
      <c r="S341" s="15"/>
      <c r="T341" s="18"/>
      <c r="U341" s="19"/>
      <c r="V341" s="18"/>
      <c r="W341" s="18"/>
      <c r="X341" s="20"/>
      <c r="Y341" s="18"/>
      <c r="Z341" s="18"/>
      <c r="AA341" s="21" t="n">
        <f aca="false">IF(U341&lt;&gt;"",(U341-Scoring!$B$3)/365.25,IF(N341="","",IF(N341&lt;Scoring!$B$12,"",(DATE(N341+Scoring!$B$13,12,31)-Scoring!$B$3)/365.25)))</f>
        <v>4.24640657084189</v>
      </c>
      <c r="AB341" s="22" t="n">
        <f aca="false">IF(T341="Y",0,IF(OR(D341="Expired (verified)",D341="Expiring: notice window (verified)",D341="Expiring: 10-yr horizon (verified)",D341="Past 30-yr mark (verify)",D341="30-yr mark: notice window (est.)",D341="Year-15 window"),1,0)+IF(ISNUMBER(O341),IF(O341&gt;=Scoring!$B$10,1,0),0)+IF(AND(ISNUMBER(L341),ISNUMBER(J341)),IF(J341&gt;0,IF(L341/J341&gt;=Scoring!$B$11,1,0),0),0)+IF(ISNUMBER(Z341),MIN(Z341,3),0))</f>
        <v>1</v>
      </c>
      <c r="AC341" s="22" t="n">
        <f aca="false">IF(AB341&gt;=3,Scoring!$C$24,IF(AB341=2,Scoring!$C$23,IF(AB341=1,Scoring!$C$22,0)))</f>
        <v>10</v>
      </c>
      <c r="AD341" s="22" t="n">
        <f aca="false">IF(T341="Y",0,IF(ISNUMBER(X341),IF(X341&gt;0.7,Scoring!$C$25,IF(X341&gt;=0.5,Scoring!$C$26,IF(X341&gt;=0.3,Scoring!$C$27,Scoring!$C$28))),Scoring!$C$29))</f>
        <v>10</v>
      </c>
      <c r="AE341" s="22" t="n">
        <f aca="false">IF(D341="Expiring: notice window (verified)",Scoring!$C$30,IF(OR(D341="Expired (verified)",D341="30-yr mark: notice window (est.)",D341="Year-15 window"),Scoring!$C$31,IF(D341="Expiring: 10-yr horizon (verified)",Scoring!$C$32,IF(D341="Past 30-yr mark (verify)",Scoring!$C$33,IF(OR(D341="Credit period",D341="Superseded record"),Scoring!$C$35,Scoring!$C$34)))))</f>
        <v>4</v>
      </c>
      <c r="AF341" s="22" t="n">
        <f aca="false">IF(T341="Y",0,IF(ISNUMBER(V341),IF(Scoring!$B$4-V341&gt;15,Scoring!$C$36,IF(Scoring!$B$4-V341&gt;=10,Scoring!$C$37,IF(Scoring!$B$4-V341&gt;=5,Scoring!$C$38,Scoring!$C$39))),IF(OR(N341="",D341="Out of program"),Scoring!$C$40,IF(O341&gt;15,Scoring!$C$36,IF(O341&gt;=10,Scoring!$C$37,IF(O341&gt;=5,Scoring!$C$38,Scoring!$C$39))))))</f>
        <v>15</v>
      </c>
      <c r="AG341" s="22" t="n">
        <f aca="false">IF(T341="Y",0,IF(Y341="Y",Scoring!$C$41,IF(ISNUMBER(O341),IF(O341&gt;=25,Scoring!$C$42,IF(O341&gt;=15,Scoring!$C$43,Scoring!$C$44)),Scoring!$C$44)))</f>
        <v>8</v>
      </c>
      <c r="AH341" s="22" t="n">
        <f aca="false">IF(T341="Y",0,IF(W341="",Scoring!$C$49,IFERROR(VLOOKUP(W341,Scoring!$B$45:$C$48,2,FALSE()),Scoring!$C$49)))</f>
        <v>5</v>
      </c>
      <c r="AI341" s="23" t="n">
        <f aca="false">C341+IF(ISNUMBER(J341),J341,0)/100000+(10000-ROW())/1000000000</f>
        <v>52.000409659</v>
      </c>
      <c r="AJ341" s="18"/>
      <c r="AK341" s="18"/>
      <c r="AL341" s="18"/>
      <c r="AM341" s="18"/>
    </row>
    <row r="342" customFormat="false" ht="15" hidden="false" customHeight="false" outlineLevel="0" collapsed="false">
      <c r="A342" s="15" t="n">
        <f aca="false">RANK(AI342,$AI$2:$AI$755)</f>
        <v>341</v>
      </c>
      <c r="B342" s="16" t="str">
        <f aca="false">IF(T342="Y","Superseded",IF(C342&gt;=Scoring!$B$16,"Immediate",IF(C342&gt;=Scoring!$B$17,"This week",IF(C342&gt;=Scoring!$B$18,"Nurture","Low"))))</f>
        <v>This week</v>
      </c>
      <c r="C342" s="3" t="n">
        <f aca="false">SUM(AC342:AH342)</f>
        <v>52</v>
      </c>
      <c r="D342" s="15" t="str">
        <f aca="false">IF(T342="Y","Superseded record",IF(AND(U342&lt;&gt;"",AA342&lt;0),"Expired (verified)",IF(AND(U342&lt;&gt;"",AA342&lt;=Scoring!$B$5),"Expiring: notice window (verified)",IF(AND(U342&lt;&gt;"",AA342&lt;=Scoring!$B$6),"Expiring: 10-yr horizon (verified)",IF(M342="No Longer Monitored","Out of program",IF(N342="","Unknown vintage",IF(N342&lt;Scoring!$B$12,"Pre-1990, still listed",IF(AND(U342="",AA342&lt;0),"Past 30-yr mark (verify)",IF(AND(U342="",AA342&lt;=Scoring!$B$5),"30-yr mark: notice window (est.)",IF(AND(O342&gt;=Scoring!$B$7,O342&lt;=Scoring!$B$8),"Year-15 window",IF(O342&gt;=Scoring!$B$9,"Recap window",IF(O342&gt;=11,"Late compliance","Credit period"))))))))))))</f>
        <v>Recap window</v>
      </c>
      <c r="E342" s="15" t="s">
        <v>1328</v>
      </c>
      <c r="F342" s="15" t="s">
        <v>1329</v>
      </c>
      <c r="G342" s="15" t="s">
        <v>1330</v>
      </c>
      <c r="H342" s="15" t="s">
        <v>1321</v>
      </c>
      <c r="I342" s="15" t="s">
        <v>1322</v>
      </c>
      <c r="J342" s="15" t="n">
        <v>40</v>
      </c>
      <c r="K342" s="15" t="n">
        <v>40</v>
      </c>
      <c r="L342" s="15" t="n">
        <f aca="false">IF(OR(J342="",K342=""),"",MAX(J342-K342,0))</f>
        <v>0</v>
      </c>
      <c r="M342" s="15" t="s">
        <v>99</v>
      </c>
      <c r="N342" s="17" t="n">
        <v>2001</v>
      </c>
      <c r="O342" s="15" t="n">
        <f aca="false">IF(N342="","",Scoring!$B$4-N342)</f>
        <v>25</v>
      </c>
      <c r="P342" s="15" t="n">
        <f aca="false">IF(N342="","",N342+14)</f>
        <v>2015</v>
      </c>
      <c r="Q342" s="15" t="n">
        <f aca="false">IF(N342="","",IF(N342&lt;Scoring!$B$12,"n/a (pre-1990)",N342+Scoring!$B$13))</f>
        <v>2030</v>
      </c>
      <c r="R342" s="15" t="str">
        <f aca="false">IF(J342="","Unknown",IF(J342&gt;=5,"Yes","No (under 5 units)"))</f>
        <v>Yes</v>
      </c>
      <c r="S342" s="15"/>
      <c r="T342" s="18"/>
      <c r="U342" s="19"/>
      <c r="V342" s="18"/>
      <c r="W342" s="18"/>
      <c r="X342" s="20"/>
      <c r="Y342" s="18"/>
      <c r="Z342" s="18"/>
      <c r="AA342" s="21" t="n">
        <f aca="false">IF(U342&lt;&gt;"",(U342-Scoring!$B$3)/365.25,IF(N342="","",IF(N342&lt;Scoring!$B$12,"",(DATE(N342+Scoring!$B$13,12,31)-Scoring!$B$3)/365.25)))</f>
        <v>4.24640657084189</v>
      </c>
      <c r="AB342" s="22" t="n">
        <f aca="false">IF(T342="Y",0,IF(OR(D342="Expired (verified)",D342="Expiring: notice window (verified)",D342="Expiring: 10-yr horizon (verified)",D342="Past 30-yr mark (verify)",D342="30-yr mark: notice window (est.)",D342="Year-15 window"),1,0)+IF(ISNUMBER(O342),IF(O342&gt;=Scoring!$B$10,1,0),0)+IF(AND(ISNUMBER(L342),ISNUMBER(J342)),IF(J342&gt;0,IF(L342/J342&gt;=Scoring!$B$11,1,0),0),0)+IF(ISNUMBER(Z342),MIN(Z342,3),0))</f>
        <v>1</v>
      </c>
      <c r="AC342" s="22" t="n">
        <f aca="false">IF(AB342&gt;=3,Scoring!$C$24,IF(AB342=2,Scoring!$C$23,IF(AB342=1,Scoring!$C$22,0)))</f>
        <v>10</v>
      </c>
      <c r="AD342" s="22" t="n">
        <f aca="false">IF(T342="Y",0,IF(ISNUMBER(X342),IF(X342&gt;0.7,Scoring!$C$25,IF(X342&gt;=0.5,Scoring!$C$26,IF(X342&gt;=0.3,Scoring!$C$27,Scoring!$C$28))),Scoring!$C$29))</f>
        <v>10</v>
      </c>
      <c r="AE342" s="22" t="n">
        <f aca="false">IF(D342="Expiring: notice window (verified)",Scoring!$C$30,IF(OR(D342="Expired (verified)",D342="30-yr mark: notice window (est.)",D342="Year-15 window"),Scoring!$C$31,IF(D342="Expiring: 10-yr horizon (verified)",Scoring!$C$32,IF(D342="Past 30-yr mark (verify)",Scoring!$C$33,IF(OR(D342="Credit period",D342="Superseded record"),Scoring!$C$35,Scoring!$C$34)))))</f>
        <v>4</v>
      </c>
      <c r="AF342" s="22" t="n">
        <f aca="false">IF(T342="Y",0,IF(ISNUMBER(V342),IF(Scoring!$B$4-V342&gt;15,Scoring!$C$36,IF(Scoring!$B$4-V342&gt;=10,Scoring!$C$37,IF(Scoring!$B$4-V342&gt;=5,Scoring!$C$38,Scoring!$C$39))),IF(OR(N342="",D342="Out of program"),Scoring!$C$40,IF(O342&gt;15,Scoring!$C$36,IF(O342&gt;=10,Scoring!$C$37,IF(O342&gt;=5,Scoring!$C$38,Scoring!$C$39))))))</f>
        <v>15</v>
      </c>
      <c r="AG342" s="22" t="n">
        <f aca="false">IF(T342="Y",0,IF(Y342="Y",Scoring!$C$41,IF(ISNUMBER(O342),IF(O342&gt;=25,Scoring!$C$42,IF(O342&gt;=15,Scoring!$C$43,Scoring!$C$44)),Scoring!$C$44)))</f>
        <v>8</v>
      </c>
      <c r="AH342" s="22" t="n">
        <f aca="false">IF(T342="Y",0,IF(W342="",Scoring!$C$49,IFERROR(VLOOKUP(W342,Scoring!$B$45:$C$48,2,FALSE()),Scoring!$C$49)))</f>
        <v>5</v>
      </c>
      <c r="AI342" s="23" t="n">
        <f aca="false">C342+IF(ISNUMBER(J342),J342,0)/100000+(10000-ROW())/1000000000</f>
        <v>52.000409658</v>
      </c>
      <c r="AJ342" s="18"/>
      <c r="AK342" s="18"/>
      <c r="AL342" s="18"/>
      <c r="AM342" s="18"/>
    </row>
    <row r="343" customFormat="false" ht="15" hidden="false" customHeight="false" outlineLevel="0" collapsed="false">
      <c r="A343" s="15" t="n">
        <f aca="false">RANK(AI343,$AI$2:$AI$755)</f>
        <v>342</v>
      </c>
      <c r="B343" s="16" t="str">
        <f aca="false">IF(T343="Y","Superseded",IF(C343&gt;=Scoring!$B$16,"Immediate",IF(C343&gt;=Scoring!$B$17,"This week",IF(C343&gt;=Scoring!$B$18,"Nurture","Low"))))</f>
        <v>This week</v>
      </c>
      <c r="C343" s="3" t="n">
        <f aca="false">SUM(AC343:AH343)</f>
        <v>52</v>
      </c>
      <c r="D343" s="15" t="str">
        <f aca="false">IF(T343="Y","Superseded record",IF(AND(U343&lt;&gt;"",AA343&lt;0),"Expired (verified)",IF(AND(U343&lt;&gt;"",AA343&lt;=Scoring!$B$5),"Expiring: notice window (verified)",IF(AND(U343&lt;&gt;"",AA343&lt;=Scoring!$B$6),"Expiring: 10-yr horizon (verified)",IF(M343="No Longer Monitored","Out of program",IF(N343="","Unknown vintage",IF(N343&lt;Scoring!$B$12,"Pre-1990, still listed",IF(AND(U343="",AA343&lt;0),"Past 30-yr mark (verify)",IF(AND(U343="",AA343&lt;=Scoring!$B$5),"30-yr mark: notice window (est.)",IF(AND(O343&gt;=Scoring!$B$7,O343&lt;=Scoring!$B$8),"Year-15 window",IF(O343&gt;=Scoring!$B$9,"Recap window",IF(O343&gt;=11,"Late compliance","Credit period"))))))))))))</f>
        <v>Recap window</v>
      </c>
      <c r="E343" s="15" t="s">
        <v>1331</v>
      </c>
      <c r="F343" s="15" t="s">
        <v>1332</v>
      </c>
      <c r="G343" s="15" t="s">
        <v>1333</v>
      </c>
      <c r="H343" s="15" t="s">
        <v>255</v>
      </c>
      <c r="I343" s="15" t="s">
        <v>256</v>
      </c>
      <c r="J343" s="15" t="n">
        <v>33</v>
      </c>
      <c r="K343" s="15" t="n">
        <v>33</v>
      </c>
      <c r="L343" s="15" t="n">
        <f aca="false">IF(OR(J343="",K343=""),"",MAX(J343-K343,0))</f>
        <v>0</v>
      </c>
      <c r="M343" s="15" t="s">
        <v>99</v>
      </c>
      <c r="N343" s="17" t="n">
        <v>2000</v>
      </c>
      <c r="O343" s="15" t="n">
        <f aca="false">IF(N343="","",Scoring!$B$4-N343)</f>
        <v>26</v>
      </c>
      <c r="P343" s="15" t="n">
        <f aca="false">IF(N343="","",N343+14)</f>
        <v>2014</v>
      </c>
      <c r="Q343" s="15" t="n">
        <f aca="false">IF(N343="","",IF(N343&lt;Scoring!$B$12,"n/a (pre-1990)",N343+Scoring!$B$13))</f>
        <v>2029</v>
      </c>
      <c r="R343" s="15" t="str">
        <f aca="false">IF(J343="","Unknown",IF(J343&gt;=5,"Yes","No (under 5 units)"))</f>
        <v>Yes</v>
      </c>
      <c r="S343" s="15"/>
      <c r="T343" s="18"/>
      <c r="U343" s="19"/>
      <c r="V343" s="18"/>
      <c r="W343" s="18"/>
      <c r="X343" s="20"/>
      <c r="Y343" s="18"/>
      <c r="Z343" s="18"/>
      <c r="AA343" s="21" t="n">
        <f aca="false">IF(U343&lt;&gt;"",(U343-Scoring!$B$3)/365.25,IF(N343="","",IF(N343&lt;Scoring!$B$12,"",(DATE(N343+Scoring!$B$13,12,31)-Scoring!$B$3)/365.25)))</f>
        <v>3.24709103353867</v>
      </c>
      <c r="AB343" s="22" t="n">
        <f aca="false">IF(T343="Y",0,IF(OR(D343="Expired (verified)",D343="Expiring: notice window (verified)",D343="Expiring: 10-yr horizon (verified)",D343="Past 30-yr mark (verify)",D343="30-yr mark: notice window (est.)",D343="Year-15 window"),1,0)+IF(ISNUMBER(O343),IF(O343&gt;=Scoring!$B$10,1,0),0)+IF(AND(ISNUMBER(L343),ISNUMBER(J343)),IF(J343&gt;0,IF(L343/J343&gt;=Scoring!$B$11,1,0),0),0)+IF(ISNUMBER(Z343),MIN(Z343,3),0))</f>
        <v>1</v>
      </c>
      <c r="AC343" s="22" t="n">
        <f aca="false">IF(AB343&gt;=3,Scoring!$C$24,IF(AB343=2,Scoring!$C$23,IF(AB343=1,Scoring!$C$22,0)))</f>
        <v>10</v>
      </c>
      <c r="AD343" s="22" t="n">
        <f aca="false">IF(T343="Y",0,IF(ISNUMBER(X343),IF(X343&gt;0.7,Scoring!$C$25,IF(X343&gt;=0.5,Scoring!$C$26,IF(X343&gt;=0.3,Scoring!$C$27,Scoring!$C$28))),Scoring!$C$29))</f>
        <v>10</v>
      </c>
      <c r="AE343" s="22" t="n">
        <f aca="false">IF(D343="Expiring: notice window (verified)",Scoring!$C$30,IF(OR(D343="Expired (verified)",D343="30-yr mark: notice window (est.)",D343="Year-15 window"),Scoring!$C$31,IF(D343="Expiring: 10-yr horizon (verified)",Scoring!$C$32,IF(D343="Past 30-yr mark (verify)",Scoring!$C$33,IF(OR(D343="Credit period",D343="Superseded record"),Scoring!$C$35,Scoring!$C$34)))))</f>
        <v>4</v>
      </c>
      <c r="AF343" s="22" t="n">
        <f aca="false">IF(T343="Y",0,IF(ISNUMBER(V343),IF(Scoring!$B$4-V343&gt;15,Scoring!$C$36,IF(Scoring!$B$4-V343&gt;=10,Scoring!$C$37,IF(Scoring!$B$4-V343&gt;=5,Scoring!$C$38,Scoring!$C$39))),IF(OR(N343="",D343="Out of program"),Scoring!$C$40,IF(O343&gt;15,Scoring!$C$36,IF(O343&gt;=10,Scoring!$C$37,IF(O343&gt;=5,Scoring!$C$38,Scoring!$C$39))))))</f>
        <v>15</v>
      </c>
      <c r="AG343" s="22" t="n">
        <f aca="false">IF(T343="Y",0,IF(Y343="Y",Scoring!$C$41,IF(ISNUMBER(O343),IF(O343&gt;=25,Scoring!$C$42,IF(O343&gt;=15,Scoring!$C$43,Scoring!$C$44)),Scoring!$C$44)))</f>
        <v>8</v>
      </c>
      <c r="AH343" s="22" t="n">
        <f aca="false">IF(T343="Y",0,IF(W343="",Scoring!$C$49,IFERROR(VLOOKUP(W343,Scoring!$B$45:$C$48,2,FALSE()),Scoring!$C$49)))</f>
        <v>5</v>
      </c>
      <c r="AI343" s="23" t="n">
        <f aca="false">C343+IF(ISNUMBER(J343),J343,0)/100000+(10000-ROW())/1000000000</f>
        <v>52.000339657</v>
      </c>
      <c r="AJ343" s="18"/>
      <c r="AK343" s="18"/>
      <c r="AL343" s="18"/>
      <c r="AM343" s="18"/>
    </row>
    <row r="344" customFormat="false" ht="15" hidden="false" customHeight="false" outlineLevel="0" collapsed="false">
      <c r="A344" s="15" t="n">
        <f aca="false">RANK(AI344,$AI$2:$AI$755)</f>
        <v>343</v>
      </c>
      <c r="B344" s="16" t="str">
        <f aca="false">IF(T344="Y","Superseded",IF(C344&gt;=Scoring!$B$16,"Immediate",IF(C344&gt;=Scoring!$B$17,"This week",IF(C344&gt;=Scoring!$B$18,"Nurture","Low"))))</f>
        <v>This week</v>
      </c>
      <c r="C344" s="3" t="n">
        <f aca="false">SUM(AC344:AH344)</f>
        <v>52</v>
      </c>
      <c r="D344" s="15" t="str">
        <f aca="false">IF(T344="Y","Superseded record",IF(AND(U344&lt;&gt;"",AA344&lt;0),"Expired (verified)",IF(AND(U344&lt;&gt;"",AA344&lt;=Scoring!$B$5),"Expiring: notice window (verified)",IF(AND(U344&lt;&gt;"",AA344&lt;=Scoring!$B$6),"Expiring: 10-yr horizon (verified)",IF(M344="No Longer Monitored","Out of program",IF(N344="","Unknown vintage",IF(N344&lt;Scoring!$B$12,"Pre-1990, still listed",IF(AND(U344="",AA344&lt;0),"Past 30-yr mark (verify)",IF(AND(U344="",AA344&lt;=Scoring!$B$5),"30-yr mark: notice window (est.)",IF(AND(O344&gt;=Scoring!$B$7,O344&lt;=Scoring!$B$8),"Year-15 window",IF(O344&gt;=Scoring!$B$9,"Recap window",IF(O344&gt;=11,"Late compliance","Credit period"))))))))))))</f>
        <v>Pre-1990, still listed</v>
      </c>
      <c r="E344" s="15" t="s">
        <v>1334</v>
      </c>
      <c r="F344" s="15" t="s">
        <v>1335</v>
      </c>
      <c r="G344" s="15" t="s">
        <v>1336</v>
      </c>
      <c r="H344" s="15" t="s">
        <v>97</v>
      </c>
      <c r="I344" s="15" t="s">
        <v>160</v>
      </c>
      <c r="J344" s="15" t="n">
        <v>32</v>
      </c>
      <c r="K344" s="15" t="n">
        <v>32</v>
      </c>
      <c r="L344" s="15" t="n">
        <f aca="false">IF(OR(J344="",K344=""),"",MAX(J344-K344,0))</f>
        <v>0</v>
      </c>
      <c r="M344" s="15" t="s">
        <v>99</v>
      </c>
      <c r="N344" s="17" t="n">
        <v>1989</v>
      </c>
      <c r="O344" s="15" t="n">
        <f aca="false">IF(N344="","",Scoring!$B$4-N344)</f>
        <v>37</v>
      </c>
      <c r="P344" s="15" t="n">
        <f aca="false">IF(N344="","",N344+14)</f>
        <v>2003</v>
      </c>
      <c r="Q344" s="15" t="str">
        <f aca="false">IF(N344="","",IF(N344&lt;Scoring!$B$12,"n/a (pre-1990)",N344+Scoring!$B$13))</f>
        <v>n/a (pre-1990)</v>
      </c>
      <c r="R344" s="15" t="str">
        <f aca="false">IF(J344="","Unknown",IF(J344&gt;=5,"Yes","No (under 5 units)"))</f>
        <v>Yes</v>
      </c>
      <c r="S344" s="15"/>
      <c r="T344" s="18"/>
      <c r="U344" s="19"/>
      <c r="V344" s="18"/>
      <c r="W344" s="18"/>
      <c r="X344" s="20"/>
      <c r="Y344" s="18"/>
      <c r="Z344" s="18"/>
      <c r="AA344" s="21" t="str">
        <f aca="false">IF(U344&lt;&gt;"",(U344-Scoring!$B$3)/365.25,IF(N344="","",IF(N344&lt;Scoring!$B$12,"",(DATE(N344+Scoring!$B$13,12,31)-Scoring!$B$3)/365.25)))</f>
        <v/>
      </c>
      <c r="AB344" s="22" t="n">
        <f aca="false">IF(T344="Y",0,IF(OR(D344="Expired (verified)",D344="Expiring: notice window (verified)",D344="Expiring: 10-yr horizon (verified)",D344="Past 30-yr mark (verify)",D344="30-yr mark: notice window (est.)",D344="Year-15 window"),1,0)+IF(ISNUMBER(O344),IF(O344&gt;=Scoring!$B$10,1,0),0)+IF(AND(ISNUMBER(L344),ISNUMBER(J344)),IF(J344&gt;0,IF(L344/J344&gt;=Scoring!$B$11,1,0),0),0)+IF(ISNUMBER(Z344),MIN(Z344,3),0))</f>
        <v>1</v>
      </c>
      <c r="AC344" s="22" t="n">
        <f aca="false">IF(AB344&gt;=3,Scoring!$C$24,IF(AB344=2,Scoring!$C$23,IF(AB344=1,Scoring!$C$22,0)))</f>
        <v>10</v>
      </c>
      <c r="AD344" s="22" t="n">
        <f aca="false">IF(T344="Y",0,IF(ISNUMBER(X344),IF(X344&gt;0.7,Scoring!$C$25,IF(X344&gt;=0.5,Scoring!$C$26,IF(X344&gt;=0.3,Scoring!$C$27,Scoring!$C$28))),Scoring!$C$29))</f>
        <v>10</v>
      </c>
      <c r="AE344" s="22" t="n">
        <f aca="false">IF(D344="Expiring: notice window (verified)",Scoring!$C$30,IF(OR(D344="Expired (verified)",D344="30-yr mark: notice window (est.)",D344="Year-15 window"),Scoring!$C$31,IF(D344="Expiring: 10-yr horizon (verified)",Scoring!$C$32,IF(D344="Past 30-yr mark (verify)",Scoring!$C$33,IF(OR(D344="Credit period",D344="Superseded record"),Scoring!$C$35,Scoring!$C$34)))))</f>
        <v>4</v>
      </c>
      <c r="AF344" s="22" t="n">
        <f aca="false">IF(T344="Y",0,IF(ISNUMBER(V344),IF(Scoring!$B$4-V344&gt;15,Scoring!$C$36,IF(Scoring!$B$4-V344&gt;=10,Scoring!$C$37,IF(Scoring!$B$4-V344&gt;=5,Scoring!$C$38,Scoring!$C$39))),IF(OR(N344="",D344="Out of program"),Scoring!$C$40,IF(O344&gt;15,Scoring!$C$36,IF(O344&gt;=10,Scoring!$C$37,IF(O344&gt;=5,Scoring!$C$38,Scoring!$C$39))))))</f>
        <v>15</v>
      </c>
      <c r="AG344" s="22" t="n">
        <f aca="false">IF(T344="Y",0,IF(Y344="Y",Scoring!$C$41,IF(ISNUMBER(O344),IF(O344&gt;=25,Scoring!$C$42,IF(O344&gt;=15,Scoring!$C$43,Scoring!$C$44)),Scoring!$C$44)))</f>
        <v>8</v>
      </c>
      <c r="AH344" s="22" t="n">
        <f aca="false">IF(T344="Y",0,IF(W344="",Scoring!$C$49,IFERROR(VLOOKUP(W344,Scoring!$B$45:$C$48,2,FALSE()),Scoring!$C$49)))</f>
        <v>5</v>
      </c>
      <c r="AI344" s="23" t="n">
        <f aca="false">C344+IF(ISNUMBER(J344),J344,0)/100000+(10000-ROW())/1000000000</f>
        <v>52.000329656</v>
      </c>
      <c r="AJ344" s="18"/>
      <c r="AK344" s="18"/>
      <c r="AL344" s="18"/>
      <c r="AM344" s="18"/>
    </row>
    <row r="345" customFormat="false" ht="15" hidden="false" customHeight="false" outlineLevel="0" collapsed="false">
      <c r="A345" s="15" t="n">
        <f aca="false">RANK(AI345,$AI$2:$AI$755)</f>
        <v>344</v>
      </c>
      <c r="B345" s="16" t="str">
        <f aca="false">IF(T345="Y","Superseded",IF(C345&gt;=Scoring!$B$16,"Immediate",IF(C345&gt;=Scoring!$B$17,"This week",IF(C345&gt;=Scoring!$B$18,"Nurture","Low"))))</f>
        <v>This week</v>
      </c>
      <c r="C345" s="3" t="n">
        <f aca="false">SUM(AC345:AH345)</f>
        <v>52</v>
      </c>
      <c r="D345" s="15" t="str">
        <f aca="false">IF(T345="Y","Superseded record",IF(AND(U345&lt;&gt;"",AA345&lt;0),"Expired (verified)",IF(AND(U345&lt;&gt;"",AA345&lt;=Scoring!$B$5),"Expiring: notice window (verified)",IF(AND(U345&lt;&gt;"",AA345&lt;=Scoring!$B$6),"Expiring: 10-yr horizon (verified)",IF(M345="No Longer Monitored","Out of program",IF(N345="","Unknown vintage",IF(N345&lt;Scoring!$B$12,"Pre-1990, still listed",IF(AND(U345="",AA345&lt;0),"Past 30-yr mark (verify)",IF(AND(U345="",AA345&lt;=Scoring!$B$5),"30-yr mark: notice window (est.)",IF(AND(O345&gt;=Scoring!$B$7,O345&lt;=Scoring!$B$8),"Year-15 window",IF(O345&gt;=Scoring!$B$9,"Recap window",IF(O345&gt;=11,"Late compliance","Credit period"))))))))))))</f>
        <v>Recap window</v>
      </c>
      <c r="E345" s="15" t="s">
        <v>1337</v>
      </c>
      <c r="F345" s="15" t="s">
        <v>1338</v>
      </c>
      <c r="G345" s="15" t="s">
        <v>1339</v>
      </c>
      <c r="H345" s="15" t="s">
        <v>1340</v>
      </c>
      <c r="I345" s="15" t="s">
        <v>1341</v>
      </c>
      <c r="J345" s="15" t="n">
        <v>30</v>
      </c>
      <c r="K345" s="15" t="n">
        <v>29</v>
      </c>
      <c r="L345" s="15" t="n">
        <f aca="false">IF(OR(J345="",K345=""),"",MAX(J345-K345,0))</f>
        <v>1</v>
      </c>
      <c r="M345" s="15" t="s">
        <v>99</v>
      </c>
      <c r="N345" s="17" t="n">
        <v>2001</v>
      </c>
      <c r="O345" s="15" t="n">
        <f aca="false">IF(N345="","",Scoring!$B$4-N345)</f>
        <v>25</v>
      </c>
      <c r="P345" s="15" t="n">
        <f aca="false">IF(N345="","",N345+14)</f>
        <v>2015</v>
      </c>
      <c r="Q345" s="15" t="n">
        <f aca="false">IF(N345="","",IF(N345&lt;Scoring!$B$12,"n/a (pre-1990)",N345+Scoring!$B$13))</f>
        <v>2030</v>
      </c>
      <c r="R345" s="15" t="str">
        <f aca="false">IF(J345="","Unknown",IF(J345&gt;=5,"Yes","No (under 5 units)"))</f>
        <v>Yes</v>
      </c>
      <c r="S345" s="15"/>
      <c r="T345" s="18"/>
      <c r="U345" s="19"/>
      <c r="V345" s="18"/>
      <c r="W345" s="18"/>
      <c r="X345" s="20"/>
      <c r="Y345" s="18"/>
      <c r="Z345" s="18"/>
      <c r="AA345" s="21" t="n">
        <f aca="false">IF(U345&lt;&gt;"",(U345-Scoring!$B$3)/365.25,IF(N345="","",IF(N345&lt;Scoring!$B$12,"",(DATE(N345+Scoring!$B$13,12,31)-Scoring!$B$3)/365.25)))</f>
        <v>4.24640657084189</v>
      </c>
      <c r="AB345" s="22" t="n">
        <f aca="false">IF(T345="Y",0,IF(OR(D345="Expired (verified)",D345="Expiring: notice window (verified)",D345="Expiring: 10-yr horizon (verified)",D345="Past 30-yr mark (verify)",D345="30-yr mark: notice window (est.)",D345="Year-15 window"),1,0)+IF(ISNUMBER(O345),IF(O345&gt;=Scoring!$B$10,1,0),0)+IF(AND(ISNUMBER(L345),ISNUMBER(J345)),IF(J345&gt;0,IF(L345/J345&gt;=Scoring!$B$11,1,0),0),0)+IF(ISNUMBER(Z345),MIN(Z345,3),0))</f>
        <v>1</v>
      </c>
      <c r="AC345" s="22" t="n">
        <f aca="false">IF(AB345&gt;=3,Scoring!$C$24,IF(AB345=2,Scoring!$C$23,IF(AB345=1,Scoring!$C$22,0)))</f>
        <v>10</v>
      </c>
      <c r="AD345" s="22" t="n">
        <f aca="false">IF(T345="Y",0,IF(ISNUMBER(X345),IF(X345&gt;0.7,Scoring!$C$25,IF(X345&gt;=0.5,Scoring!$C$26,IF(X345&gt;=0.3,Scoring!$C$27,Scoring!$C$28))),Scoring!$C$29))</f>
        <v>10</v>
      </c>
      <c r="AE345" s="22" t="n">
        <f aca="false">IF(D345="Expiring: notice window (verified)",Scoring!$C$30,IF(OR(D345="Expired (verified)",D345="30-yr mark: notice window (est.)",D345="Year-15 window"),Scoring!$C$31,IF(D345="Expiring: 10-yr horizon (verified)",Scoring!$C$32,IF(D345="Past 30-yr mark (verify)",Scoring!$C$33,IF(OR(D345="Credit period",D345="Superseded record"),Scoring!$C$35,Scoring!$C$34)))))</f>
        <v>4</v>
      </c>
      <c r="AF345" s="22" t="n">
        <f aca="false">IF(T345="Y",0,IF(ISNUMBER(V345),IF(Scoring!$B$4-V345&gt;15,Scoring!$C$36,IF(Scoring!$B$4-V345&gt;=10,Scoring!$C$37,IF(Scoring!$B$4-V345&gt;=5,Scoring!$C$38,Scoring!$C$39))),IF(OR(N345="",D345="Out of program"),Scoring!$C$40,IF(O345&gt;15,Scoring!$C$36,IF(O345&gt;=10,Scoring!$C$37,IF(O345&gt;=5,Scoring!$C$38,Scoring!$C$39))))))</f>
        <v>15</v>
      </c>
      <c r="AG345" s="22" t="n">
        <f aca="false">IF(T345="Y",0,IF(Y345="Y",Scoring!$C$41,IF(ISNUMBER(O345),IF(O345&gt;=25,Scoring!$C$42,IF(O345&gt;=15,Scoring!$C$43,Scoring!$C$44)),Scoring!$C$44)))</f>
        <v>8</v>
      </c>
      <c r="AH345" s="22" t="n">
        <f aca="false">IF(T345="Y",0,IF(W345="",Scoring!$C$49,IFERROR(VLOOKUP(W345,Scoring!$B$45:$C$48,2,FALSE()),Scoring!$C$49)))</f>
        <v>5</v>
      </c>
      <c r="AI345" s="23" t="n">
        <f aca="false">C345+IF(ISNUMBER(J345),J345,0)/100000+(10000-ROW())/1000000000</f>
        <v>52.000309655</v>
      </c>
      <c r="AJ345" s="18"/>
      <c r="AK345" s="18"/>
      <c r="AL345" s="18"/>
      <c r="AM345" s="18"/>
    </row>
    <row r="346" customFormat="false" ht="15" hidden="false" customHeight="false" outlineLevel="0" collapsed="false">
      <c r="A346" s="15" t="n">
        <f aca="false">RANK(AI346,$AI$2:$AI$755)</f>
        <v>345</v>
      </c>
      <c r="B346" s="16" t="str">
        <f aca="false">IF(T346="Y","Superseded",IF(C346&gt;=Scoring!$B$16,"Immediate",IF(C346&gt;=Scoring!$B$17,"This week",IF(C346&gt;=Scoring!$B$18,"Nurture","Low"))))</f>
        <v>This week</v>
      </c>
      <c r="C346" s="3" t="n">
        <f aca="false">SUM(AC346:AH346)</f>
        <v>52</v>
      </c>
      <c r="D346" s="15" t="str">
        <f aca="false">IF(T346="Y","Superseded record",IF(AND(U346&lt;&gt;"",AA346&lt;0),"Expired (verified)",IF(AND(U346&lt;&gt;"",AA346&lt;=Scoring!$B$5),"Expiring: notice window (verified)",IF(AND(U346&lt;&gt;"",AA346&lt;=Scoring!$B$6),"Expiring: 10-yr horizon (verified)",IF(M346="No Longer Monitored","Out of program",IF(N346="","Unknown vintage",IF(N346&lt;Scoring!$B$12,"Pre-1990, still listed",IF(AND(U346="",AA346&lt;0),"Past 30-yr mark (verify)",IF(AND(U346="",AA346&lt;=Scoring!$B$5),"30-yr mark: notice window (est.)",IF(AND(O346&gt;=Scoring!$B$7,O346&lt;=Scoring!$B$8),"Year-15 window",IF(O346&gt;=Scoring!$B$9,"Recap window",IF(O346&gt;=11,"Late compliance","Credit period"))))))))))))</f>
        <v>Recap window</v>
      </c>
      <c r="E346" s="15" t="s">
        <v>1342</v>
      </c>
      <c r="F346" s="15" t="s">
        <v>1343</v>
      </c>
      <c r="G346" s="15" t="s">
        <v>1344</v>
      </c>
      <c r="H346" s="15" t="s">
        <v>249</v>
      </c>
      <c r="I346" s="15" t="s">
        <v>250</v>
      </c>
      <c r="J346" s="15" t="n">
        <v>27</v>
      </c>
      <c r="K346" s="15" t="n">
        <v>27</v>
      </c>
      <c r="L346" s="15" t="n">
        <f aca="false">IF(OR(J346="",K346=""),"",MAX(J346-K346,0))</f>
        <v>0</v>
      </c>
      <c r="M346" s="15" t="s">
        <v>99</v>
      </c>
      <c r="N346" s="17" t="n">
        <v>2000</v>
      </c>
      <c r="O346" s="15" t="n">
        <f aca="false">IF(N346="","",Scoring!$B$4-N346)</f>
        <v>26</v>
      </c>
      <c r="P346" s="15" t="n">
        <f aca="false">IF(N346="","",N346+14)</f>
        <v>2014</v>
      </c>
      <c r="Q346" s="15" t="n">
        <f aca="false">IF(N346="","",IF(N346&lt;Scoring!$B$12,"n/a (pre-1990)",N346+Scoring!$B$13))</f>
        <v>2029</v>
      </c>
      <c r="R346" s="15" t="str">
        <f aca="false">IF(J346="","Unknown",IF(J346&gt;=5,"Yes","No (under 5 units)"))</f>
        <v>Yes</v>
      </c>
      <c r="S346" s="15"/>
      <c r="T346" s="18"/>
      <c r="U346" s="19"/>
      <c r="V346" s="18"/>
      <c r="W346" s="18"/>
      <c r="X346" s="20"/>
      <c r="Y346" s="18"/>
      <c r="Z346" s="18"/>
      <c r="AA346" s="21" t="n">
        <f aca="false">IF(U346&lt;&gt;"",(U346-Scoring!$B$3)/365.25,IF(N346="","",IF(N346&lt;Scoring!$B$12,"",(DATE(N346+Scoring!$B$13,12,31)-Scoring!$B$3)/365.25)))</f>
        <v>3.24709103353867</v>
      </c>
      <c r="AB346" s="22" t="n">
        <f aca="false">IF(T346="Y",0,IF(OR(D346="Expired (verified)",D346="Expiring: notice window (verified)",D346="Expiring: 10-yr horizon (verified)",D346="Past 30-yr mark (verify)",D346="30-yr mark: notice window (est.)",D346="Year-15 window"),1,0)+IF(ISNUMBER(O346),IF(O346&gt;=Scoring!$B$10,1,0),0)+IF(AND(ISNUMBER(L346),ISNUMBER(J346)),IF(J346&gt;0,IF(L346/J346&gt;=Scoring!$B$11,1,0),0),0)+IF(ISNUMBER(Z346),MIN(Z346,3),0))</f>
        <v>1</v>
      </c>
      <c r="AC346" s="22" t="n">
        <f aca="false">IF(AB346&gt;=3,Scoring!$C$24,IF(AB346=2,Scoring!$C$23,IF(AB346=1,Scoring!$C$22,0)))</f>
        <v>10</v>
      </c>
      <c r="AD346" s="22" t="n">
        <f aca="false">IF(T346="Y",0,IF(ISNUMBER(X346),IF(X346&gt;0.7,Scoring!$C$25,IF(X346&gt;=0.5,Scoring!$C$26,IF(X346&gt;=0.3,Scoring!$C$27,Scoring!$C$28))),Scoring!$C$29))</f>
        <v>10</v>
      </c>
      <c r="AE346" s="22" t="n">
        <f aca="false">IF(D346="Expiring: notice window (verified)",Scoring!$C$30,IF(OR(D346="Expired (verified)",D346="30-yr mark: notice window (est.)",D346="Year-15 window"),Scoring!$C$31,IF(D346="Expiring: 10-yr horizon (verified)",Scoring!$C$32,IF(D346="Past 30-yr mark (verify)",Scoring!$C$33,IF(OR(D346="Credit period",D346="Superseded record"),Scoring!$C$35,Scoring!$C$34)))))</f>
        <v>4</v>
      </c>
      <c r="AF346" s="22" t="n">
        <f aca="false">IF(T346="Y",0,IF(ISNUMBER(V346),IF(Scoring!$B$4-V346&gt;15,Scoring!$C$36,IF(Scoring!$B$4-V346&gt;=10,Scoring!$C$37,IF(Scoring!$B$4-V346&gt;=5,Scoring!$C$38,Scoring!$C$39))),IF(OR(N346="",D346="Out of program"),Scoring!$C$40,IF(O346&gt;15,Scoring!$C$36,IF(O346&gt;=10,Scoring!$C$37,IF(O346&gt;=5,Scoring!$C$38,Scoring!$C$39))))))</f>
        <v>15</v>
      </c>
      <c r="AG346" s="22" t="n">
        <f aca="false">IF(T346="Y",0,IF(Y346="Y",Scoring!$C$41,IF(ISNUMBER(O346),IF(O346&gt;=25,Scoring!$C$42,IF(O346&gt;=15,Scoring!$C$43,Scoring!$C$44)),Scoring!$C$44)))</f>
        <v>8</v>
      </c>
      <c r="AH346" s="22" t="n">
        <f aca="false">IF(T346="Y",0,IF(W346="",Scoring!$C$49,IFERROR(VLOOKUP(W346,Scoring!$B$45:$C$48,2,FALSE()),Scoring!$C$49)))</f>
        <v>5</v>
      </c>
      <c r="AI346" s="23" t="n">
        <f aca="false">C346+IF(ISNUMBER(J346),J346,0)/100000+(10000-ROW())/1000000000</f>
        <v>52.000279654</v>
      </c>
      <c r="AJ346" s="18"/>
      <c r="AK346" s="18"/>
      <c r="AL346" s="18"/>
      <c r="AM346" s="18"/>
    </row>
    <row r="347" customFormat="false" ht="15" hidden="false" customHeight="false" outlineLevel="0" collapsed="false">
      <c r="A347" s="15" t="n">
        <f aca="false">RANK(AI347,$AI$2:$AI$755)</f>
        <v>346</v>
      </c>
      <c r="B347" s="16" t="str">
        <f aca="false">IF(T347="Y","Superseded",IF(C347&gt;=Scoring!$B$16,"Immediate",IF(C347&gt;=Scoring!$B$17,"This week",IF(C347&gt;=Scoring!$B$18,"Nurture","Low"))))</f>
        <v>This week</v>
      </c>
      <c r="C347" s="3" t="n">
        <f aca="false">SUM(AC347:AH347)</f>
        <v>52</v>
      </c>
      <c r="D347" s="15" t="str">
        <f aca="false">IF(T347="Y","Superseded record",IF(AND(U347&lt;&gt;"",AA347&lt;0),"Expired (verified)",IF(AND(U347&lt;&gt;"",AA347&lt;=Scoring!$B$5),"Expiring: notice window (verified)",IF(AND(U347&lt;&gt;"",AA347&lt;=Scoring!$B$6),"Expiring: 10-yr horizon (verified)",IF(M347="No Longer Monitored","Out of program",IF(N347="","Unknown vintage",IF(N347&lt;Scoring!$B$12,"Pre-1990, still listed",IF(AND(U347="",AA347&lt;0),"Past 30-yr mark (verify)",IF(AND(U347="",AA347&lt;=Scoring!$B$5),"30-yr mark: notice window (est.)",IF(AND(O347&gt;=Scoring!$B$7,O347&lt;=Scoring!$B$8),"Year-15 window",IF(O347&gt;=Scoring!$B$9,"Recap window",IF(O347&gt;=11,"Late compliance","Credit period"))))))))))))</f>
        <v>Recap window</v>
      </c>
      <c r="E347" s="15" t="s">
        <v>1345</v>
      </c>
      <c r="F347" s="15" t="s">
        <v>1346</v>
      </c>
      <c r="G347" s="15" t="s">
        <v>1347</v>
      </c>
      <c r="H347" s="15" t="s">
        <v>212</v>
      </c>
      <c r="I347" s="15" t="s">
        <v>213</v>
      </c>
      <c r="J347" s="15" t="n">
        <v>26</v>
      </c>
      <c r="K347" s="15" t="n">
        <v>26</v>
      </c>
      <c r="L347" s="15" t="n">
        <f aca="false">IF(OR(J347="",K347=""),"",MAX(J347-K347,0))</f>
        <v>0</v>
      </c>
      <c r="M347" s="15" t="s">
        <v>99</v>
      </c>
      <c r="N347" s="17" t="n">
        <v>2000</v>
      </c>
      <c r="O347" s="15" t="n">
        <f aca="false">IF(N347="","",Scoring!$B$4-N347)</f>
        <v>26</v>
      </c>
      <c r="P347" s="15" t="n">
        <f aca="false">IF(N347="","",N347+14)</f>
        <v>2014</v>
      </c>
      <c r="Q347" s="15" t="n">
        <f aca="false">IF(N347="","",IF(N347&lt;Scoring!$B$12,"n/a (pre-1990)",N347+Scoring!$B$13))</f>
        <v>2029</v>
      </c>
      <c r="R347" s="15" t="str">
        <f aca="false">IF(J347="","Unknown",IF(J347&gt;=5,"Yes","No (under 5 units)"))</f>
        <v>Yes</v>
      </c>
      <c r="S347" s="15"/>
      <c r="T347" s="18"/>
      <c r="U347" s="19"/>
      <c r="V347" s="18"/>
      <c r="W347" s="18"/>
      <c r="X347" s="20"/>
      <c r="Y347" s="18"/>
      <c r="Z347" s="18"/>
      <c r="AA347" s="21" t="n">
        <f aca="false">IF(U347&lt;&gt;"",(U347-Scoring!$B$3)/365.25,IF(N347="","",IF(N347&lt;Scoring!$B$12,"",(DATE(N347+Scoring!$B$13,12,31)-Scoring!$B$3)/365.25)))</f>
        <v>3.24709103353867</v>
      </c>
      <c r="AB347" s="22" t="n">
        <f aca="false">IF(T347="Y",0,IF(OR(D347="Expired (verified)",D347="Expiring: notice window (verified)",D347="Expiring: 10-yr horizon (verified)",D347="Past 30-yr mark (verify)",D347="30-yr mark: notice window (est.)",D347="Year-15 window"),1,0)+IF(ISNUMBER(O347),IF(O347&gt;=Scoring!$B$10,1,0),0)+IF(AND(ISNUMBER(L347),ISNUMBER(J347)),IF(J347&gt;0,IF(L347/J347&gt;=Scoring!$B$11,1,0),0),0)+IF(ISNUMBER(Z347),MIN(Z347,3),0))</f>
        <v>1</v>
      </c>
      <c r="AC347" s="22" t="n">
        <f aca="false">IF(AB347&gt;=3,Scoring!$C$24,IF(AB347=2,Scoring!$C$23,IF(AB347=1,Scoring!$C$22,0)))</f>
        <v>10</v>
      </c>
      <c r="AD347" s="22" t="n">
        <f aca="false">IF(T347="Y",0,IF(ISNUMBER(X347),IF(X347&gt;0.7,Scoring!$C$25,IF(X347&gt;=0.5,Scoring!$C$26,IF(X347&gt;=0.3,Scoring!$C$27,Scoring!$C$28))),Scoring!$C$29))</f>
        <v>10</v>
      </c>
      <c r="AE347" s="22" t="n">
        <f aca="false">IF(D347="Expiring: notice window (verified)",Scoring!$C$30,IF(OR(D347="Expired (verified)",D347="30-yr mark: notice window (est.)",D347="Year-15 window"),Scoring!$C$31,IF(D347="Expiring: 10-yr horizon (verified)",Scoring!$C$32,IF(D347="Past 30-yr mark (verify)",Scoring!$C$33,IF(OR(D347="Credit period",D347="Superseded record"),Scoring!$C$35,Scoring!$C$34)))))</f>
        <v>4</v>
      </c>
      <c r="AF347" s="22" t="n">
        <f aca="false">IF(T347="Y",0,IF(ISNUMBER(V347),IF(Scoring!$B$4-V347&gt;15,Scoring!$C$36,IF(Scoring!$B$4-V347&gt;=10,Scoring!$C$37,IF(Scoring!$B$4-V347&gt;=5,Scoring!$C$38,Scoring!$C$39))),IF(OR(N347="",D347="Out of program"),Scoring!$C$40,IF(O347&gt;15,Scoring!$C$36,IF(O347&gt;=10,Scoring!$C$37,IF(O347&gt;=5,Scoring!$C$38,Scoring!$C$39))))))</f>
        <v>15</v>
      </c>
      <c r="AG347" s="22" t="n">
        <f aca="false">IF(T347="Y",0,IF(Y347="Y",Scoring!$C$41,IF(ISNUMBER(O347),IF(O347&gt;=25,Scoring!$C$42,IF(O347&gt;=15,Scoring!$C$43,Scoring!$C$44)),Scoring!$C$44)))</f>
        <v>8</v>
      </c>
      <c r="AH347" s="22" t="n">
        <f aca="false">IF(T347="Y",0,IF(W347="",Scoring!$C$49,IFERROR(VLOOKUP(W347,Scoring!$B$45:$C$48,2,FALSE()),Scoring!$C$49)))</f>
        <v>5</v>
      </c>
      <c r="AI347" s="23" t="n">
        <f aca="false">C347+IF(ISNUMBER(J347),J347,0)/100000+(10000-ROW())/1000000000</f>
        <v>52.000269653</v>
      </c>
      <c r="AJ347" s="18"/>
      <c r="AK347" s="18"/>
      <c r="AL347" s="18"/>
      <c r="AM347" s="18"/>
    </row>
    <row r="348" customFormat="false" ht="15" hidden="false" customHeight="false" outlineLevel="0" collapsed="false">
      <c r="A348" s="15" t="n">
        <f aca="false">RANK(AI348,$AI$2:$AI$755)</f>
        <v>347</v>
      </c>
      <c r="B348" s="16" t="str">
        <f aca="false">IF(T348="Y","Superseded",IF(C348&gt;=Scoring!$B$16,"Immediate",IF(C348&gt;=Scoring!$B$17,"This week",IF(C348&gt;=Scoring!$B$18,"Nurture","Low"))))</f>
        <v>This week</v>
      </c>
      <c r="C348" s="3" t="n">
        <f aca="false">SUM(AC348:AH348)</f>
        <v>52</v>
      </c>
      <c r="D348" s="15" t="str">
        <f aca="false">IF(T348="Y","Superseded record",IF(AND(U348&lt;&gt;"",AA348&lt;0),"Expired (verified)",IF(AND(U348&lt;&gt;"",AA348&lt;=Scoring!$B$5),"Expiring: notice window (verified)",IF(AND(U348&lt;&gt;"",AA348&lt;=Scoring!$B$6),"Expiring: 10-yr horizon (verified)",IF(M348="No Longer Monitored","Out of program",IF(N348="","Unknown vintage",IF(N348&lt;Scoring!$B$12,"Pre-1990, still listed",IF(AND(U348="",AA348&lt;0),"Past 30-yr mark (verify)",IF(AND(U348="",AA348&lt;=Scoring!$B$5),"30-yr mark: notice window (est.)",IF(AND(O348&gt;=Scoring!$B$7,O348&lt;=Scoring!$B$8),"Year-15 window",IF(O348&gt;=Scoring!$B$9,"Recap window",IF(O348&gt;=11,"Late compliance","Credit period"))))))))))))</f>
        <v>Recap window</v>
      </c>
      <c r="E348" s="15" t="s">
        <v>1348</v>
      </c>
      <c r="F348" s="15" t="s">
        <v>1349</v>
      </c>
      <c r="G348" s="15" t="s">
        <v>1350</v>
      </c>
      <c r="H348" s="15" t="s">
        <v>275</v>
      </c>
      <c r="I348" s="15" t="s">
        <v>276</v>
      </c>
      <c r="J348" s="15" t="n">
        <v>25</v>
      </c>
      <c r="K348" s="15" t="n">
        <v>25</v>
      </c>
      <c r="L348" s="15" t="n">
        <f aca="false">IF(OR(J348="",K348=""),"",MAX(J348-K348,0))</f>
        <v>0</v>
      </c>
      <c r="M348" s="15" t="s">
        <v>99</v>
      </c>
      <c r="N348" s="17" t="n">
        <v>2001</v>
      </c>
      <c r="O348" s="15" t="n">
        <f aca="false">IF(N348="","",Scoring!$B$4-N348)</f>
        <v>25</v>
      </c>
      <c r="P348" s="15" t="n">
        <f aca="false">IF(N348="","",N348+14)</f>
        <v>2015</v>
      </c>
      <c r="Q348" s="15" t="n">
        <f aca="false">IF(N348="","",IF(N348&lt;Scoring!$B$12,"n/a (pre-1990)",N348+Scoring!$B$13))</f>
        <v>2030</v>
      </c>
      <c r="R348" s="15" t="str">
        <f aca="false">IF(J348="","Unknown",IF(J348&gt;=5,"Yes","No (under 5 units)"))</f>
        <v>Yes</v>
      </c>
      <c r="S348" s="15"/>
      <c r="T348" s="18"/>
      <c r="U348" s="19"/>
      <c r="V348" s="18"/>
      <c r="W348" s="18"/>
      <c r="X348" s="20"/>
      <c r="Y348" s="18"/>
      <c r="Z348" s="18"/>
      <c r="AA348" s="21" t="n">
        <f aca="false">IF(U348&lt;&gt;"",(U348-Scoring!$B$3)/365.25,IF(N348="","",IF(N348&lt;Scoring!$B$12,"",(DATE(N348+Scoring!$B$13,12,31)-Scoring!$B$3)/365.25)))</f>
        <v>4.24640657084189</v>
      </c>
      <c r="AB348" s="22" t="n">
        <f aca="false">IF(T348="Y",0,IF(OR(D348="Expired (verified)",D348="Expiring: notice window (verified)",D348="Expiring: 10-yr horizon (verified)",D348="Past 30-yr mark (verify)",D348="30-yr mark: notice window (est.)",D348="Year-15 window"),1,0)+IF(ISNUMBER(O348),IF(O348&gt;=Scoring!$B$10,1,0),0)+IF(AND(ISNUMBER(L348),ISNUMBER(J348)),IF(J348&gt;0,IF(L348/J348&gt;=Scoring!$B$11,1,0),0),0)+IF(ISNUMBER(Z348),MIN(Z348,3),0))</f>
        <v>1</v>
      </c>
      <c r="AC348" s="22" t="n">
        <f aca="false">IF(AB348&gt;=3,Scoring!$C$24,IF(AB348=2,Scoring!$C$23,IF(AB348=1,Scoring!$C$22,0)))</f>
        <v>10</v>
      </c>
      <c r="AD348" s="22" t="n">
        <f aca="false">IF(T348="Y",0,IF(ISNUMBER(X348),IF(X348&gt;0.7,Scoring!$C$25,IF(X348&gt;=0.5,Scoring!$C$26,IF(X348&gt;=0.3,Scoring!$C$27,Scoring!$C$28))),Scoring!$C$29))</f>
        <v>10</v>
      </c>
      <c r="AE348" s="22" t="n">
        <f aca="false">IF(D348="Expiring: notice window (verified)",Scoring!$C$30,IF(OR(D348="Expired (verified)",D348="30-yr mark: notice window (est.)",D348="Year-15 window"),Scoring!$C$31,IF(D348="Expiring: 10-yr horizon (verified)",Scoring!$C$32,IF(D348="Past 30-yr mark (verify)",Scoring!$C$33,IF(OR(D348="Credit period",D348="Superseded record"),Scoring!$C$35,Scoring!$C$34)))))</f>
        <v>4</v>
      </c>
      <c r="AF348" s="22" t="n">
        <f aca="false">IF(T348="Y",0,IF(ISNUMBER(V348),IF(Scoring!$B$4-V348&gt;15,Scoring!$C$36,IF(Scoring!$B$4-V348&gt;=10,Scoring!$C$37,IF(Scoring!$B$4-V348&gt;=5,Scoring!$C$38,Scoring!$C$39))),IF(OR(N348="",D348="Out of program"),Scoring!$C$40,IF(O348&gt;15,Scoring!$C$36,IF(O348&gt;=10,Scoring!$C$37,IF(O348&gt;=5,Scoring!$C$38,Scoring!$C$39))))))</f>
        <v>15</v>
      </c>
      <c r="AG348" s="22" t="n">
        <f aca="false">IF(T348="Y",0,IF(Y348="Y",Scoring!$C$41,IF(ISNUMBER(O348),IF(O348&gt;=25,Scoring!$C$42,IF(O348&gt;=15,Scoring!$C$43,Scoring!$C$44)),Scoring!$C$44)))</f>
        <v>8</v>
      </c>
      <c r="AH348" s="22" t="n">
        <f aca="false">IF(T348="Y",0,IF(W348="",Scoring!$C$49,IFERROR(VLOOKUP(W348,Scoring!$B$45:$C$48,2,FALSE()),Scoring!$C$49)))</f>
        <v>5</v>
      </c>
      <c r="AI348" s="23" t="n">
        <f aca="false">C348+IF(ISNUMBER(J348),J348,0)/100000+(10000-ROW())/1000000000</f>
        <v>52.000259652</v>
      </c>
      <c r="AJ348" s="18"/>
      <c r="AK348" s="18"/>
      <c r="AL348" s="18"/>
      <c r="AM348" s="18"/>
    </row>
    <row r="349" customFormat="false" ht="15" hidden="false" customHeight="false" outlineLevel="0" collapsed="false">
      <c r="A349" s="15" t="n">
        <f aca="false">RANK(AI349,$AI$2:$AI$755)</f>
        <v>348</v>
      </c>
      <c r="B349" s="16" t="str">
        <f aca="false">IF(T349="Y","Superseded",IF(C349&gt;=Scoring!$B$16,"Immediate",IF(C349&gt;=Scoring!$B$17,"This week",IF(C349&gt;=Scoring!$B$18,"Nurture","Low"))))</f>
        <v>This week</v>
      </c>
      <c r="C349" s="3" t="n">
        <f aca="false">SUM(AC349:AH349)</f>
        <v>52</v>
      </c>
      <c r="D349" s="15" t="str">
        <f aca="false">IF(T349="Y","Superseded record",IF(AND(U349&lt;&gt;"",AA349&lt;0),"Expired (verified)",IF(AND(U349&lt;&gt;"",AA349&lt;=Scoring!$B$5),"Expiring: notice window (verified)",IF(AND(U349&lt;&gt;"",AA349&lt;=Scoring!$B$6),"Expiring: 10-yr horizon (verified)",IF(M349="No Longer Monitored","Out of program",IF(N349="","Unknown vintage",IF(N349&lt;Scoring!$B$12,"Pre-1990, still listed",IF(AND(U349="",AA349&lt;0),"Past 30-yr mark (verify)",IF(AND(U349="",AA349&lt;=Scoring!$B$5),"30-yr mark: notice window (est.)",IF(AND(O349&gt;=Scoring!$B$7,O349&lt;=Scoring!$B$8),"Year-15 window",IF(O349&gt;=Scoring!$B$9,"Recap window",IF(O349&gt;=11,"Late compliance","Credit period"))))))))))))</f>
        <v>Pre-1990, still listed</v>
      </c>
      <c r="E349" s="15" t="s">
        <v>1351</v>
      </c>
      <c r="F349" s="15" t="s">
        <v>1352</v>
      </c>
      <c r="G349" s="15" t="s">
        <v>1353</v>
      </c>
      <c r="H349" s="15" t="s">
        <v>565</v>
      </c>
      <c r="I349" s="15" t="s">
        <v>566</v>
      </c>
      <c r="J349" s="15" t="n">
        <v>24</v>
      </c>
      <c r="K349" s="15" t="n">
        <v>24</v>
      </c>
      <c r="L349" s="15" t="n">
        <f aca="false">IF(OR(J349="",K349=""),"",MAX(J349-K349,0))</f>
        <v>0</v>
      </c>
      <c r="M349" s="15" t="s">
        <v>99</v>
      </c>
      <c r="N349" s="17" t="n">
        <v>1987</v>
      </c>
      <c r="O349" s="15" t="n">
        <f aca="false">IF(N349="","",Scoring!$B$4-N349)</f>
        <v>39</v>
      </c>
      <c r="P349" s="15" t="n">
        <f aca="false">IF(N349="","",N349+14)</f>
        <v>2001</v>
      </c>
      <c r="Q349" s="15" t="str">
        <f aca="false">IF(N349="","",IF(N349&lt;Scoring!$B$12,"n/a (pre-1990)",N349+Scoring!$B$13))</f>
        <v>n/a (pre-1990)</v>
      </c>
      <c r="R349" s="15" t="str">
        <f aca="false">IF(J349="","Unknown",IF(J349&gt;=5,"Yes","No (under 5 units)"))</f>
        <v>Yes</v>
      </c>
      <c r="S349" s="15" t="s">
        <v>1354</v>
      </c>
      <c r="T349" s="18"/>
      <c r="U349" s="19"/>
      <c r="V349" s="18"/>
      <c r="W349" s="18"/>
      <c r="X349" s="20"/>
      <c r="Y349" s="18"/>
      <c r="Z349" s="18"/>
      <c r="AA349" s="21" t="str">
        <f aca="false">IF(U349&lt;&gt;"",(U349-Scoring!$B$3)/365.25,IF(N349="","",IF(N349&lt;Scoring!$B$12,"",(DATE(N349+Scoring!$B$13,12,31)-Scoring!$B$3)/365.25)))</f>
        <v/>
      </c>
      <c r="AB349" s="22" t="n">
        <f aca="false">IF(T349="Y",0,IF(OR(D349="Expired (verified)",D349="Expiring: notice window (verified)",D349="Expiring: 10-yr horizon (verified)",D349="Past 30-yr mark (verify)",D349="30-yr mark: notice window (est.)",D349="Year-15 window"),1,0)+IF(ISNUMBER(O349),IF(O349&gt;=Scoring!$B$10,1,0),0)+IF(AND(ISNUMBER(L349),ISNUMBER(J349)),IF(J349&gt;0,IF(L349/J349&gt;=Scoring!$B$11,1,0),0),0)+IF(ISNUMBER(Z349),MIN(Z349,3),0))</f>
        <v>1</v>
      </c>
      <c r="AC349" s="22" t="n">
        <f aca="false">IF(AB349&gt;=3,Scoring!$C$24,IF(AB349=2,Scoring!$C$23,IF(AB349=1,Scoring!$C$22,0)))</f>
        <v>10</v>
      </c>
      <c r="AD349" s="22" t="n">
        <f aca="false">IF(T349="Y",0,IF(ISNUMBER(X349),IF(X349&gt;0.7,Scoring!$C$25,IF(X349&gt;=0.5,Scoring!$C$26,IF(X349&gt;=0.3,Scoring!$C$27,Scoring!$C$28))),Scoring!$C$29))</f>
        <v>10</v>
      </c>
      <c r="AE349" s="22" t="n">
        <f aca="false">IF(D349="Expiring: notice window (verified)",Scoring!$C$30,IF(OR(D349="Expired (verified)",D349="30-yr mark: notice window (est.)",D349="Year-15 window"),Scoring!$C$31,IF(D349="Expiring: 10-yr horizon (verified)",Scoring!$C$32,IF(D349="Past 30-yr mark (verify)",Scoring!$C$33,IF(OR(D349="Credit period",D349="Superseded record"),Scoring!$C$35,Scoring!$C$34)))))</f>
        <v>4</v>
      </c>
      <c r="AF349" s="22" t="n">
        <f aca="false">IF(T349="Y",0,IF(ISNUMBER(V349),IF(Scoring!$B$4-V349&gt;15,Scoring!$C$36,IF(Scoring!$B$4-V349&gt;=10,Scoring!$C$37,IF(Scoring!$B$4-V349&gt;=5,Scoring!$C$38,Scoring!$C$39))),IF(OR(N349="",D349="Out of program"),Scoring!$C$40,IF(O349&gt;15,Scoring!$C$36,IF(O349&gt;=10,Scoring!$C$37,IF(O349&gt;=5,Scoring!$C$38,Scoring!$C$39))))))</f>
        <v>15</v>
      </c>
      <c r="AG349" s="22" t="n">
        <f aca="false">IF(T349="Y",0,IF(Y349="Y",Scoring!$C$41,IF(ISNUMBER(O349),IF(O349&gt;=25,Scoring!$C$42,IF(O349&gt;=15,Scoring!$C$43,Scoring!$C$44)),Scoring!$C$44)))</f>
        <v>8</v>
      </c>
      <c r="AH349" s="22" t="n">
        <f aca="false">IF(T349="Y",0,IF(W349="",Scoring!$C$49,IFERROR(VLOOKUP(W349,Scoring!$B$45:$C$48,2,FALSE()),Scoring!$C$49)))</f>
        <v>5</v>
      </c>
      <c r="AI349" s="23" t="n">
        <f aca="false">C349+IF(ISNUMBER(J349),J349,0)/100000+(10000-ROW())/1000000000</f>
        <v>52.000249651</v>
      </c>
      <c r="AJ349" s="18"/>
      <c r="AK349" s="18"/>
      <c r="AL349" s="18"/>
      <c r="AM349" s="18"/>
    </row>
    <row r="350" customFormat="false" ht="15" hidden="false" customHeight="false" outlineLevel="0" collapsed="false">
      <c r="A350" s="15" t="n">
        <f aca="false">RANK(AI350,$AI$2:$AI$755)</f>
        <v>349</v>
      </c>
      <c r="B350" s="16" t="str">
        <f aca="false">IF(T350="Y","Superseded",IF(C350&gt;=Scoring!$B$16,"Immediate",IF(C350&gt;=Scoring!$B$17,"This week",IF(C350&gt;=Scoring!$B$18,"Nurture","Low"))))</f>
        <v>This week</v>
      </c>
      <c r="C350" s="3" t="n">
        <f aca="false">SUM(AC350:AH350)</f>
        <v>52</v>
      </c>
      <c r="D350" s="15" t="str">
        <f aca="false">IF(T350="Y","Superseded record",IF(AND(U350&lt;&gt;"",AA350&lt;0),"Expired (verified)",IF(AND(U350&lt;&gt;"",AA350&lt;=Scoring!$B$5),"Expiring: notice window (verified)",IF(AND(U350&lt;&gt;"",AA350&lt;=Scoring!$B$6),"Expiring: 10-yr horizon (verified)",IF(M350="No Longer Monitored","Out of program",IF(N350="","Unknown vintage",IF(N350&lt;Scoring!$B$12,"Pre-1990, still listed",IF(AND(U350="",AA350&lt;0),"Past 30-yr mark (verify)",IF(AND(U350="",AA350&lt;=Scoring!$B$5),"30-yr mark: notice window (est.)",IF(AND(O350&gt;=Scoring!$B$7,O350&lt;=Scoring!$B$8),"Year-15 window",IF(O350&gt;=Scoring!$B$9,"Recap window",IF(O350&gt;=11,"Late compliance","Credit period"))))))))))))</f>
        <v>Recap window</v>
      </c>
      <c r="E350" s="15" t="s">
        <v>1355</v>
      </c>
      <c r="F350" s="15" t="s">
        <v>1356</v>
      </c>
      <c r="G350" s="15" t="s">
        <v>1357</v>
      </c>
      <c r="H350" s="15" t="s">
        <v>1358</v>
      </c>
      <c r="I350" s="15" t="s">
        <v>1359</v>
      </c>
      <c r="J350" s="15" t="n">
        <v>24</v>
      </c>
      <c r="K350" s="15" t="n">
        <v>23</v>
      </c>
      <c r="L350" s="15" t="n">
        <f aca="false">IF(OR(J350="",K350=""),"",MAX(J350-K350,0))</f>
        <v>1</v>
      </c>
      <c r="M350" s="15" t="s">
        <v>99</v>
      </c>
      <c r="N350" s="17" t="n">
        <v>2000</v>
      </c>
      <c r="O350" s="15" t="n">
        <f aca="false">IF(N350="","",Scoring!$B$4-N350)</f>
        <v>26</v>
      </c>
      <c r="P350" s="15" t="n">
        <f aca="false">IF(N350="","",N350+14)</f>
        <v>2014</v>
      </c>
      <c r="Q350" s="15" t="n">
        <f aca="false">IF(N350="","",IF(N350&lt;Scoring!$B$12,"n/a (pre-1990)",N350+Scoring!$B$13))</f>
        <v>2029</v>
      </c>
      <c r="R350" s="15" t="str">
        <f aca="false">IF(J350="","Unknown",IF(J350&gt;=5,"Yes","No (under 5 units)"))</f>
        <v>Yes</v>
      </c>
      <c r="S350" s="15"/>
      <c r="T350" s="18"/>
      <c r="U350" s="19"/>
      <c r="V350" s="18"/>
      <c r="W350" s="18"/>
      <c r="X350" s="20"/>
      <c r="Y350" s="18"/>
      <c r="Z350" s="18"/>
      <c r="AA350" s="21" t="n">
        <f aca="false">IF(U350&lt;&gt;"",(U350-Scoring!$B$3)/365.25,IF(N350="","",IF(N350&lt;Scoring!$B$12,"",(DATE(N350+Scoring!$B$13,12,31)-Scoring!$B$3)/365.25)))</f>
        <v>3.24709103353867</v>
      </c>
      <c r="AB350" s="22" t="n">
        <f aca="false">IF(T350="Y",0,IF(OR(D350="Expired (verified)",D350="Expiring: notice window (verified)",D350="Expiring: 10-yr horizon (verified)",D350="Past 30-yr mark (verify)",D350="30-yr mark: notice window (est.)",D350="Year-15 window"),1,0)+IF(ISNUMBER(O350),IF(O350&gt;=Scoring!$B$10,1,0),0)+IF(AND(ISNUMBER(L350),ISNUMBER(J350)),IF(J350&gt;0,IF(L350/J350&gt;=Scoring!$B$11,1,0),0),0)+IF(ISNUMBER(Z350),MIN(Z350,3),0))</f>
        <v>1</v>
      </c>
      <c r="AC350" s="22" t="n">
        <f aca="false">IF(AB350&gt;=3,Scoring!$C$24,IF(AB350=2,Scoring!$C$23,IF(AB350=1,Scoring!$C$22,0)))</f>
        <v>10</v>
      </c>
      <c r="AD350" s="22" t="n">
        <f aca="false">IF(T350="Y",0,IF(ISNUMBER(X350),IF(X350&gt;0.7,Scoring!$C$25,IF(X350&gt;=0.5,Scoring!$C$26,IF(X350&gt;=0.3,Scoring!$C$27,Scoring!$C$28))),Scoring!$C$29))</f>
        <v>10</v>
      </c>
      <c r="AE350" s="22" t="n">
        <f aca="false">IF(D350="Expiring: notice window (verified)",Scoring!$C$30,IF(OR(D350="Expired (verified)",D350="30-yr mark: notice window (est.)",D350="Year-15 window"),Scoring!$C$31,IF(D350="Expiring: 10-yr horizon (verified)",Scoring!$C$32,IF(D350="Past 30-yr mark (verify)",Scoring!$C$33,IF(OR(D350="Credit period",D350="Superseded record"),Scoring!$C$35,Scoring!$C$34)))))</f>
        <v>4</v>
      </c>
      <c r="AF350" s="22" t="n">
        <f aca="false">IF(T350="Y",0,IF(ISNUMBER(V350),IF(Scoring!$B$4-V350&gt;15,Scoring!$C$36,IF(Scoring!$B$4-V350&gt;=10,Scoring!$C$37,IF(Scoring!$B$4-V350&gt;=5,Scoring!$C$38,Scoring!$C$39))),IF(OR(N350="",D350="Out of program"),Scoring!$C$40,IF(O350&gt;15,Scoring!$C$36,IF(O350&gt;=10,Scoring!$C$37,IF(O350&gt;=5,Scoring!$C$38,Scoring!$C$39))))))</f>
        <v>15</v>
      </c>
      <c r="AG350" s="22" t="n">
        <f aca="false">IF(T350="Y",0,IF(Y350="Y",Scoring!$C$41,IF(ISNUMBER(O350),IF(O350&gt;=25,Scoring!$C$42,IF(O350&gt;=15,Scoring!$C$43,Scoring!$C$44)),Scoring!$C$44)))</f>
        <v>8</v>
      </c>
      <c r="AH350" s="22" t="n">
        <f aca="false">IF(T350="Y",0,IF(W350="",Scoring!$C$49,IFERROR(VLOOKUP(W350,Scoring!$B$45:$C$48,2,FALSE()),Scoring!$C$49)))</f>
        <v>5</v>
      </c>
      <c r="AI350" s="23" t="n">
        <f aca="false">C350+IF(ISNUMBER(J350),J350,0)/100000+(10000-ROW())/1000000000</f>
        <v>52.00024965</v>
      </c>
      <c r="AJ350" s="18"/>
      <c r="AK350" s="18"/>
      <c r="AL350" s="18"/>
      <c r="AM350" s="18"/>
    </row>
    <row r="351" customFormat="false" ht="15" hidden="false" customHeight="false" outlineLevel="0" collapsed="false">
      <c r="A351" s="15" t="n">
        <f aca="false">RANK(AI351,$AI$2:$AI$755)</f>
        <v>350</v>
      </c>
      <c r="B351" s="16" t="str">
        <f aca="false">IF(T351="Y","Superseded",IF(C351&gt;=Scoring!$B$16,"Immediate",IF(C351&gt;=Scoring!$B$17,"This week",IF(C351&gt;=Scoring!$B$18,"Nurture","Low"))))</f>
        <v>This week</v>
      </c>
      <c r="C351" s="3" t="n">
        <f aca="false">SUM(AC351:AH351)</f>
        <v>52</v>
      </c>
      <c r="D351" s="15" t="str">
        <f aca="false">IF(T351="Y","Superseded record",IF(AND(U351&lt;&gt;"",AA351&lt;0),"Expired (verified)",IF(AND(U351&lt;&gt;"",AA351&lt;=Scoring!$B$5),"Expiring: notice window (verified)",IF(AND(U351&lt;&gt;"",AA351&lt;=Scoring!$B$6),"Expiring: 10-yr horizon (verified)",IF(M351="No Longer Monitored","Out of program",IF(N351="","Unknown vintage",IF(N351&lt;Scoring!$B$12,"Pre-1990, still listed",IF(AND(U351="",AA351&lt;0),"Past 30-yr mark (verify)",IF(AND(U351="",AA351&lt;=Scoring!$B$5),"30-yr mark: notice window (est.)",IF(AND(O351&gt;=Scoring!$B$7,O351&lt;=Scoring!$B$8),"Year-15 window",IF(O351&gt;=Scoring!$B$9,"Recap window",IF(O351&gt;=11,"Late compliance","Credit period"))))))))))))</f>
        <v>Recap window</v>
      </c>
      <c r="E351" s="15" t="s">
        <v>1360</v>
      </c>
      <c r="F351" s="15" t="s">
        <v>1361</v>
      </c>
      <c r="G351" s="15" t="s">
        <v>1362</v>
      </c>
      <c r="H351" s="15" t="s">
        <v>345</v>
      </c>
      <c r="I351" s="15" t="s">
        <v>346</v>
      </c>
      <c r="J351" s="15" t="n">
        <v>24</v>
      </c>
      <c r="K351" s="15" t="n">
        <v>24</v>
      </c>
      <c r="L351" s="15" t="n">
        <f aca="false">IF(OR(J351="",K351=""),"",MAX(J351-K351,0))</f>
        <v>0</v>
      </c>
      <c r="M351" s="15" t="s">
        <v>99</v>
      </c>
      <c r="N351" s="17" t="n">
        <v>2001</v>
      </c>
      <c r="O351" s="15" t="n">
        <f aca="false">IF(N351="","",Scoring!$B$4-N351)</f>
        <v>25</v>
      </c>
      <c r="P351" s="15" t="n">
        <f aca="false">IF(N351="","",N351+14)</f>
        <v>2015</v>
      </c>
      <c r="Q351" s="15" t="n">
        <f aca="false">IF(N351="","",IF(N351&lt;Scoring!$B$12,"n/a (pre-1990)",N351+Scoring!$B$13))</f>
        <v>2030</v>
      </c>
      <c r="R351" s="15" t="str">
        <f aca="false">IF(J351="","Unknown",IF(J351&gt;=5,"Yes","No (under 5 units)"))</f>
        <v>Yes</v>
      </c>
      <c r="S351" s="15"/>
      <c r="T351" s="18"/>
      <c r="U351" s="19"/>
      <c r="V351" s="18"/>
      <c r="W351" s="18"/>
      <c r="X351" s="20"/>
      <c r="Y351" s="18"/>
      <c r="Z351" s="18"/>
      <c r="AA351" s="21" t="n">
        <f aca="false">IF(U351&lt;&gt;"",(U351-Scoring!$B$3)/365.25,IF(N351="","",IF(N351&lt;Scoring!$B$12,"",(DATE(N351+Scoring!$B$13,12,31)-Scoring!$B$3)/365.25)))</f>
        <v>4.24640657084189</v>
      </c>
      <c r="AB351" s="22" t="n">
        <f aca="false">IF(T351="Y",0,IF(OR(D351="Expired (verified)",D351="Expiring: notice window (verified)",D351="Expiring: 10-yr horizon (verified)",D351="Past 30-yr mark (verify)",D351="30-yr mark: notice window (est.)",D351="Year-15 window"),1,0)+IF(ISNUMBER(O351),IF(O351&gt;=Scoring!$B$10,1,0),0)+IF(AND(ISNUMBER(L351),ISNUMBER(J351)),IF(J351&gt;0,IF(L351/J351&gt;=Scoring!$B$11,1,0),0),0)+IF(ISNUMBER(Z351),MIN(Z351,3),0))</f>
        <v>1</v>
      </c>
      <c r="AC351" s="22" t="n">
        <f aca="false">IF(AB351&gt;=3,Scoring!$C$24,IF(AB351=2,Scoring!$C$23,IF(AB351=1,Scoring!$C$22,0)))</f>
        <v>10</v>
      </c>
      <c r="AD351" s="22" t="n">
        <f aca="false">IF(T351="Y",0,IF(ISNUMBER(X351),IF(X351&gt;0.7,Scoring!$C$25,IF(X351&gt;=0.5,Scoring!$C$26,IF(X351&gt;=0.3,Scoring!$C$27,Scoring!$C$28))),Scoring!$C$29))</f>
        <v>10</v>
      </c>
      <c r="AE351" s="22" t="n">
        <f aca="false">IF(D351="Expiring: notice window (verified)",Scoring!$C$30,IF(OR(D351="Expired (verified)",D351="30-yr mark: notice window (est.)",D351="Year-15 window"),Scoring!$C$31,IF(D351="Expiring: 10-yr horizon (verified)",Scoring!$C$32,IF(D351="Past 30-yr mark (verify)",Scoring!$C$33,IF(OR(D351="Credit period",D351="Superseded record"),Scoring!$C$35,Scoring!$C$34)))))</f>
        <v>4</v>
      </c>
      <c r="AF351" s="22" t="n">
        <f aca="false">IF(T351="Y",0,IF(ISNUMBER(V351),IF(Scoring!$B$4-V351&gt;15,Scoring!$C$36,IF(Scoring!$B$4-V351&gt;=10,Scoring!$C$37,IF(Scoring!$B$4-V351&gt;=5,Scoring!$C$38,Scoring!$C$39))),IF(OR(N351="",D351="Out of program"),Scoring!$C$40,IF(O351&gt;15,Scoring!$C$36,IF(O351&gt;=10,Scoring!$C$37,IF(O351&gt;=5,Scoring!$C$38,Scoring!$C$39))))))</f>
        <v>15</v>
      </c>
      <c r="AG351" s="22" t="n">
        <f aca="false">IF(T351="Y",0,IF(Y351="Y",Scoring!$C$41,IF(ISNUMBER(O351),IF(O351&gt;=25,Scoring!$C$42,IF(O351&gt;=15,Scoring!$C$43,Scoring!$C$44)),Scoring!$C$44)))</f>
        <v>8</v>
      </c>
      <c r="AH351" s="22" t="n">
        <f aca="false">IF(T351="Y",0,IF(W351="",Scoring!$C$49,IFERROR(VLOOKUP(W351,Scoring!$B$45:$C$48,2,FALSE()),Scoring!$C$49)))</f>
        <v>5</v>
      </c>
      <c r="AI351" s="23" t="n">
        <f aca="false">C351+IF(ISNUMBER(J351),J351,0)/100000+(10000-ROW())/1000000000</f>
        <v>52.000249649</v>
      </c>
      <c r="AJ351" s="18"/>
      <c r="AK351" s="18"/>
      <c r="AL351" s="18"/>
      <c r="AM351" s="18"/>
    </row>
    <row r="352" customFormat="false" ht="15" hidden="false" customHeight="false" outlineLevel="0" collapsed="false">
      <c r="A352" s="15" t="n">
        <f aca="false">RANK(AI352,$AI$2:$AI$755)</f>
        <v>351</v>
      </c>
      <c r="B352" s="16" t="str">
        <f aca="false">IF(T352="Y","Superseded",IF(C352&gt;=Scoring!$B$16,"Immediate",IF(C352&gt;=Scoring!$B$17,"This week",IF(C352&gt;=Scoring!$B$18,"Nurture","Low"))))</f>
        <v>This week</v>
      </c>
      <c r="C352" s="3" t="n">
        <f aca="false">SUM(AC352:AH352)</f>
        <v>52</v>
      </c>
      <c r="D352" s="15" t="str">
        <f aca="false">IF(T352="Y","Superseded record",IF(AND(U352&lt;&gt;"",AA352&lt;0),"Expired (verified)",IF(AND(U352&lt;&gt;"",AA352&lt;=Scoring!$B$5),"Expiring: notice window (verified)",IF(AND(U352&lt;&gt;"",AA352&lt;=Scoring!$B$6),"Expiring: 10-yr horizon (verified)",IF(M352="No Longer Monitored","Out of program",IF(N352="","Unknown vintage",IF(N352&lt;Scoring!$B$12,"Pre-1990, still listed",IF(AND(U352="",AA352&lt;0),"Past 30-yr mark (verify)",IF(AND(U352="",AA352&lt;=Scoring!$B$5),"30-yr mark: notice window (est.)",IF(AND(O352&gt;=Scoring!$B$7,O352&lt;=Scoring!$B$8),"Year-15 window",IF(O352&gt;=Scoring!$B$9,"Recap window",IF(O352&gt;=11,"Late compliance","Credit period"))))))))))))</f>
        <v>Recap window</v>
      </c>
      <c r="E352" s="15" t="s">
        <v>1363</v>
      </c>
      <c r="F352" s="15" t="s">
        <v>1364</v>
      </c>
      <c r="G352" s="15" t="s">
        <v>1365</v>
      </c>
      <c r="H352" s="15" t="s">
        <v>97</v>
      </c>
      <c r="I352" s="15" t="s">
        <v>116</v>
      </c>
      <c r="J352" s="15" t="n">
        <v>24</v>
      </c>
      <c r="K352" s="15" t="n">
        <v>24</v>
      </c>
      <c r="L352" s="15" t="n">
        <f aca="false">IF(OR(J352="",K352=""),"",MAX(J352-K352,0))</f>
        <v>0</v>
      </c>
      <c r="M352" s="15" t="s">
        <v>99</v>
      </c>
      <c r="N352" s="17" t="n">
        <v>2001</v>
      </c>
      <c r="O352" s="15" t="n">
        <f aca="false">IF(N352="","",Scoring!$B$4-N352)</f>
        <v>25</v>
      </c>
      <c r="P352" s="15" t="n">
        <f aca="false">IF(N352="","",N352+14)</f>
        <v>2015</v>
      </c>
      <c r="Q352" s="15" t="n">
        <f aca="false">IF(N352="","",IF(N352&lt;Scoring!$B$12,"n/a (pre-1990)",N352+Scoring!$B$13))</f>
        <v>2030</v>
      </c>
      <c r="R352" s="15" t="str">
        <f aca="false">IF(J352="","Unknown",IF(J352&gt;=5,"Yes","No (under 5 units)"))</f>
        <v>Yes</v>
      </c>
      <c r="S352" s="15"/>
      <c r="T352" s="18"/>
      <c r="U352" s="19"/>
      <c r="V352" s="18"/>
      <c r="W352" s="18"/>
      <c r="X352" s="20"/>
      <c r="Y352" s="18"/>
      <c r="Z352" s="18"/>
      <c r="AA352" s="21" t="n">
        <f aca="false">IF(U352&lt;&gt;"",(U352-Scoring!$B$3)/365.25,IF(N352="","",IF(N352&lt;Scoring!$B$12,"",(DATE(N352+Scoring!$B$13,12,31)-Scoring!$B$3)/365.25)))</f>
        <v>4.24640657084189</v>
      </c>
      <c r="AB352" s="22" t="n">
        <f aca="false">IF(T352="Y",0,IF(OR(D352="Expired (verified)",D352="Expiring: notice window (verified)",D352="Expiring: 10-yr horizon (verified)",D352="Past 30-yr mark (verify)",D352="30-yr mark: notice window (est.)",D352="Year-15 window"),1,0)+IF(ISNUMBER(O352),IF(O352&gt;=Scoring!$B$10,1,0),0)+IF(AND(ISNUMBER(L352),ISNUMBER(J352)),IF(J352&gt;0,IF(L352/J352&gt;=Scoring!$B$11,1,0),0),0)+IF(ISNUMBER(Z352),MIN(Z352,3),0))</f>
        <v>1</v>
      </c>
      <c r="AC352" s="22" t="n">
        <f aca="false">IF(AB352&gt;=3,Scoring!$C$24,IF(AB352=2,Scoring!$C$23,IF(AB352=1,Scoring!$C$22,0)))</f>
        <v>10</v>
      </c>
      <c r="AD352" s="22" t="n">
        <f aca="false">IF(T352="Y",0,IF(ISNUMBER(X352),IF(X352&gt;0.7,Scoring!$C$25,IF(X352&gt;=0.5,Scoring!$C$26,IF(X352&gt;=0.3,Scoring!$C$27,Scoring!$C$28))),Scoring!$C$29))</f>
        <v>10</v>
      </c>
      <c r="AE352" s="22" t="n">
        <f aca="false">IF(D352="Expiring: notice window (verified)",Scoring!$C$30,IF(OR(D352="Expired (verified)",D352="30-yr mark: notice window (est.)",D352="Year-15 window"),Scoring!$C$31,IF(D352="Expiring: 10-yr horizon (verified)",Scoring!$C$32,IF(D352="Past 30-yr mark (verify)",Scoring!$C$33,IF(OR(D352="Credit period",D352="Superseded record"),Scoring!$C$35,Scoring!$C$34)))))</f>
        <v>4</v>
      </c>
      <c r="AF352" s="22" t="n">
        <f aca="false">IF(T352="Y",0,IF(ISNUMBER(V352),IF(Scoring!$B$4-V352&gt;15,Scoring!$C$36,IF(Scoring!$B$4-V352&gt;=10,Scoring!$C$37,IF(Scoring!$B$4-V352&gt;=5,Scoring!$C$38,Scoring!$C$39))),IF(OR(N352="",D352="Out of program"),Scoring!$C$40,IF(O352&gt;15,Scoring!$C$36,IF(O352&gt;=10,Scoring!$C$37,IF(O352&gt;=5,Scoring!$C$38,Scoring!$C$39))))))</f>
        <v>15</v>
      </c>
      <c r="AG352" s="22" t="n">
        <f aca="false">IF(T352="Y",0,IF(Y352="Y",Scoring!$C$41,IF(ISNUMBER(O352),IF(O352&gt;=25,Scoring!$C$42,IF(O352&gt;=15,Scoring!$C$43,Scoring!$C$44)),Scoring!$C$44)))</f>
        <v>8</v>
      </c>
      <c r="AH352" s="22" t="n">
        <f aca="false">IF(T352="Y",0,IF(W352="",Scoring!$C$49,IFERROR(VLOOKUP(W352,Scoring!$B$45:$C$48,2,FALSE()),Scoring!$C$49)))</f>
        <v>5</v>
      </c>
      <c r="AI352" s="23" t="n">
        <f aca="false">C352+IF(ISNUMBER(J352),J352,0)/100000+(10000-ROW())/1000000000</f>
        <v>52.000249648</v>
      </c>
      <c r="AJ352" s="18"/>
      <c r="AK352" s="18"/>
      <c r="AL352" s="18"/>
      <c r="AM352" s="18"/>
    </row>
    <row r="353" customFormat="false" ht="15" hidden="false" customHeight="false" outlineLevel="0" collapsed="false">
      <c r="A353" s="15" t="n">
        <f aca="false">RANK(AI353,$AI$2:$AI$755)</f>
        <v>352</v>
      </c>
      <c r="B353" s="16" t="str">
        <f aca="false">IF(T353="Y","Superseded",IF(C353&gt;=Scoring!$B$16,"Immediate",IF(C353&gt;=Scoring!$B$17,"This week",IF(C353&gt;=Scoring!$B$18,"Nurture","Low"))))</f>
        <v>This week</v>
      </c>
      <c r="C353" s="3" t="n">
        <f aca="false">SUM(AC353:AH353)</f>
        <v>52</v>
      </c>
      <c r="D353" s="15" t="str">
        <f aca="false">IF(T353="Y","Superseded record",IF(AND(U353&lt;&gt;"",AA353&lt;0),"Expired (verified)",IF(AND(U353&lt;&gt;"",AA353&lt;=Scoring!$B$5),"Expiring: notice window (verified)",IF(AND(U353&lt;&gt;"",AA353&lt;=Scoring!$B$6),"Expiring: 10-yr horizon (verified)",IF(M353="No Longer Monitored","Out of program",IF(N353="","Unknown vintage",IF(N353&lt;Scoring!$B$12,"Pre-1990, still listed",IF(AND(U353="",AA353&lt;0),"Past 30-yr mark (verify)",IF(AND(U353="",AA353&lt;=Scoring!$B$5),"30-yr mark: notice window (est.)",IF(AND(O353&gt;=Scoring!$B$7,O353&lt;=Scoring!$B$8),"Year-15 window",IF(O353&gt;=Scoring!$B$9,"Recap window",IF(O353&gt;=11,"Late compliance","Credit period"))))))))))))</f>
        <v>Recap window</v>
      </c>
      <c r="E353" s="15" t="s">
        <v>1366</v>
      </c>
      <c r="F353" s="15" t="s">
        <v>1367</v>
      </c>
      <c r="G353" s="15" t="s">
        <v>1368</v>
      </c>
      <c r="H353" s="15" t="s">
        <v>97</v>
      </c>
      <c r="I353" s="15" t="s">
        <v>362</v>
      </c>
      <c r="J353" s="15" t="n">
        <v>22</v>
      </c>
      <c r="K353" s="15" t="n">
        <v>22</v>
      </c>
      <c r="L353" s="15" t="n">
        <f aca="false">IF(OR(J353="",K353=""),"",MAX(J353-K353,0))</f>
        <v>0</v>
      </c>
      <c r="M353" s="15" t="s">
        <v>99</v>
      </c>
      <c r="N353" s="17" t="n">
        <v>2000</v>
      </c>
      <c r="O353" s="15" t="n">
        <f aca="false">IF(N353="","",Scoring!$B$4-N353)</f>
        <v>26</v>
      </c>
      <c r="P353" s="15" t="n">
        <f aca="false">IF(N353="","",N353+14)</f>
        <v>2014</v>
      </c>
      <c r="Q353" s="15" t="n">
        <f aca="false">IF(N353="","",IF(N353&lt;Scoring!$B$12,"n/a (pre-1990)",N353+Scoring!$B$13))</f>
        <v>2029</v>
      </c>
      <c r="R353" s="15" t="str">
        <f aca="false">IF(J353="","Unknown",IF(J353&gt;=5,"Yes","No (under 5 units)"))</f>
        <v>Yes</v>
      </c>
      <c r="S353" s="15"/>
      <c r="T353" s="18"/>
      <c r="U353" s="19"/>
      <c r="V353" s="18"/>
      <c r="W353" s="18"/>
      <c r="X353" s="20"/>
      <c r="Y353" s="18"/>
      <c r="Z353" s="18"/>
      <c r="AA353" s="21" t="n">
        <f aca="false">IF(U353&lt;&gt;"",(U353-Scoring!$B$3)/365.25,IF(N353="","",IF(N353&lt;Scoring!$B$12,"",(DATE(N353+Scoring!$B$13,12,31)-Scoring!$B$3)/365.25)))</f>
        <v>3.24709103353867</v>
      </c>
      <c r="AB353" s="22" t="n">
        <f aca="false">IF(T353="Y",0,IF(OR(D353="Expired (verified)",D353="Expiring: notice window (verified)",D353="Expiring: 10-yr horizon (verified)",D353="Past 30-yr mark (verify)",D353="30-yr mark: notice window (est.)",D353="Year-15 window"),1,0)+IF(ISNUMBER(O353),IF(O353&gt;=Scoring!$B$10,1,0),0)+IF(AND(ISNUMBER(L353),ISNUMBER(J353)),IF(J353&gt;0,IF(L353/J353&gt;=Scoring!$B$11,1,0),0),0)+IF(ISNUMBER(Z353),MIN(Z353,3),0))</f>
        <v>1</v>
      </c>
      <c r="AC353" s="22" t="n">
        <f aca="false">IF(AB353&gt;=3,Scoring!$C$24,IF(AB353=2,Scoring!$C$23,IF(AB353=1,Scoring!$C$22,0)))</f>
        <v>10</v>
      </c>
      <c r="AD353" s="22" t="n">
        <f aca="false">IF(T353="Y",0,IF(ISNUMBER(X353),IF(X353&gt;0.7,Scoring!$C$25,IF(X353&gt;=0.5,Scoring!$C$26,IF(X353&gt;=0.3,Scoring!$C$27,Scoring!$C$28))),Scoring!$C$29))</f>
        <v>10</v>
      </c>
      <c r="AE353" s="22" t="n">
        <f aca="false">IF(D353="Expiring: notice window (verified)",Scoring!$C$30,IF(OR(D353="Expired (verified)",D353="30-yr mark: notice window (est.)",D353="Year-15 window"),Scoring!$C$31,IF(D353="Expiring: 10-yr horizon (verified)",Scoring!$C$32,IF(D353="Past 30-yr mark (verify)",Scoring!$C$33,IF(OR(D353="Credit period",D353="Superseded record"),Scoring!$C$35,Scoring!$C$34)))))</f>
        <v>4</v>
      </c>
      <c r="AF353" s="22" t="n">
        <f aca="false">IF(T353="Y",0,IF(ISNUMBER(V353),IF(Scoring!$B$4-V353&gt;15,Scoring!$C$36,IF(Scoring!$B$4-V353&gt;=10,Scoring!$C$37,IF(Scoring!$B$4-V353&gt;=5,Scoring!$C$38,Scoring!$C$39))),IF(OR(N353="",D353="Out of program"),Scoring!$C$40,IF(O353&gt;15,Scoring!$C$36,IF(O353&gt;=10,Scoring!$C$37,IF(O353&gt;=5,Scoring!$C$38,Scoring!$C$39))))))</f>
        <v>15</v>
      </c>
      <c r="AG353" s="22" t="n">
        <f aca="false">IF(T353="Y",0,IF(Y353="Y",Scoring!$C$41,IF(ISNUMBER(O353),IF(O353&gt;=25,Scoring!$C$42,IF(O353&gt;=15,Scoring!$C$43,Scoring!$C$44)),Scoring!$C$44)))</f>
        <v>8</v>
      </c>
      <c r="AH353" s="22" t="n">
        <f aca="false">IF(T353="Y",0,IF(W353="",Scoring!$C$49,IFERROR(VLOOKUP(W353,Scoring!$B$45:$C$48,2,FALSE()),Scoring!$C$49)))</f>
        <v>5</v>
      </c>
      <c r="AI353" s="23" t="n">
        <f aca="false">C353+IF(ISNUMBER(J353),J353,0)/100000+(10000-ROW())/1000000000</f>
        <v>52.000229647</v>
      </c>
      <c r="AJ353" s="18"/>
      <c r="AK353" s="18"/>
      <c r="AL353" s="18"/>
      <c r="AM353" s="18"/>
    </row>
    <row r="354" customFormat="false" ht="15" hidden="false" customHeight="false" outlineLevel="0" collapsed="false">
      <c r="A354" s="15" t="n">
        <f aca="false">RANK(AI354,$AI$2:$AI$755)</f>
        <v>353</v>
      </c>
      <c r="B354" s="16" t="str">
        <f aca="false">IF(T354="Y","Superseded",IF(C354&gt;=Scoring!$B$16,"Immediate",IF(C354&gt;=Scoring!$B$17,"This week",IF(C354&gt;=Scoring!$B$18,"Nurture","Low"))))</f>
        <v>This week</v>
      </c>
      <c r="C354" s="3" t="n">
        <f aca="false">SUM(AC354:AH354)</f>
        <v>52</v>
      </c>
      <c r="D354" s="15" t="str">
        <f aca="false">IF(T354="Y","Superseded record",IF(AND(U354&lt;&gt;"",AA354&lt;0),"Expired (verified)",IF(AND(U354&lt;&gt;"",AA354&lt;=Scoring!$B$5),"Expiring: notice window (verified)",IF(AND(U354&lt;&gt;"",AA354&lt;=Scoring!$B$6),"Expiring: 10-yr horizon (verified)",IF(M354="No Longer Monitored","Out of program",IF(N354="","Unknown vintage",IF(N354&lt;Scoring!$B$12,"Pre-1990, still listed",IF(AND(U354="",AA354&lt;0),"Past 30-yr mark (verify)",IF(AND(U354="",AA354&lt;=Scoring!$B$5),"30-yr mark: notice window (est.)",IF(AND(O354&gt;=Scoring!$B$7,O354&lt;=Scoring!$B$8),"Year-15 window",IF(O354&gt;=Scoring!$B$9,"Recap window",IF(O354&gt;=11,"Late compliance","Credit period"))))))))))))</f>
        <v>Recap window</v>
      </c>
      <c r="E354" s="15" t="s">
        <v>1369</v>
      </c>
      <c r="F354" s="15" t="s">
        <v>1370</v>
      </c>
      <c r="G354" s="15" t="s">
        <v>1371</v>
      </c>
      <c r="H354" s="15" t="s">
        <v>232</v>
      </c>
      <c r="I354" s="15" t="s">
        <v>267</v>
      </c>
      <c r="J354" s="15" t="n">
        <v>22</v>
      </c>
      <c r="K354" s="15" t="n">
        <v>22</v>
      </c>
      <c r="L354" s="15" t="n">
        <f aca="false">IF(OR(J354="",K354=""),"",MAX(J354-K354,0))</f>
        <v>0</v>
      </c>
      <c r="M354" s="15" t="s">
        <v>99</v>
      </c>
      <c r="N354" s="17" t="n">
        <v>2000</v>
      </c>
      <c r="O354" s="15" t="n">
        <f aca="false">IF(N354="","",Scoring!$B$4-N354)</f>
        <v>26</v>
      </c>
      <c r="P354" s="15" t="n">
        <f aca="false">IF(N354="","",N354+14)</f>
        <v>2014</v>
      </c>
      <c r="Q354" s="15" t="n">
        <f aca="false">IF(N354="","",IF(N354&lt;Scoring!$B$12,"n/a (pre-1990)",N354+Scoring!$B$13))</f>
        <v>2029</v>
      </c>
      <c r="R354" s="15" t="str">
        <f aca="false">IF(J354="","Unknown",IF(J354&gt;=5,"Yes","No (under 5 units)"))</f>
        <v>Yes</v>
      </c>
      <c r="S354" s="15"/>
      <c r="T354" s="18"/>
      <c r="U354" s="19"/>
      <c r="V354" s="18"/>
      <c r="W354" s="18"/>
      <c r="X354" s="20"/>
      <c r="Y354" s="18"/>
      <c r="Z354" s="18"/>
      <c r="AA354" s="21" t="n">
        <f aca="false">IF(U354&lt;&gt;"",(U354-Scoring!$B$3)/365.25,IF(N354="","",IF(N354&lt;Scoring!$B$12,"",(DATE(N354+Scoring!$B$13,12,31)-Scoring!$B$3)/365.25)))</f>
        <v>3.24709103353867</v>
      </c>
      <c r="AB354" s="22" t="n">
        <f aca="false">IF(T354="Y",0,IF(OR(D354="Expired (verified)",D354="Expiring: notice window (verified)",D354="Expiring: 10-yr horizon (verified)",D354="Past 30-yr mark (verify)",D354="30-yr mark: notice window (est.)",D354="Year-15 window"),1,0)+IF(ISNUMBER(O354),IF(O354&gt;=Scoring!$B$10,1,0),0)+IF(AND(ISNUMBER(L354),ISNUMBER(J354)),IF(J354&gt;0,IF(L354/J354&gt;=Scoring!$B$11,1,0),0),0)+IF(ISNUMBER(Z354),MIN(Z354,3),0))</f>
        <v>1</v>
      </c>
      <c r="AC354" s="22" t="n">
        <f aca="false">IF(AB354&gt;=3,Scoring!$C$24,IF(AB354=2,Scoring!$C$23,IF(AB354=1,Scoring!$C$22,0)))</f>
        <v>10</v>
      </c>
      <c r="AD354" s="22" t="n">
        <f aca="false">IF(T354="Y",0,IF(ISNUMBER(X354),IF(X354&gt;0.7,Scoring!$C$25,IF(X354&gt;=0.5,Scoring!$C$26,IF(X354&gt;=0.3,Scoring!$C$27,Scoring!$C$28))),Scoring!$C$29))</f>
        <v>10</v>
      </c>
      <c r="AE354" s="22" t="n">
        <f aca="false">IF(D354="Expiring: notice window (verified)",Scoring!$C$30,IF(OR(D354="Expired (verified)",D354="30-yr mark: notice window (est.)",D354="Year-15 window"),Scoring!$C$31,IF(D354="Expiring: 10-yr horizon (verified)",Scoring!$C$32,IF(D354="Past 30-yr mark (verify)",Scoring!$C$33,IF(OR(D354="Credit period",D354="Superseded record"),Scoring!$C$35,Scoring!$C$34)))))</f>
        <v>4</v>
      </c>
      <c r="AF354" s="22" t="n">
        <f aca="false">IF(T354="Y",0,IF(ISNUMBER(V354),IF(Scoring!$B$4-V354&gt;15,Scoring!$C$36,IF(Scoring!$B$4-V354&gt;=10,Scoring!$C$37,IF(Scoring!$B$4-V354&gt;=5,Scoring!$C$38,Scoring!$C$39))),IF(OR(N354="",D354="Out of program"),Scoring!$C$40,IF(O354&gt;15,Scoring!$C$36,IF(O354&gt;=10,Scoring!$C$37,IF(O354&gt;=5,Scoring!$C$38,Scoring!$C$39))))))</f>
        <v>15</v>
      </c>
      <c r="AG354" s="22" t="n">
        <f aca="false">IF(T354="Y",0,IF(Y354="Y",Scoring!$C$41,IF(ISNUMBER(O354),IF(O354&gt;=25,Scoring!$C$42,IF(O354&gt;=15,Scoring!$C$43,Scoring!$C$44)),Scoring!$C$44)))</f>
        <v>8</v>
      </c>
      <c r="AH354" s="22" t="n">
        <f aca="false">IF(T354="Y",0,IF(W354="",Scoring!$C$49,IFERROR(VLOOKUP(W354,Scoring!$B$45:$C$48,2,FALSE()),Scoring!$C$49)))</f>
        <v>5</v>
      </c>
      <c r="AI354" s="23" t="n">
        <f aca="false">C354+IF(ISNUMBER(J354),J354,0)/100000+(10000-ROW())/1000000000</f>
        <v>52.000229646</v>
      </c>
      <c r="AJ354" s="18"/>
      <c r="AK354" s="18"/>
      <c r="AL354" s="18"/>
      <c r="AM354" s="18"/>
    </row>
    <row r="355" customFormat="false" ht="15" hidden="false" customHeight="false" outlineLevel="0" collapsed="false">
      <c r="A355" s="15" t="n">
        <f aca="false">RANK(AI355,$AI$2:$AI$755)</f>
        <v>354</v>
      </c>
      <c r="B355" s="16" t="str">
        <f aca="false">IF(T355="Y","Superseded",IF(C355&gt;=Scoring!$B$16,"Immediate",IF(C355&gt;=Scoring!$B$17,"This week",IF(C355&gt;=Scoring!$B$18,"Nurture","Low"))))</f>
        <v>This week</v>
      </c>
      <c r="C355" s="3" t="n">
        <f aca="false">SUM(AC355:AH355)</f>
        <v>52</v>
      </c>
      <c r="D355" s="15" t="str">
        <f aca="false">IF(T355="Y","Superseded record",IF(AND(U355&lt;&gt;"",AA355&lt;0),"Expired (verified)",IF(AND(U355&lt;&gt;"",AA355&lt;=Scoring!$B$5),"Expiring: notice window (verified)",IF(AND(U355&lt;&gt;"",AA355&lt;=Scoring!$B$6),"Expiring: 10-yr horizon (verified)",IF(M355="No Longer Monitored","Out of program",IF(N355="","Unknown vintage",IF(N355&lt;Scoring!$B$12,"Pre-1990, still listed",IF(AND(U355="",AA355&lt;0),"Past 30-yr mark (verify)",IF(AND(U355="",AA355&lt;=Scoring!$B$5),"30-yr mark: notice window (est.)",IF(AND(O355&gt;=Scoring!$B$7,O355&lt;=Scoring!$B$8),"Year-15 window",IF(O355&gt;=Scoring!$B$9,"Recap window",IF(O355&gt;=11,"Late compliance","Credit period"))))))))))))</f>
        <v>Recap window</v>
      </c>
      <c r="E355" s="15" t="s">
        <v>1372</v>
      </c>
      <c r="F355" s="15" t="s">
        <v>1373</v>
      </c>
      <c r="G355" s="15" t="s">
        <v>1374</v>
      </c>
      <c r="H355" s="15" t="s">
        <v>311</v>
      </c>
      <c r="I355" s="15" t="s">
        <v>312</v>
      </c>
      <c r="J355" s="15" t="n">
        <v>22</v>
      </c>
      <c r="K355" s="15" t="n">
        <v>22</v>
      </c>
      <c r="L355" s="15" t="n">
        <f aca="false">IF(OR(J355="",K355=""),"",MAX(J355-K355,0))</f>
        <v>0</v>
      </c>
      <c r="M355" s="15" t="s">
        <v>99</v>
      </c>
      <c r="N355" s="17" t="n">
        <v>2000</v>
      </c>
      <c r="O355" s="15" t="n">
        <f aca="false">IF(N355="","",Scoring!$B$4-N355)</f>
        <v>26</v>
      </c>
      <c r="P355" s="15" t="n">
        <f aca="false">IF(N355="","",N355+14)</f>
        <v>2014</v>
      </c>
      <c r="Q355" s="15" t="n">
        <f aca="false">IF(N355="","",IF(N355&lt;Scoring!$B$12,"n/a (pre-1990)",N355+Scoring!$B$13))</f>
        <v>2029</v>
      </c>
      <c r="R355" s="15" t="str">
        <f aca="false">IF(J355="","Unknown",IF(J355&gt;=5,"Yes","No (under 5 units)"))</f>
        <v>Yes</v>
      </c>
      <c r="S355" s="15"/>
      <c r="T355" s="18"/>
      <c r="U355" s="19"/>
      <c r="V355" s="18"/>
      <c r="W355" s="18"/>
      <c r="X355" s="20"/>
      <c r="Y355" s="18"/>
      <c r="Z355" s="18"/>
      <c r="AA355" s="21" t="n">
        <f aca="false">IF(U355&lt;&gt;"",(U355-Scoring!$B$3)/365.25,IF(N355="","",IF(N355&lt;Scoring!$B$12,"",(DATE(N355+Scoring!$B$13,12,31)-Scoring!$B$3)/365.25)))</f>
        <v>3.24709103353867</v>
      </c>
      <c r="AB355" s="22" t="n">
        <f aca="false">IF(T355="Y",0,IF(OR(D355="Expired (verified)",D355="Expiring: notice window (verified)",D355="Expiring: 10-yr horizon (verified)",D355="Past 30-yr mark (verify)",D355="30-yr mark: notice window (est.)",D355="Year-15 window"),1,0)+IF(ISNUMBER(O355),IF(O355&gt;=Scoring!$B$10,1,0),0)+IF(AND(ISNUMBER(L355),ISNUMBER(J355)),IF(J355&gt;0,IF(L355/J355&gt;=Scoring!$B$11,1,0),0),0)+IF(ISNUMBER(Z355),MIN(Z355,3),0))</f>
        <v>1</v>
      </c>
      <c r="AC355" s="22" t="n">
        <f aca="false">IF(AB355&gt;=3,Scoring!$C$24,IF(AB355=2,Scoring!$C$23,IF(AB355=1,Scoring!$C$22,0)))</f>
        <v>10</v>
      </c>
      <c r="AD355" s="22" t="n">
        <f aca="false">IF(T355="Y",0,IF(ISNUMBER(X355),IF(X355&gt;0.7,Scoring!$C$25,IF(X355&gt;=0.5,Scoring!$C$26,IF(X355&gt;=0.3,Scoring!$C$27,Scoring!$C$28))),Scoring!$C$29))</f>
        <v>10</v>
      </c>
      <c r="AE355" s="22" t="n">
        <f aca="false">IF(D355="Expiring: notice window (verified)",Scoring!$C$30,IF(OR(D355="Expired (verified)",D355="30-yr mark: notice window (est.)",D355="Year-15 window"),Scoring!$C$31,IF(D355="Expiring: 10-yr horizon (verified)",Scoring!$C$32,IF(D355="Past 30-yr mark (verify)",Scoring!$C$33,IF(OR(D355="Credit period",D355="Superseded record"),Scoring!$C$35,Scoring!$C$34)))))</f>
        <v>4</v>
      </c>
      <c r="AF355" s="22" t="n">
        <f aca="false">IF(T355="Y",0,IF(ISNUMBER(V355),IF(Scoring!$B$4-V355&gt;15,Scoring!$C$36,IF(Scoring!$B$4-V355&gt;=10,Scoring!$C$37,IF(Scoring!$B$4-V355&gt;=5,Scoring!$C$38,Scoring!$C$39))),IF(OR(N355="",D355="Out of program"),Scoring!$C$40,IF(O355&gt;15,Scoring!$C$36,IF(O355&gt;=10,Scoring!$C$37,IF(O355&gt;=5,Scoring!$C$38,Scoring!$C$39))))))</f>
        <v>15</v>
      </c>
      <c r="AG355" s="22" t="n">
        <f aca="false">IF(T355="Y",0,IF(Y355="Y",Scoring!$C$41,IF(ISNUMBER(O355),IF(O355&gt;=25,Scoring!$C$42,IF(O355&gt;=15,Scoring!$C$43,Scoring!$C$44)),Scoring!$C$44)))</f>
        <v>8</v>
      </c>
      <c r="AH355" s="22" t="n">
        <f aca="false">IF(T355="Y",0,IF(W355="",Scoring!$C$49,IFERROR(VLOOKUP(W355,Scoring!$B$45:$C$48,2,FALSE()),Scoring!$C$49)))</f>
        <v>5</v>
      </c>
      <c r="AI355" s="23" t="n">
        <f aca="false">C355+IF(ISNUMBER(J355),J355,0)/100000+(10000-ROW())/1000000000</f>
        <v>52.000229645</v>
      </c>
      <c r="AJ355" s="18"/>
      <c r="AK355" s="18"/>
      <c r="AL355" s="18"/>
      <c r="AM355" s="18"/>
    </row>
    <row r="356" customFormat="false" ht="15" hidden="false" customHeight="false" outlineLevel="0" collapsed="false">
      <c r="A356" s="15" t="n">
        <f aca="false">RANK(AI356,$AI$2:$AI$755)</f>
        <v>355</v>
      </c>
      <c r="B356" s="16" t="str">
        <f aca="false">IF(T356="Y","Superseded",IF(C356&gt;=Scoring!$B$16,"Immediate",IF(C356&gt;=Scoring!$B$17,"This week",IF(C356&gt;=Scoring!$B$18,"Nurture","Low"))))</f>
        <v>This week</v>
      </c>
      <c r="C356" s="3" t="n">
        <f aca="false">SUM(AC356:AH356)</f>
        <v>52</v>
      </c>
      <c r="D356" s="15" t="str">
        <f aca="false">IF(T356="Y","Superseded record",IF(AND(U356&lt;&gt;"",AA356&lt;0),"Expired (verified)",IF(AND(U356&lt;&gt;"",AA356&lt;=Scoring!$B$5),"Expiring: notice window (verified)",IF(AND(U356&lt;&gt;"",AA356&lt;=Scoring!$B$6),"Expiring: 10-yr horizon (verified)",IF(M356="No Longer Monitored","Out of program",IF(N356="","Unknown vintage",IF(N356&lt;Scoring!$B$12,"Pre-1990, still listed",IF(AND(U356="",AA356&lt;0),"Past 30-yr mark (verify)",IF(AND(U356="",AA356&lt;=Scoring!$B$5),"30-yr mark: notice window (est.)",IF(AND(O356&gt;=Scoring!$B$7,O356&lt;=Scoring!$B$8),"Year-15 window",IF(O356&gt;=Scoring!$B$9,"Recap window",IF(O356&gt;=11,"Late compliance","Credit period"))))))))))))</f>
        <v>Recap window</v>
      </c>
      <c r="E356" s="15" t="s">
        <v>1375</v>
      </c>
      <c r="F356" s="15" t="s">
        <v>1376</v>
      </c>
      <c r="G356" s="15" t="s">
        <v>1377</v>
      </c>
      <c r="H356" s="15" t="s">
        <v>207</v>
      </c>
      <c r="I356" s="15" t="s">
        <v>434</v>
      </c>
      <c r="J356" s="15" t="n">
        <v>18</v>
      </c>
      <c r="K356" s="15" t="n">
        <v>18</v>
      </c>
      <c r="L356" s="15" t="n">
        <f aca="false">IF(OR(J356="",K356=""),"",MAX(J356-K356,0))</f>
        <v>0</v>
      </c>
      <c r="M356" s="15" t="s">
        <v>99</v>
      </c>
      <c r="N356" s="17" t="n">
        <v>2001</v>
      </c>
      <c r="O356" s="15" t="n">
        <f aca="false">IF(N356="","",Scoring!$B$4-N356)</f>
        <v>25</v>
      </c>
      <c r="P356" s="15" t="n">
        <f aca="false">IF(N356="","",N356+14)</f>
        <v>2015</v>
      </c>
      <c r="Q356" s="15" t="n">
        <f aca="false">IF(N356="","",IF(N356&lt;Scoring!$B$12,"n/a (pre-1990)",N356+Scoring!$B$13))</f>
        <v>2030</v>
      </c>
      <c r="R356" s="15" t="str">
        <f aca="false">IF(J356="","Unknown",IF(J356&gt;=5,"Yes","No (under 5 units)"))</f>
        <v>Yes</v>
      </c>
      <c r="S356" s="15"/>
      <c r="T356" s="18"/>
      <c r="U356" s="19"/>
      <c r="V356" s="18"/>
      <c r="W356" s="18"/>
      <c r="X356" s="20"/>
      <c r="Y356" s="18"/>
      <c r="Z356" s="18"/>
      <c r="AA356" s="21" t="n">
        <f aca="false">IF(U356&lt;&gt;"",(U356-Scoring!$B$3)/365.25,IF(N356="","",IF(N356&lt;Scoring!$B$12,"",(DATE(N356+Scoring!$B$13,12,31)-Scoring!$B$3)/365.25)))</f>
        <v>4.24640657084189</v>
      </c>
      <c r="AB356" s="22" t="n">
        <f aca="false">IF(T356="Y",0,IF(OR(D356="Expired (verified)",D356="Expiring: notice window (verified)",D356="Expiring: 10-yr horizon (verified)",D356="Past 30-yr mark (verify)",D356="30-yr mark: notice window (est.)",D356="Year-15 window"),1,0)+IF(ISNUMBER(O356),IF(O356&gt;=Scoring!$B$10,1,0),0)+IF(AND(ISNUMBER(L356),ISNUMBER(J356)),IF(J356&gt;0,IF(L356/J356&gt;=Scoring!$B$11,1,0),0),0)+IF(ISNUMBER(Z356),MIN(Z356,3),0))</f>
        <v>1</v>
      </c>
      <c r="AC356" s="22" t="n">
        <f aca="false">IF(AB356&gt;=3,Scoring!$C$24,IF(AB356=2,Scoring!$C$23,IF(AB356=1,Scoring!$C$22,0)))</f>
        <v>10</v>
      </c>
      <c r="AD356" s="22" t="n">
        <f aca="false">IF(T356="Y",0,IF(ISNUMBER(X356),IF(X356&gt;0.7,Scoring!$C$25,IF(X356&gt;=0.5,Scoring!$C$26,IF(X356&gt;=0.3,Scoring!$C$27,Scoring!$C$28))),Scoring!$C$29))</f>
        <v>10</v>
      </c>
      <c r="AE356" s="22" t="n">
        <f aca="false">IF(D356="Expiring: notice window (verified)",Scoring!$C$30,IF(OR(D356="Expired (verified)",D356="30-yr mark: notice window (est.)",D356="Year-15 window"),Scoring!$C$31,IF(D356="Expiring: 10-yr horizon (verified)",Scoring!$C$32,IF(D356="Past 30-yr mark (verify)",Scoring!$C$33,IF(OR(D356="Credit period",D356="Superseded record"),Scoring!$C$35,Scoring!$C$34)))))</f>
        <v>4</v>
      </c>
      <c r="AF356" s="22" t="n">
        <f aca="false">IF(T356="Y",0,IF(ISNUMBER(V356),IF(Scoring!$B$4-V356&gt;15,Scoring!$C$36,IF(Scoring!$B$4-V356&gt;=10,Scoring!$C$37,IF(Scoring!$B$4-V356&gt;=5,Scoring!$C$38,Scoring!$C$39))),IF(OR(N356="",D356="Out of program"),Scoring!$C$40,IF(O356&gt;15,Scoring!$C$36,IF(O356&gt;=10,Scoring!$C$37,IF(O356&gt;=5,Scoring!$C$38,Scoring!$C$39))))))</f>
        <v>15</v>
      </c>
      <c r="AG356" s="22" t="n">
        <f aca="false">IF(T356="Y",0,IF(Y356="Y",Scoring!$C$41,IF(ISNUMBER(O356),IF(O356&gt;=25,Scoring!$C$42,IF(O356&gt;=15,Scoring!$C$43,Scoring!$C$44)),Scoring!$C$44)))</f>
        <v>8</v>
      </c>
      <c r="AH356" s="22" t="n">
        <f aca="false">IF(T356="Y",0,IF(W356="",Scoring!$C$49,IFERROR(VLOOKUP(W356,Scoring!$B$45:$C$48,2,FALSE()),Scoring!$C$49)))</f>
        <v>5</v>
      </c>
      <c r="AI356" s="23" t="n">
        <f aca="false">C356+IF(ISNUMBER(J356),J356,0)/100000+(10000-ROW())/1000000000</f>
        <v>52.000189644</v>
      </c>
      <c r="AJ356" s="18"/>
      <c r="AK356" s="18"/>
      <c r="AL356" s="18"/>
      <c r="AM356" s="18"/>
    </row>
    <row r="357" customFormat="false" ht="15" hidden="false" customHeight="false" outlineLevel="0" collapsed="false">
      <c r="A357" s="15" t="n">
        <f aca="false">RANK(AI357,$AI$2:$AI$755)</f>
        <v>356</v>
      </c>
      <c r="B357" s="16" t="str">
        <f aca="false">IF(T357="Y","Superseded",IF(C357&gt;=Scoring!$B$16,"Immediate",IF(C357&gt;=Scoring!$B$17,"This week",IF(C357&gt;=Scoring!$B$18,"Nurture","Low"))))</f>
        <v>This week</v>
      </c>
      <c r="C357" s="3" t="n">
        <f aca="false">SUM(AC357:AH357)</f>
        <v>52</v>
      </c>
      <c r="D357" s="15" t="str">
        <f aca="false">IF(T357="Y","Superseded record",IF(AND(U357&lt;&gt;"",AA357&lt;0),"Expired (verified)",IF(AND(U357&lt;&gt;"",AA357&lt;=Scoring!$B$5),"Expiring: notice window (verified)",IF(AND(U357&lt;&gt;"",AA357&lt;=Scoring!$B$6),"Expiring: 10-yr horizon (verified)",IF(M357="No Longer Monitored","Out of program",IF(N357="","Unknown vintage",IF(N357&lt;Scoring!$B$12,"Pre-1990, still listed",IF(AND(U357="",AA357&lt;0),"Past 30-yr mark (verify)",IF(AND(U357="",AA357&lt;=Scoring!$B$5),"30-yr mark: notice window (est.)",IF(AND(O357&gt;=Scoring!$B$7,O357&lt;=Scoring!$B$8),"Year-15 window",IF(O357&gt;=Scoring!$B$9,"Recap window",IF(O357&gt;=11,"Late compliance","Credit period"))))))))))))</f>
        <v>Recap window</v>
      </c>
      <c r="E357" s="15" t="s">
        <v>1378</v>
      </c>
      <c r="F357" s="15" t="s">
        <v>1379</v>
      </c>
      <c r="G357" s="15" t="s">
        <v>1380</v>
      </c>
      <c r="H357" s="15" t="s">
        <v>97</v>
      </c>
      <c r="I357" s="15" t="s">
        <v>863</v>
      </c>
      <c r="J357" s="15" t="n">
        <v>18</v>
      </c>
      <c r="K357" s="15" t="n">
        <v>18</v>
      </c>
      <c r="L357" s="15" t="n">
        <f aca="false">IF(OR(J357="",K357=""),"",MAX(J357-K357,0))</f>
        <v>0</v>
      </c>
      <c r="M357" s="15" t="s">
        <v>99</v>
      </c>
      <c r="N357" s="17" t="n">
        <v>2001</v>
      </c>
      <c r="O357" s="15" t="n">
        <f aca="false">IF(N357="","",Scoring!$B$4-N357)</f>
        <v>25</v>
      </c>
      <c r="P357" s="15" t="n">
        <f aca="false">IF(N357="","",N357+14)</f>
        <v>2015</v>
      </c>
      <c r="Q357" s="15" t="n">
        <f aca="false">IF(N357="","",IF(N357&lt;Scoring!$B$12,"n/a (pre-1990)",N357+Scoring!$B$13))</f>
        <v>2030</v>
      </c>
      <c r="R357" s="15" t="str">
        <f aca="false">IF(J357="","Unknown",IF(J357&gt;=5,"Yes","No (under 5 units)"))</f>
        <v>Yes</v>
      </c>
      <c r="S357" s="15"/>
      <c r="T357" s="18"/>
      <c r="U357" s="19"/>
      <c r="V357" s="18"/>
      <c r="W357" s="18"/>
      <c r="X357" s="20"/>
      <c r="Y357" s="18"/>
      <c r="Z357" s="18"/>
      <c r="AA357" s="21" t="n">
        <f aca="false">IF(U357&lt;&gt;"",(U357-Scoring!$B$3)/365.25,IF(N357="","",IF(N357&lt;Scoring!$B$12,"",(DATE(N357+Scoring!$B$13,12,31)-Scoring!$B$3)/365.25)))</f>
        <v>4.24640657084189</v>
      </c>
      <c r="AB357" s="22" t="n">
        <f aca="false">IF(T357="Y",0,IF(OR(D357="Expired (verified)",D357="Expiring: notice window (verified)",D357="Expiring: 10-yr horizon (verified)",D357="Past 30-yr mark (verify)",D357="30-yr mark: notice window (est.)",D357="Year-15 window"),1,0)+IF(ISNUMBER(O357),IF(O357&gt;=Scoring!$B$10,1,0),0)+IF(AND(ISNUMBER(L357),ISNUMBER(J357)),IF(J357&gt;0,IF(L357/J357&gt;=Scoring!$B$11,1,0),0),0)+IF(ISNUMBER(Z357),MIN(Z357,3),0))</f>
        <v>1</v>
      </c>
      <c r="AC357" s="22" t="n">
        <f aca="false">IF(AB357&gt;=3,Scoring!$C$24,IF(AB357=2,Scoring!$C$23,IF(AB357=1,Scoring!$C$22,0)))</f>
        <v>10</v>
      </c>
      <c r="AD357" s="22" t="n">
        <f aca="false">IF(T357="Y",0,IF(ISNUMBER(X357),IF(X357&gt;0.7,Scoring!$C$25,IF(X357&gt;=0.5,Scoring!$C$26,IF(X357&gt;=0.3,Scoring!$C$27,Scoring!$C$28))),Scoring!$C$29))</f>
        <v>10</v>
      </c>
      <c r="AE357" s="22" t="n">
        <f aca="false">IF(D357="Expiring: notice window (verified)",Scoring!$C$30,IF(OR(D357="Expired (verified)",D357="30-yr mark: notice window (est.)",D357="Year-15 window"),Scoring!$C$31,IF(D357="Expiring: 10-yr horizon (verified)",Scoring!$C$32,IF(D357="Past 30-yr mark (verify)",Scoring!$C$33,IF(OR(D357="Credit period",D357="Superseded record"),Scoring!$C$35,Scoring!$C$34)))))</f>
        <v>4</v>
      </c>
      <c r="AF357" s="22" t="n">
        <f aca="false">IF(T357="Y",0,IF(ISNUMBER(V357),IF(Scoring!$B$4-V357&gt;15,Scoring!$C$36,IF(Scoring!$B$4-V357&gt;=10,Scoring!$C$37,IF(Scoring!$B$4-V357&gt;=5,Scoring!$C$38,Scoring!$C$39))),IF(OR(N357="",D357="Out of program"),Scoring!$C$40,IF(O357&gt;15,Scoring!$C$36,IF(O357&gt;=10,Scoring!$C$37,IF(O357&gt;=5,Scoring!$C$38,Scoring!$C$39))))))</f>
        <v>15</v>
      </c>
      <c r="AG357" s="22" t="n">
        <f aca="false">IF(T357="Y",0,IF(Y357="Y",Scoring!$C$41,IF(ISNUMBER(O357),IF(O357&gt;=25,Scoring!$C$42,IF(O357&gt;=15,Scoring!$C$43,Scoring!$C$44)),Scoring!$C$44)))</f>
        <v>8</v>
      </c>
      <c r="AH357" s="22" t="n">
        <f aca="false">IF(T357="Y",0,IF(W357="",Scoring!$C$49,IFERROR(VLOOKUP(W357,Scoring!$B$45:$C$48,2,FALSE()),Scoring!$C$49)))</f>
        <v>5</v>
      </c>
      <c r="AI357" s="23" t="n">
        <f aca="false">C357+IF(ISNUMBER(J357),J357,0)/100000+(10000-ROW())/1000000000</f>
        <v>52.000189643</v>
      </c>
      <c r="AJ357" s="18"/>
      <c r="AK357" s="18"/>
      <c r="AL357" s="18"/>
      <c r="AM357" s="18"/>
    </row>
    <row r="358" customFormat="false" ht="15" hidden="false" customHeight="false" outlineLevel="0" collapsed="false">
      <c r="A358" s="15" t="n">
        <f aca="false">RANK(AI358,$AI$2:$AI$755)</f>
        <v>357</v>
      </c>
      <c r="B358" s="16" t="str">
        <f aca="false">IF(T358="Y","Superseded",IF(C358&gt;=Scoring!$B$16,"Immediate",IF(C358&gt;=Scoring!$B$17,"This week",IF(C358&gt;=Scoring!$B$18,"Nurture","Low"))))</f>
        <v>This week</v>
      </c>
      <c r="C358" s="3" t="n">
        <f aca="false">SUM(AC358:AH358)</f>
        <v>52</v>
      </c>
      <c r="D358" s="15" t="str">
        <f aca="false">IF(T358="Y","Superseded record",IF(AND(U358&lt;&gt;"",AA358&lt;0),"Expired (verified)",IF(AND(U358&lt;&gt;"",AA358&lt;=Scoring!$B$5),"Expiring: notice window (verified)",IF(AND(U358&lt;&gt;"",AA358&lt;=Scoring!$B$6),"Expiring: 10-yr horizon (verified)",IF(M358="No Longer Monitored","Out of program",IF(N358="","Unknown vintage",IF(N358&lt;Scoring!$B$12,"Pre-1990, still listed",IF(AND(U358="",AA358&lt;0),"Past 30-yr mark (verify)",IF(AND(U358="",AA358&lt;=Scoring!$B$5),"30-yr mark: notice window (est.)",IF(AND(O358&gt;=Scoring!$B$7,O358&lt;=Scoring!$B$8),"Year-15 window",IF(O358&gt;=Scoring!$B$9,"Recap window",IF(O358&gt;=11,"Late compliance","Credit period"))))))))))))</f>
        <v>Pre-1990, still listed</v>
      </c>
      <c r="E358" s="15" t="s">
        <v>1381</v>
      </c>
      <c r="F358" s="15" t="s">
        <v>1382</v>
      </c>
      <c r="G358" s="15" t="s">
        <v>1383</v>
      </c>
      <c r="H358" s="15" t="s">
        <v>232</v>
      </c>
      <c r="I358" s="15" t="s">
        <v>640</v>
      </c>
      <c r="J358" s="15" t="n">
        <v>15</v>
      </c>
      <c r="K358" s="15" t="n">
        <v>15</v>
      </c>
      <c r="L358" s="15" t="n">
        <f aca="false">IF(OR(J358="",K358=""),"",MAX(J358-K358,0))</f>
        <v>0</v>
      </c>
      <c r="M358" s="15" t="s">
        <v>99</v>
      </c>
      <c r="N358" s="17" t="n">
        <v>1989</v>
      </c>
      <c r="O358" s="15" t="n">
        <f aca="false">IF(N358="","",Scoring!$B$4-N358)</f>
        <v>37</v>
      </c>
      <c r="P358" s="15" t="n">
        <f aca="false">IF(N358="","",N358+14)</f>
        <v>2003</v>
      </c>
      <c r="Q358" s="15" t="str">
        <f aca="false">IF(N358="","",IF(N358&lt;Scoring!$B$12,"n/a (pre-1990)",N358+Scoring!$B$13))</f>
        <v>n/a (pre-1990)</v>
      </c>
      <c r="R358" s="15" t="str">
        <f aca="false">IF(J358="","Unknown",IF(J358&gt;=5,"Yes","No (under 5 units)"))</f>
        <v>Yes</v>
      </c>
      <c r="S358" s="15"/>
      <c r="T358" s="18"/>
      <c r="U358" s="19"/>
      <c r="V358" s="18"/>
      <c r="W358" s="18"/>
      <c r="X358" s="20"/>
      <c r="Y358" s="18"/>
      <c r="Z358" s="18"/>
      <c r="AA358" s="21" t="str">
        <f aca="false">IF(U358&lt;&gt;"",(U358-Scoring!$B$3)/365.25,IF(N358="","",IF(N358&lt;Scoring!$B$12,"",(DATE(N358+Scoring!$B$13,12,31)-Scoring!$B$3)/365.25)))</f>
        <v/>
      </c>
      <c r="AB358" s="22" t="n">
        <f aca="false">IF(T358="Y",0,IF(OR(D358="Expired (verified)",D358="Expiring: notice window (verified)",D358="Expiring: 10-yr horizon (verified)",D358="Past 30-yr mark (verify)",D358="30-yr mark: notice window (est.)",D358="Year-15 window"),1,0)+IF(ISNUMBER(O358),IF(O358&gt;=Scoring!$B$10,1,0),0)+IF(AND(ISNUMBER(L358),ISNUMBER(J358)),IF(J358&gt;0,IF(L358/J358&gt;=Scoring!$B$11,1,0),0),0)+IF(ISNUMBER(Z358),MIN(Z358,3),0))</f>
        <v>1</v>
      </c>
      <c r="AC358" s="22" t="n">
        <f aca="false">IF(AB358&gt;=3,Scoring!$C$24,IF(AB358=2,Scoring!$C$23,IF(AB358=1,Scoring!$C$22,0)))</f>
        <v>10</v>
      </c>
      <c r="AD358" s="22" t="n">
        <f aca="false">IF(T358="Y",0,IF(ISNUMBER(X358),IF(X358&gt;0.7,Scoring!$C$25,IF(X358&gt;=0.5,Scoring!$C$26,IF(X358&gt;=0.3,Scoring!$C$27,Scoring!$C$28))),Scoring!$C$29))</f>
        <v>10</v>
      </c>
      <c r="AE358" s="22" t="n">
        <f aca="false">IF(D358="Expiring: notice window (verified)",Scoring!$C$30,IF(OR(D358="Expired (verified)",D358="30-yr mark: notice window (est.)",D358="Year-15 window"),Scoring!$C$31,IF(D358="Expiring: 10-yr horizon (verified)",Scoring!$C$32,IF(D358="Past 30-yr mark (verify)",Scoring!$C$33,IF(OR(D358="Credit period",D358="Superseded record"),Scoring!$C$35,Scoring!$C$34)))))</f>
        <v>4</v>
      </c>
      <c r="AF358" s="22" t="n">
        <f aca="false">IF(T358="Y",0,IF(ISNUMBER(V358),IF(Scoring!$B$4-V358&gt;15,Scoring!$C$36,IF(Scoring!$B$4-V358&gt;=10,Scoring!$C$37,IF(Scoring!$B$4-V358&gt;=5,Scoring!$C$38,Scoring!$C$39))),IF(OR(N358="",D358="Out of program"),Scoring!$C$40,IF(O358&gt;15,Scoring!$C$36,IF(O358&gt;=10,Scoring!$C$37,IF(O358&gt;=5,Scoring!$C$38,Scoring!$C$39))))))</f>
        <v>15</v>
      </c>
      <c r="AG358" s="22" t="n">
        <f aca="false">IF(T358="Y",0,IF(Y358="Y",Scoring!$C$41,IF(ISNUMBER(O358),IF(O358&gt;=25,Scoring!$C$42,IF(O358&gt;=15,Scoring!$C$43,Scoring!$C$44)),Scoring!$C$44)))</f>
        <v>8</v>
      </c>
      <c r="AH358" s="22" t="n">
        <f aca="false">IF(T358="Y",0,IF(W358="",Scoring!$C$49,IFERROR(VLOOKUP(W358,Scoring!$B$45:$C$48,2,FALSE()),Scoring!$C$49)))</f>
        <v>5</v>
      </c>
      <c r="AI358" s="23" t="n">
        <f aca="false">C358+IF(ISNUMBER(J358),J358,0)/100000+(10000-ROW())/1000000000</f>
        <v>52.000159642</v>
      </c>
      <c r="AJ358" s="18"/>
      <c r="AK358" s="18"/>
      <c r="AL358" s="18"/>
      <c r="AM358" s="18"/>
    </row>
    <row r="359" customFormat="false" ht="15" hidden="false" customHeight="false" outlineLevel="0" collapsed="false">
      <c r="A359" s="15" t="n">
        <f aca="false">RANK(AI359,$AI$2:$AI$755)</f>
        <v>358</v>
      </c>
      <c r="B359" s="16" t="str">
        <f aca="false">IF(T359="Y","Superseded",IF(C359&gt;=Scoring!$B$16,"Immediate",IF(C359&gt;=Scoring!$B$17,"This week",IF(C359&gt;=Scoring!$B$18,"Nurture","Low"))))</f>
        <v>This week</v>
      </c>
      <c r="C359" s="3" t="n">
        <f aca="false">SUM(AC359:AH359)</f>
        <v>52</v>
      </c>
      <c r="D359" s="15" t="str">
        <f aca="false">IF(T359="Y","Superseded record",IF(AND(U359&lt;&gt;"",AA359&lt;0),"Expired (verified)",IF(AND(U359&lt;&gt;"",AA359&lt;=Scoring!$B$5),"Expiring: notice window (verified)",IF(AND(U359&lt;&gt;"",AA359&lt;=Scoring!$B$6),"Expiring: 10-yr horizon (verified)",IF(M359="No Longer Monitored","Out of program",IF(N359="","Unknown vintage",IF(N359&lt;Scoring!$B$12,"Pre-1990, still listed",IF(AND(U359="",AA359&lt;0),"Past 30-yr mark (verify)",IF(AND(U359="",AA359&lt;=Scoring!$B$5),"30-yr mark: notice window (est.)",IF(AND(O359&gt;=Scoring!$B$7,O359&lt;=Scoring!$B$8),"Year-15 window",IF(O359&gt;=Scoring!$B$9,"Recap window",IF(O359&gt;=11,"Late compliance","Credit period"))))))))))))</f>
        <v>Pre-1990, still listed</v>
      </c>
      <c r="E359" s="15" t="s">
        <v>1384</v>
      </c>
      <c r="F359" s="15" t="s">
        <v>1385</v>
      </c>
      <c r="G359" s="15" t="s">
        <v>1386</v>
      </c>
      <c r="H359" s="15" t="s">
        <v>97</v>
      </c>
      <c r="I359" s="15" t="s">
        <v>164</v>
      </c>
      <c r="J359" s="15" t="n">
        <v>8</v>
      </c>
      <c r="K359" s="15" t="n">
        <v>8</v>
      </c>
      <c r="L359" s="15" t="n">
        <f aca="false">IF(OR(J359="",K359=""),"",MAX(J359-K359,0))</f>
        <v>0</v>
      </c>
      <c r="M359" s="15" t="s">
        <v>99</v>
      </c>
      <c r="N359" s="17" t="n">
        <v>1987</v>
      </c>
      <c r="O359" s="15" t="n">
        <f aca="false">IF(N359="","",Scoring!$B$4-N359)</f>
        <v>39</v>
      </c>
      <c r="P359" s="15" t="n">
        <f aca="false">IF(N359="","",N359+14)</f>
        <v>2001</v>
      </c>
      <c r="Q359" s="15" t="str">
        <f aca="false">IF(N359="","",IF(N359&lt;Scoring!$B$12,"n/a (pre-1990)",N359+Scoring!$B$13))</f>
        <v>n/a (pre-1990)</v>
      </c>
      <c r="R359" s="15" t="str">
        <f aca="false">IF(J359="","Unknown",IF(J359&gt;=5,"Yes","No (under 5 units)"))</f>
        <v>Yes</v>
      </c>
      <c r="S359" s="15"/>
      <c r="T359" s="18"/>
      <c r="U359" s="19"/>
      <c r="V359" s="18"/>
      <c r="W359" s="18"/>
      <c r="X359" s="20"/>
      <c r="Y359" s="18"/>
      <c r="Z359" s="18"/>
      <c r="AA359" s="21" t="str">
        <f aca="false">IF(U359&lt;&gt;"",(U359-Scoring!$B$3)/365.25,IF(N359="","",IF(N359&lt;Scoring!$B$12,"",(DATE(N359+Scoring!$B$13,12,31)-Scoring!$B$3)/365.25)))</f>
        <v/>
      </c>
      <c r="AB359" s="22" t="n">
        <f aca="false">IF(T359="Y",0,IF(OR(D359="Expired (verified)",D359="Expiring: notice window (verified)",D359="Expiring: 10-yr horizon (verified)",D359="Past 30-yr mark (verify)",D359="30-yr mark: notice window (est.)",D359="Year-15 window"),1,0)+IF(ISNUMBER(O359),IF(O359&gt;=Scoring!$B$10,1,0),0)+IF(AND(ISNUMBER(L359),ISNUMBER(J359)),IF(J359&gt;0,IF(L359/J359&gt;=Scoring!$B$11,1,0),0),0)+IF(ISNUMBER(Z359),MIN(Z359,3),0))</f>
        <v>1</v>
      </c>
      <c r="AC359" s="22" t="n">
        <f aca="false">IF(AB359&gt;=3,Scoring!$C$24,IF(AB359=2,Scoring!$C$23,IF(AB359=1,Scoring!$C$22,0)))</f>
        <v>10</v>
      </c>
      <c r="AD359" s="22" t="n">
        <f aca="false">IF(T359="Y",0,IF(ISNUMBER(X359),IF(X359&gt;0.7,Scoring!$C$25,IF(X359&gt;=0.5,Scoring!$C$26,IF(X359&gt;=0.3,Scoring!$C$27,Scoring!$C$28))),Scoring!$C$29))</f>
        <v>10</v>
      </c>
      <c r="AE359" s="22" t="n">
        <f aca="false">IF(D359="Expiring: notice window (verified)",Scoring!$C$30,IF(OR(D359="Expired (verified)",D359="30-yr mark: notice window (est.)",D359="Year-15 window"),Scoring!$C$31,IF(D359="Expiring: 10-yr horizon (verified)",Scoring!$C$32,IF(D359="Past 30-yr mark (verify)",Scoring!$C$33,IF(OR(D359="Credit period",D359="Superseded record"),Scoring!$C$35,Scoring!$C$34)))))</f>
        <v>4</v>
      </c>
      <c r="AF359" s="22" t="n">
        <f aca="false">IF(T359="Y",0,IF(ISNUMBER(V359),IF(Scoring!$B$4-V359&gt;15,Scoring!$C$36,IF(Scoring!$B$4-V359&gt;=10,Scoring!$C$37,IF(Scoring!$B$4-V359&gt;=5,Scoring!$C$38,Scoring!$C$39))),IF(OR(N359="",D359="Out of program"),Scoring!$C$40,IF(O359&gt;15,Scoring!$C$36,IF(O359&gt;=10,Scoring!$C$37,IF(O359&gt;=5,Scoring!$C$38,Scoring!$C$39))))))</f>
        <v>15</v>
      </c>
      <c r="AG359" s="22" t="n">
        <f aca="false">IF(T359="Y",0,IF(Y359="Y",Scoring!$C$41,IF(ISNUMBER(O359),IF(O359&gt;=25,Scoring!$C$42,IF(O359&gt;=15,Scoring!$C$43,Scoring!$C$44)),Scoring!$C$44)))</f>
        <v>8</v>
      </c>
      <c r="AH359" s="22" t="n">
        <f aca="false">IF(T359="Y",0,IF(W359="",Scoring!$C$49,IFERROR(VLOOKUP(W359,Scoring!$B$45:$C$48,2,FALSE()),Scoring!$C$49)))</f>
        <v>5</v>
      </c>
      <c r="AI359" s="23" t="n">
        <f aca="false">C359+IF(ISNUMBER(J359),J359,0)/100000+(10000-ROW())/1000000000</f>
        <v>52.000089641</v>
      </c>
      <c r="AJ359" s="18"/>
      <c r="AK359" s="18"/>
      <c r="AL359" s="18"/>
      <c r="AM359" s="18"/>
    </row>
    <row r="360" customFormat="false" ht="15" hidden="false" customHeight="false" outlineLevel="0" collapsed="false">
      <c r="A360" s="15" t="n">
        <f aca="false">RANK(AI360,$AI$2:$AI$755)</f>
        <v>359</v>
      </c>
      <c r="B360" s="16" t="str">
        <f aca="false">IF(T360="Y","Superseded",IF(C360&gt;=Scoring!$B$16,"Immediate",IF(C360&gt;=Scoring!$B$17,"This week",IF(C360&gt;=Scoring!$B$18,"Nurture","Low"))))</f>
        <v>This week</v>
      </c>
      <c r="C360" s="3" t="n">
        <f aca="false">SUM(AC360:AH360)</f>
        <v>52</v>
      </c>
      <c r="D360" s="15" t="str">
        <f aca="false">IF(T360="Y","Superseded record",IF(AND(U360&lt;&gt;"",AA360&lt;0),"Expired (verified)",IF(AND(U360&lt;&gt;"",AA360&lt;=Scoring!$B$5),"Expiring: notice window (verified)",IF(AND(U360&lt;&gt;"",AA360&lt;=Scoring!$B$6),"Expiring: 10-yr horizon (verified)",IF(M360="No Longer Monitored","Out of program",IF(N360="","Unknown vintage",IF(N360&lt;Scoring!$B$12,"Pre-1990, still listed",IF(AND(U360="",AA360&lt;0),"Past 30-yr mark (verify)",IF(AND(U360="",AA360&lt;=Scoring!$B$5),"30-yr mark: notice window (est.)",IF(AND(O360&gt;=Scoring!$B$7,O360&lt;=Scoring!$B$8),"Year-15 window",IF(O360&gt;=Scoring!$B$9,"Recap window",IF(O360&gt;=11,"Late compliance","Credit period"))))))))))))</f>
        <v>Pre-1990, still listed</v>
      </c>
      <c r="E360" s="15" t="s">
        <v>1387</v>
      </c>
      <c r="F360" s="15" t="s">
        <v>1388</v>
      </c>
      <c r="G360" s="15" t="s">
        <v>1389</v>
      </c>
      <c r="H360" s="15" t="s">
        <v>151</v>
      </c>
      <c r="I360" s="15" t="s">
        <v>280</v>
      </c>
      <c r="J360" s="15" t="n">
        <v>6</v>
      </c>
      <c r="K360" s="15" t="n">
        <v>6</v>
      </c>
      <c r="L360" s="15" t="n">
        <f aca="false">IF(OR(J360="",K360=""),"",MAX(J360-K360,0))</f>
        <v>0</v>
      </c>
      <c r="M360" s="15" t="s">
        <v>99</v>
      </c>
      <c r="N360" s="17" t="n">
        <v>1989</v>
      </c>
      <c r="O360" s="15" t="n">
        <f aca="false">IF(N360="","",Scoring!$B$4-N360)</f>
        <v>37</v>
      </c>
      <c r="P360" s="15" t="n">
        <f aca="false">IF(N360="","",N360+14)</f>
        <v>2003</v>
      </c>
      <c r="Q360" s="15" t="str">
        <f aca="false">IF(N360="","",IF(N360&lt;Scoring!$B$12,"n/a (pre-1990)",N360+Scoring!$B$13))</f>
        <v>n/a (pre-1990)</v>
      </c>
      <c r="R360" s="15" t="str">
        <f aca="false">IF(J360="","Unknown",IF(J360&gt;=5,"Yes","No (under 5 units)"))</f>
        <v>Yes</v>
      </c>
      <c r="S360" s="15"/>
      <c r="T360" s="18"/>
      <c r="U360" s="19"/>
      <c r="V360" s="18"/>
      <c r="W360" s="18"/>
      <c r="X360" s="20"/>
      <c r="Y360" s="18"/>
      <c r="Z360" s="18"/>
      <c r="AA360" s="21" t="str">
        <f aca="false">IF(U360&lt;&gt;"",(U360-Scoring!$B$3)/365.25,IF(N360="","",IF(N360&lt;Scoring!$B$12,"",(DATE(N360+Scoring!$B$13,12,31)-Scoring!$B$3)/365.25)))</f>
        <v/>
      </c>
      <c r="AB360" s="22" t="n">
        <f aca="false">IF(T360="Y",0,IF(OR(D360="Expired (verified)",D360="Expiring: notice window (verified)",D360="Expiring: 10-yr horizon (verified)",D360="Past 30-yr mark (verify)",D360="30-yr mark: notice window (est.)",D360="Year-15 window"),1,0)+IF(ISNUMBER(O360),IF(O360&gt;=Scoring!$B$10,1,0),0)+IF(AND(ISNUMBER(L360),ISNUMBER(J360)),IF(J360&gt;0,IF(L360/J360&gt;=Scoring!$B$11,1,0),0),0)+IF(ISNUMBER(Z360),MIN(Z360,3),0))</f>
        <v>1</v>
      </c>
      <c r="AC360" s="22" t="n">
        <f aca="false">IF(AB360&gt;=3,Scoring!$C$24,IF(AB360=2,Scoring!$C$23,IF(AB360=1,Scoring!$C$22,0)))</f>
        <v>10</v>
      </c>
      <c r="AD360" s="22" t="n">
        <f aca="false">IF(T360="Y",0,IF(ISNUMBER(X360),IF(X360&gt;0.7,Scoring!$C$25,IF(X360&gt;=0.5,Scoring!$C$26,IF(X360&gt;=0.3,Scoring!$C$27,Scoring!$C$28))),Scoring!$C$29))</f>
        <v>10</v>
      </c>
      <c r="AE360" s="22" t="n">
        <f aca="false">IF(D360="Expiring: notice window (verified)",Scoring!$C$30,IF(OR(D360="Expired (verified)",D360="30-yr mark: notice window (est.)",D360="Year-15 window"),Scoring!$C$31,IF(D360="Expiring: 10-yr horizon (verified)",Scoring!$C$32,IF(D360="Past 30-yr mark (verify)",Scoring!$C$33,IF(OR(D360="Credit period",D360="Superseded record"),Scoring!$C$35,Scoring!$C$34)))))</f>
        <v>4</v>
      </c>
      <c r="AF360" s="22" t="n">
        <f aca="false">IF(T360="Y",0,IF(ISNUMBER(V360),IF(Scoring!$B$4-V360&gt;15,Scoring!$C$36,IF(Scoring!$B$4-V360&gt;=10,Scoring!$C$37,IF(Scoring!$B$4-V360&gt;=5,Scoring!$C$38,Scoring!$C$39))),IF(OR(N360="",D360="Out of program"),Scoring!$C$40,IF(O360&gt;15,Scoring!$C$36,IF(O360&gt;=10,Scoring!$C$37,IF(O360&gt;=5,Scoring!$C$38,Scoring!$C$39))))))</f>
        <v>15</v>
      </c>
      <c r="AG360" s="22" t="n">
        <f aca="false">IF(T360="Y",0,IF(Y360="Y",Scoring!$C$41,IF(ISNUMBER(O360),IF(O360&gt;=25,Scoring!$C$42,IF(O360&gt;=15,Scoring!$C$43,Scoring!$C$44)),Scoring!$C$44)))</f>
        <v>8</v>
      </c>
      <c r="AH360" s="22" t="n">
        <f aca="false">IF(T360="Y",0,IF(W360="",Scoring!$C$49,IFERROR(VLOOKUP(W360,Scoring!$B$45:$C$48,2,FALSE()),Scoring!$C$49)))</f>
        <v>5</v>
      </c>
      <c r="AI360" s="23" t="n">
        <f aca="false">C360+IF(ISNUMBER(J360),J360,0)/100000+(10000-ROW())/1000000000</f>
        <v>52.00006964</v>
      </c>
      <c r="AJ360" s="18"/>
      <c r="AK360" s="18"/>
      <c r="AL360" s="18"/>
      <c r="AM360" s="18"/>
    </row>
    <row r="361" customFormat="false" ht="15" hidden="false" customHeight="false" outlineLevel="0" collapsed="false">
      <c r="A361" s="15" t="n">
        <f aca="false">RANK(AI361,$AI$2:$AI$755)</f>
        <v>360</v>
      </c>
      <c r="B361" s="16" t="str">
        <f aca="false">IF(T361="Y","Superseded",IF(C361&gt;=Scoring!$B$16,"Immediate",IF(C361&gt;=Scoring!$B$17,"This week",IF(C361&gt;=Scoring!$B$18,"Nurture","Low"))))</f>
        <v>This week</v>
      </c>
      <c r="C361" s="3" t="n">
        <f aca="false">SUM(AC361:AH361)</f>
        <v>52</v>
      </c>
      <c r="D361" s="15" t="str">
        <f aca="false">IF(T361="Y","Superseded record",IF(AND(U361&lt;&gt;"",AA361&lt;0),"Expired (verified)",IF(AND(U361&lt;&gt;"",AA361&lt;=Scoring!$B$5),"Expiring: notice window (verified)",IF(AND(U361&lt;&gt;"",AA361&lt;=Scoring!$B$6),"Expiring: 10-yr horizon (verified)",IF(M361="No Longer Monitored","Out of program",IF(N361="","Unknown vintage",IF(N361&lt;Scoring!$B$12,"Pre-1990, still listed",IF(AND(U361="",AA361&lt;0),"Past 30-yr mark (verify)",IF(AND(U361="",AA361&lt;=Scoring!$B$5),"30-yr mark: notice window (est.)",IF(AND(O361&gt;=Scoring!$B$7,O361&lt;=Scoring!$B$8),"Year-15 window",IF(O361&gt;=Scoring!$B$9,"Recap window",IF(O361&gt;=11,"Late compliance","Credit period"))))))))))))</f>
        <v>Pre-1990, still listed</v>
      </c>
      <c r="E361" s="15" t="s">
        <v>1390</v>
      </c>
      <c r="F361" s="15" t="s">
        <v>1391</v>
      </c>
      <c r="G361" s="15" t="s">
        <v>1392</v>
      </c>
      <c r="H361" s="15" t="s">
        <v>97</v>
      </c>
      <c r="I361" s="15" t="s">
        <v>1393</v>
      </c>
      <c r="J361" s="15" t="n">
        <v>3</v>
      </c>
      <c r="K361" s="15" t="n">
        <v>3</v>
      </c>
      <c r="L361" s="15" t="n">
        <f aca="false">IF(OR(J361="",K361=""),"",MAX(J361-K361,0))</f>
        <v>0</v>
      </c>
      <c r="M361" s="15" t="s">
        <v>99</v>
      </c>
      <c r="N361" s="17" t="n">
        <v>1988</v>
      </c>
      <c r="O361" s="15" t="n">
        <f aca="false">IF(N361="","",Scoring!$B$4-N361)</f>
        <v>38</v>
      </c>
      <c r="P361" s="15" t="n">
        <f aca="false">IF(N361="","",N361+14)</f>
        <v>2002</v>
      </c>
      <c r="Q361" s="15" t="str">
        <f aca="false">IF(N361="","",IF(N361&lt;Scoring!$B$12,"n/a (pre-1990)",N361+Scoring!$B$13))</f>
        <v>n/a (pre-1990)</v>
      </c>
      <c r="R361" s="15" t="str">
        <f aca="false">IF(J361="","Unknown",IF(J361&gt;=5,"Yes","No (under 5 units)"))</f>
        <v>No (under 5 units)</v>
      </c>
      <c r="S361" s="15"/>
      <c r="T361" s="18"/>
      <c r="U361" s="19"/>
      <c r="V361" s="18"/>
      <c r="W361" s="18"/>
      <c r="X361" s="20"/>
      <c r="Y361" s="18"/>
      <c r="Z361" s="18"/>
      <c r="AA361" s="21" t="str">
        <f aca="false">IF(U361&lt;&gt;"",(U361-Scoring!$B$3)/365.25,IF(N361="","",IF(N361&lt;Scoring!$B$12,"",(DATE(N361+Scoring!$B$13,12,31)-Scoring!$B$3)/365.25)))</f>
        <v/>
      </c>
      <c r="AB361" s="22" t="n">
        <f aca="false">IF(T361="Y",0,IF(OR(D361="Expired (verified)",D361="Expiring: notice window (verified)",D361="Expiring: 10-yr horizon (verified)",D361="Past 30-yr mark (verify)",D361="30-yr mark: notice window (est.)",D361="Year-15 window"),1,0)+IF(ISNUMBER(O361),IF(O361&gt;=Scoring!$B$10,1,0),0)+IF(AND(ISNUMBER(L361),ISNUMBER(J361)),IF(J361&gt;0,IF(L361/J361&gt;=Scoring!$B$11,1,0),0),0)+IF(ISNUMBER(Z361),MIN(Z361,3),0))</f>
        <v>1</v>
      </c>
      <c r="AC361" s="22" t="n">
        <f aca="false">IF(AB361&gt;=3,Scoring!$C$24,IF(AB361=2,Scoring!$C$23,IF(AB361=1,Scoring!$C$22,0)))</f>
        <v>10</v>
      </c>
      <c r="AD361" s="22" t="n">
        <f aca="false">IF(T361="Y",0,IF(ISNUMBER(X361),IF(X361&gt;0.7,Scoring!$C$25,IF(X361&gt;=0.5,Scoring!$C$26,IF(X361&gt;=0.3,Scoring!$C$27,Scoring!$C$28))),Scoring!$C$29))</f>
        <v>10</v>
      </c>
      <c r="AE361" s="22" t="n">
        <f aca="false">IF(D361="Expiring: notice window (verified)",Scoring!$C$30,IF(OR(D361="Expired (verified)",D361="30-yr mark: notice window (est.)",D361="Year-15 window"),Scoring!$C$31,IF(D361="Expiring: 10-yr horizon (verified)",Scoring!$C$32,IF(D361="Past 30-yr mark (verify)",Scoring!$C$33,IF(OR(D361="Credit period",D361="Superseded record"),Scoring!$C$35,Scoring!$C$34)))))</f>
        <v>4</v>
      </c>
      <c r="AF361" s="22" t="n">
        <f aca="false">IF(T361="Y",0,IF(ISNUMBER(V361),IF(Scoring!$B$4-V361&gt;15,Scoring!$C$36,IF(Scoring!$B$4-V361&gt;=10,Scoring!$C$37,IF(Scoring!$B$4-V361&gt;=5,Scoring!$C$38,Scoring!$C$39))),IF(OR(N361="",D361="Out of program"),Scoring!$C$40,IF(O361&gt;15,Scoring!$C$36,IF(O361&gt;=10,Scoring!$C$37,IF(O361&gt;=5,Scoring!$C$38,Scoring!$C$39))))))</f>
        <v>15</v>
      </c>
      <c r="AG361" s="22" t="n">
        <f aca="false">IF(T361="Y",0,IF(Y361="Y",Scoring!$C$41,IF(ISNUMBER(O361),IF(O361&gt;=25,Scoring!$C$42,IF(O361&gt;=15,Scoring!$C$43,Scoring!$C$44)),Scoring!$C$44)))</f>
        <v>8</v>
      </c>
      <c r="AH361" s="22" t="n">
        <f aca="false">IF(T361="Y",0,IF(W361="",Scoring!$C$49,IFERROR(VLOOKUP(W361,Scoring!$B$45:$C$48,2,FALSE()),Scoring!$C$49)))</f>
        <v>5</v>
      </c>
      <c r="AI361" s="23" t="n">
        <f aca="false">C361+IF(ISNUMBER(J361),J361,0)/100000+(10000-ROW())/1000000000</f>
        <v>52.000039639</v>
      </c>
      <c r="AJ361" s="18"/>
      <c r="AK361" s="18"/>
      <c r="AL361" s="18"/>
      <c r="AM361" s="18"/>
    </row>
    <row r="362" customFormat="false" ht="15" hidden="false" customHeight="false" outlineLevel="0" collapsed="false">
      <c r="A362" s="15" t="n">
        <f aca="false">RANK(AI362,$AI$2:$AI$755)</f>
        <v>361</v>
      </c>
      <c r="B362" s="16" t="str">
        <f aca="false">IF(T362="Y","Superseded",IF(C362&gt;=Scoring!$B$16,"Immediate",IF(C362&gt;=Scoring!$B$17,"This week",IF(C362&gt;=Scoring!$B$18,"Nurture","Low"))))</f>
        <v>This week</v>
      </c>
      <c r="C362" s="3" t="n">
        <f aca="false">SUM(AC362:AH362)</f>
        <v>52</v>
      </c>
      <c r="D362" s="15" t="str">
        <f aca="false">IF(T362="Y","Superseded record",IF(AND(U362&lt;&gt;"",AA362&lt;0),"Expired (verified)",IF(AND(U362&lt;&gt;"",AA362&lt;=Scoring!$B$5),"Expiring: notice window (verified)",IF(AND(U362&lt;&gt;"",AA362&lt;=Scoring!$B$6),"Expiring: 10-yr horizon (verified)",IF(M362="No Longer Monitored","Out of program",IF(N362="","Unknown vintage",IF(N362&lt;Scoring!$B$12,"Pre-1990, still listed",IF(AND(U362="",AA362&lt;0),"Past 30-yr mark (verify)",IF(AND(U362="",AA362&lt;=Scoring!$B$5),"30-yr mark: notice window (est.)",IF(AND(O362&gt;=Scoring!$B$7,O362&lt;=Scoring!$B$8),"Year-15 window",IF(O362&gt;=Scoring!$B$9,"Recap window",IF(O362&gt;=11,"Late compliance","Credit period"))))))))))))</f>
        <v>Pre-1990, still listed</v>
      </c>
      <c r="E362" s="15" t="s">
        <v>1394</v>
      </c>
      <c r="F362" s="15" t="s">
        <v>1391</v>
      </c>
      <c r="G362" s="15" t="s">
        <v>1395</v>
      </c>
      <c r="H362" s="15" t="s">
        <v>423</v>
      </c>
      <c r="I362" s="15" t="s">
        <v>1296</v>
      </c>
      <c r="J362" s="15" t="n">
        <v>3</v>
      </c>
      <c r="K362" s="15" t="n">
        <v>3</v>
      </c>
      <c r="L362" s="15" t="n">
        <f aca="false">IF(OR(J362="",K362=""),"",MAX(J362-K362,0))</f>
        <v>0</v>
      </c>
      <c r="M362" s="15" t="s">
        <v>99</v>
      </c>
      <c r="N362" s="17" t="n">
        <v>1989</v>
      </c>
      <c r="O362" s="15" t="n">
        <f aca="false">IF(N362="","",Scoring!$B$4-N362)</f>
        <v>37</v>
      </c>
      <c r="P362" s="15" t="n">
        <f aca="false">IF(N362="","",N362+14)</f>
        <v>2003</v>
      </c>
      <c r="Q362" s="15" t="str">
        <f aca="false">IF(N362="","",IF(N362&lt;Scoring!$B$12,"n/a (pre-1990)",N362+Scoring!$B$13))</f>
        <v>n/a (pre-1990)</v>
      </c>
      <c r="R362" s="15" t="str">
        <f aca="false">IF(J362="","Unknown",IF(J362&gt;=5,"Yes","No (under 5 units)"))</f>
        <v>No (under 5 units)</v>
      </c>
      <c r="S362" s="15"/>
      <c r="T362" s="18"/>
      <c r="U362" s="19"/>
      <c r="V362" s="18"/>
      <c r="W362" s="18"/>
      <c r="X362" s="20"/>
      <c r="Y362" s="18"/>
      <c r="Z362" s="18"/>
      <c r="AA362" s="21" t="str">
        <f aca="false">IF(U362&lt;&gt;"",(U362-Scoring!$B$3)/365.25,IF(N362="","",IF(N362&lt;Scoring!$B$12,"",(DATE(N362+Scoring!$B$13,12,31)-Scoring!$B$3)/365.25)))</f>
        <v/>
      </c>
      <c r="AB362" s="22" t="n">
        <f aca="false">IF(T362="Y",0,IF(OR(D362="Expired (verified)",D362="Expiring: notice window (verified)",D362="Expiring: 10-yr horizon (verified)",D362="Past 30-yr mark (verify)",D362="30-yr mark: notice window (est.)",D362="Year-15 window"),1,0)+IF(ISNUMBER(O362),IF(O362&gt;=Scoring!$B$10,1,0),0)+IF(AND(ISNUMBER(L362),ISNUMBER(J362)),IF(J362&gt;0,IF(L362/J362&gt;=Scoring!$B$11,1,0),0),0)+IF(ISNUMBER(Z362),MIN(Z362,3),0))</f>
        <v>1</v>
      </c>
      <c r="AC362" s="22" t="n">
        <f aca="false">IF(AB362&gt;=3,Scoring!$C$24,IF(AB362=2,Scoring!$C$23,IF(AB362=1,Scoring!$C$22,0)))</f>
        <v>10</v>
      </c>
      <c r="AD362" s="22" t="n">
        <f aca="false">IF(T362="Y",0,IF(ISNUMBER(X362),IF(X362&gt;0.7,Scoring!$C$25,IF(X362&gt;=0.5,Scoring!$C$26,IF(X362&gt;=0.3,Scoring!$C$27,Scoring!$C$28))),Scoring!$C$29))</f>
        <v>10</v>
      </c>
      <c r="AE362" s="22" t="n">
        <f aca="false">IF(D362="Expiring: notice window (verified)",Scoring!$C$30,IF(OR(D362="Expired (verified)",D362="30-yr mark: notice window (est.)",D362="Year-15 window"),Scoring!$C$31,IF(D362="Expiring: 10-yr horizon (verified)",Scoring!$C$32,IF(D362="Past 30-yr mark (verify)",Scoring!$C$33,IF(OR(D362="Credit period",D362="Superseded record"),Scoring!$C$35,Scoring!$C$34)))))</f>
        <v>4</v>
      </c>
      <c r="AF362" s="22" t="n">
        <f aca="false">IF(T362="Y",0,IF(ISNUMBER(V362),IF(Scoring!$B$4-V362&gt;15,Scoring!$C$36,IF(Scoring!$B$4-V362&gt;=10,Scoring!$C$37,IF(Scoring!$B$4-V362&gt;=5,Scoring!$C$38,Scoring!$C$39))),IF(OR(N362="",D362="Out of program"),Scoring!$C$40,IF(O362&gt;15,Scoring!$C$36,IF(O362&gt;=10,Scoring!$C$37,IF(O362&gt;=5,Scoring!$C$38,Scoring!$C$39))))))</f>
        <v>15</v>
      </c>
      <c r="AG362" s="22" t="n">
        <f aca="false">IF(T362="Y",0,IF(Y362="Y",Scoring!$C$41,IF(ISNUMBER(O362),IF(O362&gt;=25,Scoring!$C$42,IF(O362&gt;=15,Scoring!$C$43,Scoring!$C$44)),Scoring!$C$44)))</f>
        <v>8</v>
      </c>
      <c r="AH362" s="22" t="n">
        <f aca="false">IF(T362="Y",0,IF(W362="",Scoring!$C$49,IFERROR(VLOOKUP(W362,Scoring!$B$45:$C$48,2,FALSE()),Scoring!$C$49)))</f>
        <v>5</v>
      </c>
      <c r="AI362" s="23" t="n">
        <f aca="false">C362+IF(ISNUMBER(J362),J362,0)/100000+(10000-ROW())/1000000000</f>
        <v>52.000039638</v>
      </c>
      <c r="AJ362" s="18"/>
      <c r="AK362" s="18"/>
      <c r="AL362" s="18"/>
      <c r="AM362" s="18"/>
    </row>
    <row r="363" customFormat="false" ht="15" hidden="false" customHeight="false" outlineLevel="0" collapsed="false">
      <c r="A363" s="15" t="n">
        <f aca="false">RANK(AI363,$AI$2:$AI$755)</f>
        <v>362</v>
      </c>
      <c r="B363" s="16" t="str">
        <f aca="false">IF(T363="Y","Superseded",IF(C363&gt;=Scoring!$B$16,"Immediate",IF(C363&gt;=Scoring!$B$17,"This week",IF(C363&gt;=Scoring!$B$18,"Nurture","Low"))))</f>
        <v>This week</v>
      </c>
      <c r="C363" s="3" t="n">
        <f aca="false">SUM(AC363:AH363)</f>
        <v>52</v>
      </c>
      <c r="D363" s="15" t="str">
        <f aca="false">IF(T363="Y","Superseded record",IF(AND(U363&lt;&gt;"",AA363&lt;0),"Expired (verified)",IF(AND(U363&lt;&gt;"",AA363&lt;=Scoring!$B$5),"Expiring: notice window (verified)",IF(AND(U363&lt;&gt;"",AA363&lt;=Scoring!$B$6),"Expiring: 10-yr horizon (verified)",IF(M363="No Longer Monitored","Out of program",IF(N363="","Unknown vintage",IF(N363&lt;Scoring!$B$12,"Pre-1990, still listed",IF(AND(U363="",AA363&lt;0),"Past 30-yr mark (verify)",IF(AND(U363="",AA363&lt;=Scoring!$B$5),"30-yr mark: notice window (est.)",IF(AND(O363&gt;=Scoring!$B$7,O363&lt;=Scoring!$B$8),"Year-15 window",IF(O363&gt;=Scoring!$B$9,"Recap window",IF(O363&gt;=11,"Late compliance","Credit period"))))))))))))</f>
        <v>Pre-1990, still listed</v>
      </c>
      <c r="E363" s="15" t="s">
        <v>1396</v>
      </c>
      <c r="F363" s="15" t="s">
        <v>1397</v>
      </c>
      <c r="G363" s="15" t="s">
        <v>1398</v>
      </c>
      <c r="H363" s="15" t="s">
        <v>97</v>
      </c>
      <c r="I363" s="15" t="s">
        <v>929</v>
      </c>
      <c r="J363" s="15" t="n">
        <v>2</v>
      </c>
      <c r="K363" s="15" t="n">
        <v>2</v>
      </c>
      <c r="L363" s="15" t="n">
        <f aca="false">IF(OR(J363="",K363=""),"",MAX(J363-K363,0))</f>
        <v>0</v>
      </c>
      <c r="M363" s="15" t="s">
        <v>99</v>
      </c>
      <c r="N363" s="17" t="n">
        <v>1987</v>
      </c>
      <c r="O363" s="15" t="n">
        <f aca="false">IF(N363="","",Scoring!$B$4-N363)</f>
        <v>39</v>
      </c>
      <c r="P363" s="15" t="n">
        <f aca="false">IF(N363="","",N363+14)</f>
        <v>2001</v>
      </c>
      <c r="Q363" s="15" t="str">
        <f aca="false">IF(N363="","",IF(N363&lt;Scoring!$B$12,"n/a (pre-1990)",N363+Scoring!$B$13))</f>
        <v>n/a (pre-1990)</v>
      </c>
      <c r="R363" s="15" t="str">
        <f aca="false">IF(J363="","Unknown",IF(J363&gt;=5,"Yes","No (under 5 units)"))</f>
        <v>No (under 5 units)</v>
      </c>
      <c r="S363" s="15"/>
      <c r="T363" s="18"/>
      <c r="U363" s="19"/>
      <c r="V363" s="18"/>
      <c r="W363" s="18"/>
      <c r="X363" s="20"/>
      <c r="Y363" s="18"/>
      <c r="Z363" s="18"/>
      <c r="AA363" s="21" t="str">
        <f aca="false">IF(U363&lt;&gt;"",(U363-Scoring!$B$3)/365.25,IF(N363="","",IF(N363&lt;Scoring!$B$12,"",(DATE(N363+Scoring!$B$13,12,31)-Scoring!$B$3)/365.25)))</f>
        <v/>
      </c>
      <c r="AB363" s="22" t="n">
        <f aca="false">IF(T363="Y",0,IF(OR(D363="Expired (verified)",D363="Expiring: notice window (verified)",D363="Expiring: 10-yr horizon (verified)",D363="Past 30-yr mark (verify)",D363="30-yr mark: notice window (est.)",D363="Year-15 window"),1,0)+IF(ISNUMBER(O363),IF(O363&gt;=Scoring!$B$10,1,0),0)+IF(AND(ISNUMBER(L363),ISNUMBER(J363)),IF(J363&gt;0,IF(L363/J363&gt;=Scoring!$B$11,1,0),0),0)+IF(ISNUMBER(Z363),MIN(Z363,3),0))</f>
        <v>1</v>
      </c>
      <c r="AC363" s="22" t="n">
        <f aca="false">IF(AB363&gt;=3,Scoring!$C$24,IF(AB363=2,Scoring!$C$23,IF(AB363=1,Scoring!$C$22,0)))</f>
        <v>10</v>
      </c>
      <c r="AD363" s="22" t="n">
        <f aca="false">IF(T363="Y",0,IF(ISNUMBER(X363),IF(X363&gt;0.7,Scoring!$C$25,IF(X363&gt;=0.5,Scoring!$C$26,IF(X363&gt;=0.3,Scoring!$C$27,Scoring!$C$28))),Scoring!$C$29))</f>
        <v>10</v>
      </c>
      <c r="AE363" s="22" t="n">
        <f aca="false">IF(D363="Expiring: notice window (verified)",Scoring!$C$30,IF(OR(D363="Expired (verified)",D363="30-yr mark: notice window (est.)",D363="Year-15 window"),Scoring!$C$31,IF(D363="Expiring: 10-yr horizon (verified)",Scoring!$C$32,IF(D363="Past 30-yr mark (verify)",Scoring!$C$33,IF(OR(D363="Credit period",D363="Superseded record"),Scoring!$C$35,Scoring!$C$34)))))</f>
        <v>4</v>
      </c>
      <c r="AF363" s="22" t="n">
        <f aca="false">IF(T363="Y",0,IF(ISNUMBER(V363),IF(Scoring!$B$4-V363&gt;15,Scoring!$C$36,IF(Scoring!$B$4-V363&gt;=10,Scoring!$C$37,IF(Scoring!$B$4-V363&gt;=5,Scoring!$C$38,Scoring!$C$39))),IF(OR(N363="",D363="Out of program"),Scoring!$C$40,IF(O363&gt;15,Scoring!$C$36,IF(O363&gt;=10,Scoring!$C$37,IF(O363&gt;=5,Scoring!$C$38,Scoring!$C$39))))))</f>
        <v>15</v>
      </c>
      <c r="AG363" s="22" t="n">
        <f aca="false">IF(T363="Y",0,IF(Y363="Y",Scoring!$C$41,IF(ISNUMBER(O363),IF(O363&gt;=25,Scoring!$C$42,IF(O363&gt;=15,Scoring!$C$43,Scoring!$C$44)),Scoring!$C$44)))</f>
        <v>8</v>
      </c>
      <c r="AH363" s="22" t="n">
        <f aca="false">IF(T363="Y",0,IF(W363="",Scoring!$C$49,IFERROR(VLOOKUP(W363,Scoring!$B$45:$C$48,2,FALSE()),Scoring!$C$49)))</f>
        <v>5</v>
      </c>
      <c r="AI363" s="23" t="n">
        <f aca="false">C363+IF(ISNUMBER(J363),J363,0)/100000+(10000-ROW())/1000000000</f>
        <v>52.000029637</v>
      </c>
      <c r="AJ363" s="18"/>
      <c r="AK363" s="18"/>
      <c r="AL363" s="18"/>
      <c r="AM363" s="18"/>
    </row>
    <row r="364" customFormat="false" ht="15" hidden="false" customHeight="false" outlineLevel="0" collapsed="false">
      <c r="A364" s="15" t="n">
        <f aca="false">RANK(AI364,$AI$2:$AI$755)</f>
        <v>363</v>
      </c>
      <c r="B364" s="16" t="str">
        <f aca="false">IF(T364="Y","Superseded",IF(C364&gt;=Scoring!$B$16,"Immediate",IF(C364&gt;=Scoring!$B$17,"This week",IF(C364&gt;=Scoring!$B$18,"Nurture","Low"))))</f>
        <v>This week</v>
      </c>
      <c r="C364" s="3" t="n">
        <f aca="false">SUM(AC364:AH364)</f>
        <v>52</v>
      </c>
      <c r="D364" s="15" t="str">
        <f aca="false">IF(T364="Y","Superseded record",IF(AND(U364&lt;&gt;"",AA364&lt;0),"Expired (verified)",IF(AND(U364&lt;&gt;"",AA364&lt;=Scoring!$B$5),"Expiring: notice window (verified)",IF(AND(U364&lt;&gt;"",AA364&lt;=Scoring!$B$6),"Expiring: 10-yr horizon (verified)",IF(M364="No Longer Monitored","Out of program",IF(N364="","Unknown vintage",IF(N364&lt;Scoring!$B$12,"Pre-1990, still listed",IF(AND(U364="",AA364&lt;0),"Past 30-yr mark (verify)",IF(AND(U364="",AA364&lt;=Scoring!$B$5),"30-yr mark: notice window (est.)",IF(AND(O364&gt;=Scoring!$B$7,O364&lt;=Scoring!$B$8),"Year-15 window",IF(O364&gt;=Scoring!$B$9,"Recap window",IF(O364&gt;=11,"Late compliance","Credit period"))))))))))))</f>
        <v>Pre-1990, still listed</v>
      </c>
      <c r="E364" s="15" t="s">
        <v>1399</v>
      </c>
      <c r="F364" s="15" t="s">
        <v>1400</v>
      </c>
      <c r="G364" s="15" t="s">
        <v>1400</v>
      </c>
      <c r="H364" s="15" t="s">
        <v>97</v>
      </c>
      <c r="I364" s="15" t="s">
        <v>929</v>
      </c>
      <c r="J364" s="15" t="n">
        <v>1</v>
      </c>
      <c r="K364" s="15" t="n">
        <v>1</v>
      </c>
      <c r="L364" s="15" t="n">
        <f aca="false">IF(OR(J364="",K364=""),"",MAX(J364-K364,0))</f>
        <v>0</v>
      </c>
      <c r="M364" s="15" t="s">
        <v>99</v>
      </c>
      <c r="N364" s="17" t="n">
        <v>1988</v>
      </c>
      <c r="O364" s="15" t="n">
        <f aca="false">IF(N364="","",Scoring!$B$4-N364)</f>
        <v>38</v>
      </c>
      <c r="P364" s="15" t="n">
        <f aca="false">IF(N364="","",N364+14)</f>
        <v>2002</v>
      </c>
      <c r="Q364" s="15" t="str">
        <f aca="false">IF(N364="","",IF(N364&lt;Scoring!$B$12,"n/a (pre-1990)",N364+Scoring!$B$13))</f>
        <v>n/a (pre-1990)</v>
      </c>
      <c r="R364" s="15" t="str">
        <f aca="false">IF(J364="","Unknown",IF(J364&gt;=5,"Yes","No (under 5 units)"))</f>
        <v>No (under 5 units)</v>
      </c>
      <c r="S364" s="15"/>
      <c r="T364" s="18"/>
      <c r="U364" s="19"/>
      <c r="V364" s="18"/>
      <c r="W364" s="18"/>
      <c r="X364" s="20"/>
      <c r="Y364" s="18"/>
      <c r="Z364" s="18"/>
      <c r="AA364" s="21" t="str">
        <f aca="false">IF(U364&lt;&gt;"",(U364-Scoring!$B$3)/365.25,IF(N364="","",IF(N364&lt;Scoring!$B$12,"",(DATE(N364+Scoring!$B$13,12,31)-Scoring!$B$3)/365.25)))</f>
        <v/>
      </c>
      <c r="AB364" s="22" t="n">
        <f aca="false">IF(T364="Y",0,IF(OR(D364="Expired (verified)",D364="Expiring: notice window (verified)",D364="Expiring: 10-yr horizon (verified)",D364="Past 30-yr mark (verify)",D364="30-yr mark: notice window (est.)",D364="Year-15 window"),1,0)+IF(ISNUMBER(O364),IF(O364&gt;=Scoring!$B$10,1,0),0)+IF(AND(ISNUMBER(L364),ISNUMBER(J364)),IF(J364&gt;0,IF(L364/J364&gt;=Scoring!$B$11,1,0),0),0)+IF(ISNUMBER(Z364),MIN(Z364,3),0))</f>
        <v>1</v>
      </c>
      <c r="AC364" s="22" t="n">
        <f aca="false">IF(AB364&gt;=3,Scoring!$C$24,IF(AB364=2,Scoring!$C$23,IF(AB364=1,Scoring!$C$22,0)))</f>
        <v>10</v>
      </c>
      <c r="AD364" s="22" t="n">
        <f aca="false">IF(T364="Y",0,IF(ISNUMBER(X364),IF(X364&gt;0.7,Scoring!$C$25,IF(X364&gt;=0.5,Scoring!$C$26,IF(X364&gt;=0.3,Scoring!$C$27,Scoring!$C$28))),Scoring!$C$29))</f>
        <v>10</v>
      </c>
      <c r="AE364" s="22" t="n">
        <f aca="false">IF(D364="Expiring: notice window (verified)",Scoring!$C$30,IF(OR(D364="Expired (verified)",D364="30-yr mark: notice window (est.)",D364="Year-15 window"),Scoring!$C$31,IF(D364="Expiring: 10-yr horizon (verified)",Scoring!$C$32,IF(D364="Past 30-yr mark (verify)",Scoring!$C$33,IF(OR(D364="Credit period",D364="Superseded record"),Scoring!$C$35,Scoring!$C$34)))))</f>
        <v>4</v>
      </c>
      <c r="AF364" s="22" t="n">
        <f aca="false">IF(T364="Y",0,IF(ISNUMBER(V364),IF(Scoring!$B$4-V364&gt;15,Scoring!$C$36,IF(Scoring!$B$4-V364&gt;=10,Scoring!$C$37,IF(Scoring!$B$4-V364&gt;=5,Scoring!$C$38,Scoring!$C$39))),IF(OR(N364="",D364="Out of program"),Scoring!$C$40,IF(O364&gt;15,Scoring!$C$36,IF(O364&gt;=10,Scoring!$C$37,IF(O364&gt;=5,Scoring!$C$38,Scoring!$C$39))))))</f>
        <v>15</v>
      </c>
      <c r="AG364" s="22" t="n">
        <f aca="false">IF(T364="Y",0,IF(Y364="Y",Scoring!$C$41,IF(ISNUMBER(O364),IF(O364&gt;=25,Scoring!$C$42,IF(O364&gt;=15,Scoring!$C$43,Scoring!$C$44)),Scoring!$C$44)))</f>
        <v>8</v>
      </c>
      <c r="AH364" s="22" t="n">
        <f aca="false">IF(T364="Y",0,IF(W364="",Scoring!$C$49,IFERROR(VLOOKUP(W364,Scoring!$B$45:$C$48,2,FALSE()),Scoring!$C$49)))</f>
        <v>5</v>
      </c>
      <c r="AI364" s="23" t="n">
        <f aca="false">C364+IF(ISNUMBER(J364),J364,0)/100000+(10000-ROW())/1000000000</f>
        <v>52.000019636</v>
      </c>
      <c r="AJ364" s="18"/>
      <c r="AK364" s="18"/>
      <c r="AL364" s="18"/>
      <c r="AM364" s="18"/>
    </row>
    <row r="365" customFormat="false" ht="15" hidden="false" customHeight="false" outlineLevel="0" collapsed="false">
      <c r="A365" s="15" t="n">
        <f aca="false">RANK(AI365,$AI$2:$AI$755)</f>
        <v>364</v>
      </c>
      <c r="B365" s="16" t="str">
        <f aca="false">IF(T365="Y","Superseded",IF(C365&gt;=Scoring!$B$16,"Immediate",IF(C365&gt;=Scoring!$B$17,"This week",IF(C365&gt;=Scoring!$B$18,"Nurture","Low"))))</f>
        <v>This week</v>
      </c>
      <c r="C365" s="3" t="n">
        <f aca="false">SUM(AC365:AH365)</f>
        <v>52</v>
      </c>
      <c r="D365" s="15" t="str">
        <f aca="false">IF(T365="Y","Superseded record",IF(AND(U365&lt;&gt;"",AA365&lt;0),"Expired (verified)",IF(AND(U365&lt;&gt;"",AA365&lt;=Scoring!$B$5),"Expiring: notice window (verified)",IF(AND(U365&lt;&gt;"",AA365&lt;=Scoring!$B$6),"Expiring: 10-yr horizon (verified)",IF(M365="No Longer Monitored","Out of program",IF(N365="","Unknown vintage",IF(N365&lt;Scoring!$B$12,"Pre-1990, still listed",IF(AND(U365="",AA365&lt;0),"Past 30-yr mark (verify)",IF(AND(U365="",AA365&lt;=Scoring!$B$5),"30-yr mark: notice window (est.)",IF(AND(O365&gt;=Scoring!$B$7,O365&lt;=Scoring!$B$8),"Year-15 window",IF(O365&gt;=Scoring!$B$9,"Recap window",IF(O365&gt;=11,"Late compliance","Credit period"))))))))))))</f>
        <v>Pre-1990, still listed</v>
      </c>
      <c r="E365" s="15" t="s">
        <v>1401</v>
      </c>
      <c r="F365" s="15" t="s">
        <v>1402</v>
      </c>
      <c r="G365" s="15" t="s">
        <v>1403</v>
      </c>
      <c r="H365" s="15" t="s">
        <v>97</v>
      </c>
      <c r="I365" s="15" t="s">
        <v>587</v>
      </c>
      <c r="J365" s="15" t="n">
        <v>1</v>
      </c>
      <c r="K365" s="15" t="n">
        <v>1</v>
      </c>
      <c r="L365" s="15" t="n">
        <f aca="false">IF(OR(J365="",K365=""),"",MAX(J365-K365,0))</f>
        <v>0</v>
      </c>
      <c r="M365" s="15" t="s">
        <v>99</v>
      </c>
      <c r="N365" s="17" t="n">
        <v>1988</v>
      </c>
      <c r="O365" s="15" t="n">
        <f aca="false">IF(N365="","",Scoring!$B$4-N365)</f>
        <v>38</v>
      </c>
      <c r="P365" s="15" t="n">
        <f aca="false">IF(N365="","",N365+14)</f>
        <v>2002</v>
      </c>
      <c r="Q365" s="15" t="str">
        <f aca="false">IF(N365="","",IF(N365&lt;Scoring!$B$12,"n/a (pre-1990)",N365+Scoring!$B$13))</f>
        <v>n/a (pre-1990)</v>
      </c>
      <c r="R365" s="15" t="str">
        <f aca="false">IF(J365="","Unknown",IF(J365&gt;=5,"Yes","No (under 5 units)"))</f>
        <v>No (under 5 units)</v>
      </c>
      <c r="S365" s="15"/>
      <c r="T365" s="18"/>
      <c r="U365" s="19"/>
      <c r="V365" s="18"/>
      <c r="W365" s="18"/>
      <c r="X365" s="20"/>
      <c r="Y365" s="18"/>
      <c r="Z365" s="18"/>
      <c r="AA365" s="21" t="str">
        <f aca="false">IF(U365&lt;&gt;"",(U365-Scoring!$B$3)/365.25,IF(N365="","",IF(N365&lt;Scoring!$B$12,"",(DATE(N365+Scoring!$B$13,12,31)-Scoring!$B$3)/365.25)))</f>
        <v/>
      </c>
      <c r="AB365" s="22" t="n">
        <f aca="false">IF(T365="Y",0,IF(OR(D365="Expired (verified)",D365="Expiring: notice window (verified)",D365="Expiring: 10-yr horizon (verified)",D365="Past 30-yr mark (verify)",D365="30-yr mark: notice window (est.)",D365="Year-15 window"),1,0)+IF(ISNUMBER(O365),IF(O365&gt;=Scoring!$B$10,1,0),0)+IF(AND(ISNUMBER(L365),ISNUMBER(J365)),IF(J365&gt;0,IF(L365/J365&gt;=Scoring!$B$11,1,0),0),0)+IF(ISNUMBER(Z365),MIN(Z365,3),0))</f>
        <v>1</v>
      </c>
      <c r="AC365" s="22" t="n">
        <f aca="false">IF(AB365&gt;=3,Scoring!$C$24,IF(AB365=2,Scoring!$C$23,IF(AB365=1,Scoring!$C$22,0)))</f>
        <v>10</v>
      </c>
      <c r="AD365" s="22" t="n">
        <f aca="false">IF(T365="Y",0,IF(ISNUMBER(X365),IF(X365&gt;0.7,Scoring!$C$25,IF(X365&gt;=0.5,Scoring!$C$26,IF(X365&gt;=0.3,Scoring!$C$27,Scoring!$C$28))),Scoring!$C$29))</f>
        <v>10</v>
      </c>
      <c r="AE365" s="22" t="n">
        <f aca="false">IF(D365="Expiring: notice window (verified)",Scoring!$C$30,IF(OR(D365="Expired (verified)",D365="30-yr mark: notice window (est.)",D365="Year-15 window"),Scoring!$C$31,IF(D365="Expiring: 10-yr horizon (verified)",Scoring!$C$32,IF(D365="Past 30-yr mark (verify)",Scoring!$C$33,IF(OR(D365="Credit period",D365="Superseded record"),Scoring!$C$35,Scoring!$C$34)))))</f>
        <v>4</v>
      </c>
      <c r="AF365" s="22" t="n">
        <f aca="false">IF(T365="Y",0,IF(ISNUMBER(V365),IF(Scoring!$B$4-V365&gt;15,Scoring!$C$36,IF(Scoring!$B$4-V365&gt;=10,Scoring!$C$37,IF(Scoring!$B$4-V365&gt;=5,Scoring!$C$38,Scoring!$C$39))),IF(OR(N365="",D365="Out of program"),Scoring!$C$40,IF(O365&gt;15,Scoring!$C$36,IF(O365&gt;=10,Scoring!$C$37,IF(O365&gt;=5,Scoring!$C$38,Scoring!$C$39))))))</f>
        <v>15</v>
      </c>
      <c r="AG365" s="22" t="n">
        <f aca="false">IF(T365="Y",0,IF(Y365="Y",Scoring!$C$41,IF(ISNUMBER(O365),IF(O365&gt;=25,Scoring!$C$42,IF(O365&gt;=15,Scoring!$C$43,Scoring!$C$44)),Scoring!$C$44)))</f>
        <v>8</v>
      </c>
      <c r="AH365" s="22" t="n">
        <f aca="false">IF(T365="Y",0,IF(W365="",Scoring!$C$49,IFERROR(VLOOKUP(W365,Scoring!$B$45:$C$48,2,FALSE()),Scoring!$C$49)))</f>
        <v>5</v>
      </c>
      <c r="AI365" s="23" t="n">
        <f aca="false">C365+IF(ISNUMBER(J365),J365,0)/100000+(10000-ROW())/1000000000</f>
        <v>52.000019635</v>
      </c>
      <c r="AJ365" s="18"/>
      <c r="AK365" s="18"/>
      <c r="AL365" s="18"/>
      <c r="AM365" s="18"/>
    </row>
    <row r="366" customFormat="false" ht="15" hidden="false" customHeight="false" outlineLevel="0" collapsed="false">
      <c r="A366" s="15" t="n">
        <f aca="false">RANK(AI366,$AI$2:$AI$755)</f>
        <v>365</v>
      </c>
      <c r="B366" s="16" t="str">
        <f aca="false">IF(T366="Y","Superseded",IF(C366&gt;=Scoring!$B$16,"Immediate",IF(C366&gt;=Scoring!$B$17,"This week",IF(C366&gt;=Scoring!$B$18,"Nurture","Low"))))</f>
        <v>This week</v>
      </c>
      <c r="C366" s="3" t="n">
        <f aca="false">SUM(AC366:AH366)</f>
        <v>52</v>
      </c>
      <c r="D366" s="15" t="str">
        <f aca="false">IF(T366="Y","Superseded record",IF(AND(U366&lt;&gt;"",AA366&lt;0),"Expired (verified)",IF(AND(U366&lt;&gt;"",AA366&lt;=Scoring!$B$5),"Expiring: notice window (verified)",IF(AND(U366&lt;&gt;"",AA366&lt;=Scoring!$B$6),"Expiring: 10-yr horizon (verified)",IF(M366="No Longer Monitored","Out of program",IF(N366="","Unknown vintage",IF(N366&lt;Scoring!$B$12,"Pre-1990, still listed",IF(AND(U366="",AA366&lt;0),"Past 30-yr mark (verify)",IF(AND(U366="",AA366&lt;=Scoring!$B$5),"30-yr mark: notice window (est.)",IF(AND(O366&gt;=Scoring!$B$7,O366&lt;=Scoring!$B$8),"Year-15 window",IF(O366&gt;=Scoring!$B$9,"Recap window",IF(O366&gt;=11,"Late compliance","Credit period"))))))))))))</f>
        <v>Pre-1990, still listed</v>
      </c>
      <c r="E366" s="15" t="s">
        <v>1404</v>
      </c>
      <c r="F366" s="15" t="s">
        <v>1405</v>
      </c>
      <c r="G366" s="15" t="s">
        <v>1406</v>
      </c>
      <c r="H366" s="15" t="s">
        <v>97</v>
      </c>
      <c r="I366" s="15" t="s">
        <v>587</v>
      </c>
      <c r="J366" s="15" t="n">
        <v>1</v>
      </c>
      <c r="K366" s="15" t="n">
        <v>1</v>
      </c>
      <c r="L366" s="15" t="n">
        <f aca="false">IF(OR(J366="",K366=""),"",MAX(J366-K366,0))</f>
        <v>0</v>
      </c>
      <c r="M366" s="15" t="s">
        <v>99</v>
      </c>
      <c r="N366" s="17" t="n">
        <v>1988</v>
      </c>
      <c r="O366" s="15" t="n">
        <f aca="false">IF(N366="","",Scoring!$B$4-N366)</f>
        <v>38</v>
      </c>
      <c r="P366" s="15" t="n">
        <f aca="false">IF(N366="","",N366+14)</f>
        <v>2002</v>
      </c>
      <c r="Q366" s="15" t="str">
        <f aca="false">IF(N366="","",IF(N366&lt;Scoring!$B$12,"n/a (pre-1990)",N366+Scoring!$B$13))</f>
        <v>n/a (pre-1990)</v>
      </c>
      <c r="R366" s="15" t="str">
        <f aca="false">IF(J366="","Unknown",IF(J366&gt;=5,"Yes","No (under 5 units)"))</f>
        <v>No (under 5 units)</v>
      </c>
      <c r="S366" s="15"/>
      <c r="T366" s="18"/>
      <c r="U366" s="19"/>
      <c r="V366" s="18"/>
      <c r="W366" s="18"/>
      <c r="X366" s="20"/>
      <c r="Y366" s="18"/>
      <c r="Z366" s="18"/>
      <c r="AA366" s="21" t="str">
        <f aca="false">IF(U366&lt;&gt;"",(U366-Scoring!$B$3)/365.25,IF(N366="","",IF(N366&lt;Scoring!$B$12,"",(DATE(N366+Scoring!$B$13,12,31)-Scoring!$B$3)/365.25)))</f>
        <v/>
      </c>
      <c r="AB366" s="22" t="n">
        <f aca="false">IF(T366="Y",0,IF(OR(D366="Expired (verified)",D366="Expiring: notice window (verified)",D366="Expiring: 10-yr horizon (verified)",D366="Past 30-yr mark (verify)",D366="30-yr mark: notice window (est.)",D366="Year-15 window"),1,0)+IF(ISNUMBER(O366),IF(O366&gt;=Scoring!$B$10,1,0),0)+IF(AND(ISNUMBER(L366),ISNUMBER(J366)),IF(J366&gt;0,IF(L366/J366&gt;=Scoring!$B$11,1,0),0),0)+IF(ISNUMBER(Z366),MIN(Z366,3),0))</f>
        <v>1</v>
      </c>
      <c r="AC366" s="22" t="n">
        <f aca="false">IF(AB366&gt;=3,Scoring!$C$24,IF(AB366=2,Scoring!$C$23,IF(AB366=1,Scoring!$C$22,0)))</f>
        <v>10</v>
      </c>
      <c r="AD366" s="22" t="n">
        <f aca="false">IF(T366="Y",0,IF(ISNUMBER(X366),IF(X366&gt;0.7,Scoring!$C$25,IF(X366&gt;=0.5,Scoring!$C$26,IF(X366&gt;=0.3,Scoring!$C$27,Scoring!$C$28))),Scoring!$C$29))</f>
        <v>10</v>
      </c>
      <c r="AE366" s="22" t="n">
        <f aca="false">IF(D366="Expiring: notice window (verified)",Scoring!$C$30,IF(OR(D366="Expired (verified)",D366="30-yr mark: notice window (est.)",D366="Year-15 window"),Scoring!$C$31,IF(D366="Expiring: 10-yr horizon (verified)",Scoring!$C$32,IF(D366="Past 30-yr mark (verify)",Scoring!$C$33,IF(OR(D366="Credit period",D366="Superseded record"),Scoring!$C$35,Scoring!$C$34)))))</f>
        <v>4</v>
      </c>
      <c r="AF366" s="22" t="n">
        <f aca="false">IF(T366="Y",0,IF(ISNUMBER(V366),IF(Scoring!$B$4-V366&gt;15,Scoring!$C$36,IF(Scoring!$B$4-V366&gt;=10,Scoring!$C$37,IF(Scoring!$B$4-V366&gt;=5,Scoring!$C$38,Scoring!$C$39))),IF(OR(N366="",D366="Out of program"),Scoring!$C$40,IF(O366&gt;15,Scoring!$C$36,IF(O366&gt;=10,Scoring!$C$37,IF(O366&gt;=5,Scoring!$C$38,Scoring!$C$39))))))</f>
        <v>15</v>
      </c>
      <c r="AG366" s="22" t="n">
        <f aca="false">IF(T366="Y",0,IF(Y366="Y",Scoring!$C$41,IF(ISNUMBER(O366),IF(O366&gt;=25,Scoring!$C$42,IF(O366&gt;=15,Scoring!$C$43,Scoring!$C$44)),Scoring!$C$44)))</f>
        <v>8</v>
      </c>
      <c r="AH366" s="22" t="n">
        <f aca="false">IF(T366="Y",0,IF(W366="",Scoring!$C$49,IFERROR(VLOOKUP(W366,Scoring!$B$45:$C$48,2,FALSE()),Scoring!$C$49)))</f>
        <v>5</v>
      </c>
      <c r="AI366" s="23" t="n">
        <f aca="false">C366+IF(ISNUMBER(J366),J366,0)/100000+(10000-ROW())/1000000000</f>
        <v>52.000019634</v>
      </c>
      <c r="AJ366" s="18"/>
      <c r="AK366" s="18"/>
      <c r="AL366" s="18"/>
      <c r="AM366" s="18"/>
    </row>
    <row r="367" customFormat="false" ht="15" hidden="false" customHeight="false" outlineLevel="0" collapsed="false">
      <c r="A367" s="15" t="n">
        <f aca="false">RANK(AI367,$AI$2:$AI$755)</f>
        <v>366</v>
      </c>
      <c r="B367" s="16" t="str">
        <f aca="false">IF(T367="Y","Superseded",IF(C367&gt;=Scoring!$B$16,"Immediate",IF(C367&gt;=Scoring!$B$17,"This week",IF(C367&gt;=Scoring!$B$18,"Nurture","Low"))))</f>
        <v>This week</v>
      </c>
      <c r="C367" s="3" t="n">
        <f aca="false">SUM(AC367:AH367)</f>
        <v>52</v>
      </c>
      <c r="D367" s="15" t="str">
        <f aca="false">IF(T367="Y","Superseded record",IF(AND(U367&lt;&gt;"",AA367&lt;0),"Expired (verified)",IF(AND(U367&lt;&gt;"",AA367&lt;=Scoring!$B$5),"Expiring: notice window (verified)",IF(AND(U367&lt;&gt;"",AA367&lt;=Scoring!$B$6),"Expiring: 10-yr horizon (verified)",IF(M367="No Longer Monitored","Out of program",IF(N367="","Unknown vintage",IF(N367&lt;Scoring!$B$12,"Pre-1990, still listed",IF(AND(U367="",AA367&lt;0),"Past 30-yr mark (verify)",IF(AND(U367="",AA367&lt;=Scoring!$B$5),"30-yr mark: notice window (est.)",IF(AND(O367&gt;=Scoring!$B$7,O367&lt;=Scoring!$B$8),"Year-15 window",IF(O367&gt;=Scoring!$B$9,"Recap window",IF(O367&gt;=11,"Late compliance","Credit period"))))))))))))</f>
        <v>Pre-1990, still listed</v>
      </c>
      <c r="E367" s="15" t="s">
        <v>1407</v>
      </c>
      <c r="F367" s="15" t="s">
        <v>1408</v>
      </c>
      <c r="G367" s="15" t="s">
        <v>1409</v>
      </c>
      <c r="H367" s="15" t="s">
        <v>97</v>
      </c>
      <c r="I367" s="15" t="s">
        <v>863</v>
      </c>
      <c r="J367" s="15" t="n">
        <v>1</v>
      </c>
      <c r="K367" s="15" t="n">
        <v>1</v>
      </c>
      <c r="L367" s="15" t="n">
        <f aca="false">IF(OR(J367="",K367=""),"",MAX(J367-K367,0))</f>
        <v>0</v>
      </c>
      <c r="M367" s="15" t="s">
        <v>99</v>
      </c>
      <c r="N367" s="17" t="n">
        <v>1988</v>
      </c>
      <c r="O367" s="15" t="n">
        <f aca="false">IF(N367="","",Scoring!$B$4-N367)</f>
        <v>38</v>
      </c>
      <c r="P367" s="15" t="n">
        <f aca="false">IF(N367="","",N367+14)</f>
        <v>2002</v>
      </c>
      <c r="Q367" s="15" t="str">
        <f aca="false">IF(N367="","",IF(N367&lt;Scoring!$B$12,"n/a (pre-1990)",N367+Scoring!$B$13))</f>
        <v>n/a (pre-1990)</v>
      </c>
      <c r="R367" s="15" t="str">
        <f aca="false">IF(J367="","Unknown",IF(J367&gt;=5,"Yes","No (under 5 units)"))</f>
        <v>No (under 5 units)</v>
      </c>
      <c r="S367" s="15"/>
      <c r="T367" s="18"/>
      <c r="U367" s="19"/>
      <c r="V367" s="18"/>
      <c r="W367" s="18"/>
      <c r="X367" s="20"/>
      <c r="Y367" s="18"/>
      <c r="Z367" s="18"/>
      <c r="AA367" s="21" t="str">
        <f aca="false">IF(U367&lt;&gt;"",(U367-Scoring!$B$3)/365.25,IF(N367="","",IF(N367&lt;Scoring!$B$12,"",(DATE(N367+Scoring!$B$13,12,31)-Scoring!$B$3)/365.25)))</f>
        <v/>
      </c>
      <c r="AB367" s="22" t="n">
        <f aca="false">IF(T367="Y",0,IF(OR(D367="Expired (verified)",D367="Expiring: notice window (verified)",D367="Expiring: 10-yr horizon (verified)",D367="Past 30-yr mark (verify)",D367="30-yr mark: notice window (est.)",D367="Year-15 window"),1,0)+IF(ISNUMBER(O367),IF(O367&gt;=Scoring!$B$10,1,0),0)+IF(AND(ISNUMBER(L367),ISNUMBER(J367)),IF(J367&gt;0,IF(L367/J367&gt;=Scoring!$B$11,1,0),0),0)+IF(ISNUMBER(Z367),MIN(Z367,3),0))</f>
        <v>1</v>
      </c>
      <c r="AC367" s="22" t="n">
        <f aca="false">IF(AB367&gt;=3,Scoring!$C$24,IF(AB367=2,Scoring!$C$23,IF(AB367=1,Scoring!$C$22,0)))</f>
        <v>10</v>
      </c>
      <c r="AD367" s="22" t="n">
        <f aca="false">IF(T367="Y",0,IF(ISNUMBER(X367),IF(X367&gt;0.7,Scoring!$C$25,IF(X367&gt;=0.5,Scoring!$C$26,IF(X367&gt;=0.3,Scoring!$C$27,Scoring!$C$28))),Scoring!$C$29))</f>
        <v>10</v>
      </c>
      <c r="AE367" s="22" t="n">
        <f aca="false">IF(D367="Expiring: notice window (verified)",Scoring!$C$30,IF(OR(D367="Expired (verified)",D367="30-yr mark: notice window (est.)",D367="Year-15 window"),Scoring!$C$31,IF(D367="Expiring: 10-yr horizon (verified)",Scoring!$C$32,IF(D367="Past 30-yr mark (verify)",Scoring!$C$33,IF(OR(D367="Credit period",D367="Superseded record"),Scoring!$C$35,Scoring!$C$34)))))</f>
        <v>4</v>
      </c>
      <c r="AF367" s="22" t="n">
        <f aca="false">IF(T367="Y",0,IF(ISNUMBER(V367),IF(Scoring!$B$4-V367&gt;15,Scoring!$C$36,IF(Scoring!$B$4-V367&gt;=10,Scoring!$C$37,IF(Scoring!$B$4-V367&gt;=5,Scoring!$C$38,Scoring!$C$39))),IF(OR(N367="",D367="Out of program"),Scoring!$C$40,IF(O367&gt;15,Scoring!$C$36,IF(O367&gt;=10,Scoring!$C$37,IF(O367&gt;=5,Scoring!$C$38,Scoring!$C$39))))))</f>
        <v>15</v>
      </c>
      <c r="AG367" s="22" t="n">
        <f aca="false">IF(T367="Y",0,IF(Y367="Y",Scoring!$C$41,IF(ISNUMBER(O367),IF(O367&gt;=25,Scoring!$C$42,IF(O367&gt;=15,Scoring!$C$43,Scoring!$C$44)),Scoring!$C$44)))</f>
        <v>8</v>
      </c>
      <c r="AH367" s="22" t="n">
        <f aca="false">IF(T367="Y",0,IF(W367="",Scoring!$C$49,IFERROR(VLOOKUP(W367,Scoring!$B$45:$C$48,2,FALSE()),Scoring!$C$49)))</f>
        <v>5</v>
      </c>
      <c r="AI367" s="23" t="n">
        <f aca="false">C367+IF(ISNUMBER(J367),J367,0)/100000+(10000-ROW())/1000000000</f>
        <v>52.000019633</v>
      </c>
      <c r="AJ367" s="18"/>
      <c r="AK367" s="18"/>
      <c r="AL367" s="18"/>
      <c r="AM367" s="18"/>
    </row>
    <row r="368" customFormat="false" ht="15" hidden="false" customHeight="false" outlineLevel="0" collapsed="false">
      <c r="A368" s="15" t="n">
        <f aca="false">RANK(AI368,$AI$2:$AI$755)</f>
        <v>367</v>
      </c>
      <c r="B368" s="16" t="str">
        <f aca="false">IF(T368="Y","Superseded",IF(C368&gt;=Scoring!$B$16,"Immediate",IF(C368&gt;=Scoring!$B$17,"This week",IF(C368&gt;=Scoring!$B$18,"Nurture","Low"))))</f>
        <v>This week</v>
      </c>
      <c r="C368" s="3" t="n">
        <f aca="false">SUM(AC368:AH368)</f>
        <v>52</v>
      </c>
      <c r="D368" s="15" t="str">
        <f aca="false">IF(T368="Y","Superseded record",IF(AND(U368&lt;&gt;"",AA368&lt;0),"Expired (verified)",IF(AND(U368&lt;&gt;"",AA368&lt;=Scoring!$B$5),"Expiring: notice window (verified)",IF(AND(U368&lt;&gt;"",AA368&lt;=Scoring!$B$6),"Expiring: 10-yr horizon (verified)",IF(M368="No Longer Monitored","Out of program",IF(N368="","Unknown vintage",IF(N368&lt;Scoring!$B$12,"Pre-1990, still listed",IF(AND(U368="",AA368&lt;0),"Past 30-yr mark (verify)",IF(AND(U368="",AA368&lt;=Scoring!$B$5),"30-yr mark: notice window (est.)",IF(AND(O368&gt;=Scoring!$B$7,O368&lt;=Scoring!$B$8),"Year-15 window",IF(O368&gt;=Scoring!$B$9,"Recap window",IF(O368&gt;=11,"Late compliance","Credit period"))))))))))))</f>
        <v>Pre-1990, still listed</v>
      </c>
      <c r="E368" s="15" t="s">
        <v>1410</v>
      </c>
      <c r="F368" s="15" t="s">
        <v>1411</v>
      </c>
      <c r="G368" s="15" t="s">
        <v>1412</v>
      </c>
      <c r="H368" s="15" t="s">
        <v>877</v>
      </c>
      <c r="I368" s="15" t="s">
        <v>878</v>
      </c>
      <c r="J368" s="15" t="n">
        <v>1</v>
      </c>
      <c r="K368" s="15" t="n">
        <v>1</v>
      </c>
      <c r="L368" s="15" t="n">
        <f aca="false">IF(OR(J368="",K368=""),"",MAX(J368-K368,0))</f>
        <v>0</v>
      </c>
      <c r="M368" s="15" t="s">
        <v>99</v>
      </c>
      <c r="N368" s="17" t="n">
        <v>1988</v>
      </c>
      <c r="O368" s="15" t="n">
        <f aca="false">IF(N368="","",Scoring!$B$4-N368)</f>
        <v>38</v>
      </c>
      <c r="P368" s="15" t="n">
        <f aca="false">IF(N368="","",N368+14)</f>
        <v>2002</v>
      </c>
      <c r="Q368" s="15" t="str">
        <f aca="false">IF(N368="","",IF(N368&lt;Scoring!$B$12,"n/a (pre-1990)",N368+Scoring!$B$13))</f>
        <v>n/a (pre-1990)</v>
      </c>
      <c r="R368" s="15" t="str">
        <f aca="false">IF(J368="","Unknown",IF(J368&gt;=5,"Yes","No (under 5 units)"))</f>
        <v>No (under 5 units)</v>
      </c>
      <c r="S368" s="15"/>
      <c r="T368" s="18"/>
      <c r="U368" s="19"/>
      <c r="V368" s="18"/>
      <c r="W368" s="18"/>
      <c r="X368" s="20"/>
      <c r="Y368" s="18"/>
      <c r="Z368" s="18"/>
      <c r="AA368" s="21" t="str">
        <f aca="false">IF(U368&lt;&gt;"",(U368-Scoring!$B$3)/365.25,IF(N368="","",IF(N368&lt;Scoring!$B$12,"",(DATE(N368+Scoring!$B$13,12,31)-Scoring!$B$3)/365.25)))</f>
        <v/>
      </c>
      <c r="AB368" s="22" t="n">
        <f aca="false">IF(T368="Y",0,IF(OR(D368="Expired (verified)",D368="Expiring: notice window (verified)",D368="Expiring: 10-yr horizon (verified)",D368="Past 30-yr mark (verify)",D368="30-yr mark: notice window (est.)",D368="Year-15 window"),1,0)+IF(ISNUMBER(O368),IF(O368&gt;=Scoring!$B$10,1,0),0)+IF(AND(ISNUMBER(L368),ISNUMBER(J368)),IF(J368&gt;0,IF(L368/J368&gt;=Scoring!$B$11,1,0),0),0)+IF(ISNUMBER(Z368),MIN(Z368,3),0))</f>
        <v>1</v>
      </c>
      <c r="AC368" s="22" t="n">
        <f aca="false">IF(AB368&gt;=3,Scoring!$C$24,IF(AB368=2,Scoring!$C$23,IF(AB368=1,Scoring!$C$22,0)))</f>
        <v>10</v>
      </c>
      <c r="AD368" s="22" t="n">
        <f aca="false">IF(T368="Y",0,IF(ISNUMBER(X368),IF(X368&gt;0.7,Scoring!$C$25,IF(X368&gt;=0.5,Scoring!$C$26,IF(X368&gt;=0.3,Scoring!$C$27,Scoring!$C$28))),Scoring!$C$29))</f>
        <v>10</v>
      </c>
      <c r="AE368" s="22" t="n">
        <f aca="false">IF(D368="Expiring: notice window (verified)",Scoring!$C$30,IF(OR(D368="Expired (verified)",D368="30-yr mark: notice window (est.)",D368="Year-15 window"),Scoring!$C$31,IF(D368="Expiring: 10-yr horizon (verified)",Scoring!$C$32,IF(D368="Past 30-yr mark (verify)",Scoring!$C$33,IF(OR(D368="Credit period",D368="Superseded record"),Scoring!$C$35,Scoring!$C$34)))))</f>
        <v>4</v>
      </c>
      <c r="AF368" s="22" t="n">
        <f aca="false">IF(T368="Y",0,IF(ISNUMBER(V368),IF(Scoring!$B$4-V368&gt;15,Scoring!$C$36,IF(Scoring!$B$4-V368&gt;=10,Scoring!$C$37,IF(Scoring!$B$4-V368&gt;=5,Scoring!$C$38,Scoring!$C$39))),IF(OR(N368="",D368="Out of program"),Scoring!$C$40,IF(O368&gt;15,Scoring!$C$36,IF(O368&gt;=10,Scoring!$C$37,IF(O368&gt;=5,Scoring!$C$38,Scoring!$C$39))))))</f>
        <v>15</v>
      </c>
      <c r="AG368" s="22" t="n">
        <f aca="false">IF(T368="Y",0,IF(Y368="Y",Scoring!$C$41,IF(ISNUMBER(O368),IF(O368&gt;=25,Scoring!$C$42,IF(O368&gt;=15,Scoring!$C$43,Scoring!$C$44)),Scoring!$C$44)))</f>
        <v>8</v>
      </c>
      <c r="AH368" s="22" t="n">
        <f aca="false">IF(T368="Y",0,IF(W368="",Scoring!$C$49,IFERROR(VLOOKUP(W368,Scoring!$B$45:$C$48,2,FALSE()),Scoring!$C$49)))</f>
        <v>5</v>
      </c>
      <c r="AI368" s="23" t="n">
        <f aca="false">C368+IF(ISNUMBER(J368),J368,0)/100000+(10000-ROW())/1000000000</f>
        <v>52.000019632</v>
      </c>
      <c r="AJ368" s="18"/>
      <c r="AK368" s="18"/>
      <c r="AL368" s="18"/>
      <c r="AM368" s="18"/>
    </row>
    <row r="369" customFormat="false" ht="15" hidden="false" customHeight="false" outlineLevel="0" collapsed="false">
      <c r="A369" s="15" t="n">
        <f aca="false">RANK(AI369,$AI$2:$AI$755)</f>
        <v>368</v>
      </c>
      <c r="B369" s="16" t="str">
        <f aca="false">IF(T369="Y","Superseded",IF(C369&gt;=Scoring!$B$16,"Immediate",IF(C369&gt;=Scoring!$B$17,"This week",IF(C369&gt;=Scoring!$B$18,"Nurture","Low"))))</f>
        <v>This week</v>
      </c>
      <c r="C369" s="3" t="n">
        <f aca="false">SUM(AC369:AH369)</f>
        <v>52</v>
      </c>
      <c r="D369" s="15" t="str">
        <f aca="false">IF(T369="Y","Superseded record",IF(AND(U369&lt;&gt;"",AA369&lt;0),"Expired (verified)",IF(AND(U369&lt;&gt;"",AA369&lt;=Scoring!$B$5),"Expiring: notice window (verified)",IF(AND(U369&lt;&gt;"",AA369&lt;=Scoring!$B$6),"Expiring: 10-yr horizon (verified)",IF(M369="No Longer Monitored","Out of program",IF(N369="","Unknown vintage",IF(N369&lt;Scoring!$B$12,"Pre-1990, still listed",IF(AND(U369="",AA369&lt;0),"Past 30-yr mark (verify)",IF(AND(U369="",AA369&lt;=Scoring!$B$5),"30-yr mark: notice window (est.)",IF(AND(O369&gt;=Scoring!$B$7,O369&lt;=Scoring!$B$8),"Year-15 window",IF(O369&gt;=Scoring!$B$9,"Recap window",IF(O369&gt;=11,"Late compliance","Credit period"))))))))))))</f>
        <v>Pre-1990, still listed</v>
      </c>
      <c r="E369" s="15" t="s">
        <v>1413</v>
      </c>
      <c r="F369" s="15" t="s">
        <v>1414</v>
      </c>
      <c r="G369" s="15" t="s">
        <v>1415</v>
      </c>
      <c r="H369" s="15" t="s">
        <v>151</v>
      </c>
      <c r="I369" s="15" t="s">
        <v>1174</v>
      </c>
      <c r="J369" s="15" t="n">
        <v>1</v>
      </c>
      <c r="K369" s="15" t="n">
        <v>1</v>
      </c>
      <c r="L369" s="15" t="n">
        <f aca="false">IF(OR(J369="",K369=""),"",MAX(J369-K369,0))</f>
        <v>0</v>
      </c>
      <c r="M369" s="15" t="s">
        <v>99</v>
      </c>
      <c r="N369" s="17" t="n">
        <v>1988</v>
      </c>
      <c r="O369" s="15" t="n">
        <f aca="false">IF(N369="","",Scoring!$B$4-N369)</f>
        <v>38</v>
      </c>
      <c r="P369" s="15" t="n">
        <f aca="false">IF(N369="","",N369+14)</f>
        <v>2002</v>
      </c>
      <c r="Q369" s="15" t="str">
        <f aca="false">IF(N369="","",IF(N369&lt;Scoring!$B$12,"n/a (pre-1990)",N369+Scoring!$B$13))</f>
        <v>n/a (pre-1990)</v>
      </c>
      <c r="R369" s="15" t="str">
        <f aca="false">IF(J369="","Unknown",IF(J369&gt;=5,"Yes","No (under 5 units)"))</f>
        <v>No (under 5 units)</v>
      </c>
      <c r="S369" s="15"/>
      <c r="T369" s="18"/>
      <c r="U369" s="19"/>
      <c r="V369" s="18"/>
      <c r="W369" s="18"/>
      <c r="X369" s="20"/>
      <c r="Y369" s="18"/>
      <c r="Z369" s="18"/>
      <c r="AA369" s="21" t="str">
        <f aca="false">IF(U369&lt;&gt;"",(U369-Scoring!$B$3)/365.25,IF(N369="","",IF(N369&lt;Scoring!$B$12,"",(DATE(N369+Scoring!$B$13,12,31)-Scoring!$B$3)/365.25)))</f>
        <v/>
      </c>
      <c r="AB369" s="22" t="n">
        <f aca="false">IF(T369="Y",0,IF(OR(D369="Expired (verified)",D369="Expiring: notice window (verified)",D369="Expiring: 10-yr horizon (verified)",D369="Past 30-yr mark (verify)",D369="30-yr mark: notice window (est.)",D369="Year-15 window"),1,0)+IF(ISNUMBER(O369),IF(O369&gt;=Scoring!$B$10,1,0),0)+IF(AND(ISNUMBER(L369),ISNUMBER(J369)),IF(J369&gt;0,IF(L369/J369&gt;=Scoring!$B$11,1,0),0),0)+IF(ISNUMBER(Z369),MIN(Z369,3),0))</f>
        <v>1</v>
      </c>
      <c r="AC369" s="22" t="n">
        <f aca="false">IF(AB369&gt;=3,Scoring!$C$24,IF(AB369=2,Scoring!$C$23,IF(AB369=1,Scoring!$C$22,0)))</f>
        <v>10</v>
      </c>
      <c r="AD369" s="22" t="n">
        <f aca="false">IF(T369="Y",0,IF(ISNUMBER(X369),IF(X369&gt;0.7,Scoring!$C$25,IF(X369&gt;=0.5,Scoring!$C$26,IF(X369&gt;=0.3,Scoring!$C$27,Scoring!$C$28))),Scoring!$C$29))</f>
        <v>10</v>
      </c>
      <c r="AE369" s="22" t="n">
        <f aca="false">IF(D369="Expiring: notice window (verified)",Scoring!$C$30,IF(OR(D369="Expired (verified)",D369="30-yr mark: notice window (est.)",D369="Year-15 window"),Scoring!$C$31,IF(D369="Expiring: 10-yr horizon (verified)",Scoring!$C$32,IF(D369="Past 30-yr mark (verify)",Scoring!$C$33,IF(OR(D369="Credit period",D369="Superseded record"),Scoring!$C$35,Scoring!$C$34)))))</f>
        <v>4</v>
      </c>
      <c r="AF369" s="22" t="n">
        <f aca="false">IF(T369="Y",0,IF(ISNUMBER(V369),IF(Scoring!$B$4-V369&gt;15,Scoring!$C$36,IF(Scoring!$B$4-V369&gt;=10,Scoring!$C$37,IF(Scoring!$B$4-V369&gt;=5,Scoring!$C$38,Scoring!$C$39))),IF(OR(N369="",D369="Out of program"),Scoring!$C$40,IF(O369&gt;15,Scoring!$C$36,IF(O369&gt;=10,Scoring!$C$37,IF(O369&gt;=5,Scoring!$C$38,Scoring!$C$39))))))</f>
        <v>15</v>
      </c>
      <c r="AG369" s="22" t="n">
        <f aca="false">IF(T369="Y",0,IF(Y369="Y",Scoring!$C$41,IF(ISNUMBER(O369),IF(O369&gt;=25,Scoring!$C$42,IF(O369&gt;=15,Scoring!$C$43,Scoring!$C$44)),Scoring!$C$44)))</f>
        <v>8</v>
      </c>
      <c r="AH369" s="22" t="n">
        <f aca="false">IF(T369="Y",0,IF(W369="",Scoring!$C$49,IFERROR(VLOOKUP(W369,Scoring!$B$45:$C$48,2,FALSE()),Scoring!$C$49)))</f>
        <v>5</v>
      </c>
      <c r="AI369" s="23" t="n">
        <f aca="false">C369+IF(ISNUMBER(J369),J369,0)/100000+(10000-ROW())/1000000000</f>
        <v>52.000019631</v>
      </c>
      <c r="AJ369" s="18"/>
      <c r="AK369" s="18"/>
      <c r="AL369" s="18"/>
      <c r="AM369" s="18"/>
    </row>
    <row r="370" customFormat="false" ht="15" hidden="false" customHeight="false" outlineLevel="0" collapsed="false">
      <c r="A370" s="15" t="n">
        <f aca="false">RANK(AI370,$AI$2:$AI$755)</f>
        <v>369</v>
      </c>
      <c r="B370" s="16" t="str">
        <f aca="false">IF(T370="Y","Superseded",IF(C370&gt;=Scoring!$B$16,"Immediate",IF(C370&gt;=Scoring!$B$17,"This week",IF(C370&gt;=Scoring!$B$18,"Nurture","Low"))))</f>
        <v>This week</v>
      </c>
      <c r="C370" s="3" t="n">
        <f aca="false">SUM(AC370:AH370)</f>
        <v>52</v>
      </c>
      <c r="D370" s="15" t="str">
        <f aca="false">IF(T370="Y","Superseded record",IF(AND(U370&lt;&gt;"",AA370&lt;0),"Expired (verified)",IF(AND(U370&lt;&gt;"",AA370&lt;=Scoring!$B$5),"Expiring: notice window (verified)",IF(AND(U370&lt;&gt;"",AA370&lt;=Scoring!$B$6),"Expiring: 10-yr horizon (verified)",IF(M370="No Longer Monitored","Out of program",IF(N370="","Unknown vintage",IF(N370&lt;Scoring!$B$12,"Pre-1990, still listed",IF(AND(U370="",AA370&lt;0),"Past 30-yr mark (verify)",IF(AND(U370="",AA370&lt;=Scoring!$B$5),"30-yr mark: notice window (est.)",IF(AND(O370&gt;=Scoring!$B$7,O370&lt;=Scoring!$B$8),"Year-15 window",IF(O370&gt;=Scoring!$B$9,"Recap window",IF(O370&gt;=11,"Late compliance","Credit period"))))))))))))</f>
        <v>Pre-1990, still listed</v>
      </c>
      <c r="E370" s="15" t="s">
        <v>1416</v>
      </c>
      <c r="F370" s="15" t="s">
        <v>1417</v>
      </c>
      <c r="G370" s="15" t="s">
        <v>1418</v>
      </c>
      <c r="H370" s="15" t="s">
        <v>190</v>
      </c>
      <c r="I370" s="15" t="s">
        <v>1117</v>
      </c>
      <c r="J370" s="15" t="n">
        <v>1</v>
      </c>
      <c r="K370" s="15" t="n">
        <v>1</v>
      </c>
      <c r="L370" s="15" t="n">
        <f aca="false">IF(OR(J370="",K370=""),"",MAX(J370-K370,0))</f>
        <v>0</v>
      </c>
      <c r="M370" s="15" t="s">
        <v>99</v>
      </c>
      <c r="N370" s="17" t="n">
        <v>1988</v>
      </c>
      <c r="O370" s="15" t="n">
        <f aca="false">IF(N370="","",Scoring!$B$4-N370)</f>
        <v>38</v>
      </c>
      <c r="P370" s="15" t="n">
        <f aca="false">IF(N370="","",N370+14)</f>
        <v>2002</v>
      </c>
      <c r="Q370" s="15" t="str">
        <f aca="false">IF(N370="","",IF(N370&lt;Scoring!$B$12,"n/a (pre-1990)",N370+Scoring!$B$13))</f>
        <v>n/a (pre-1990)</v>
      </c>
      <c r="R370" s="15" t="str">
        <f aca="false">IF(J370="","Unknown",IF(J370&gt;=5,"Yes","No (under 5 units)"))</f>
        <v>No (under 5 units)</v>
      </c>
      <c r="S370" s="15"/>
      <c r="T370" s="18"/>
      <c r="U370" s="19"/>
      <c r="V370" s="18"/>
      <c r="W370" s="18"/>
      <c r="X370" s="20"/>
      <c r="Y370" s="18"/>
      <c r="Z370" s="18"/>
      <c r="AA370" s="21" t="str">
        <f aca="false">IF(U370&lt;&gt;"",(U370-Scoring!$B$3)/365.25,IF(N370="","",IF(N370&lt;Scoring!$B$12,"",(DATE(N370+Scoring!$B$13,12,31)-Scoring!$B$3)/365.25)))</f>
        <v/>
      </c>
      <c r="AB370" s="22" t="n">
        <f aca="false">IF(T370="Y",0,IF(OR(D370="Expired (verified)",D370="Expiring: notice window (verified)",D370="Expiring: 10-yr horizon (verified)",D370="Past 30-yr mark (verify)",D370="30-yr mark: notice window (est.)",D370="Year-15 window"),1,0)+IF(ISNUMBER(O370),IF(O370&gt;=Scoring!$B$10,1,0),0)+IF(AND(ISNUMBER(L370),ISNUMBER(J370)),IF(J370&gt;0,IF(L370/J370&gt;=Scoring!$B$11,1,0),0),0)+IF(ISNUMBER(Z370),MIN(Z370,3),0))</f>
        <v>1</v>
      </c>
      <c r="AC370" s="22" t="n">
        <f aca="false">IF(AB370&gt;=3,Scoring!$C$24,IF(AB370=2,Scoring!$C$23,IF(AB370=1,Scoring!$C$22,0)))</f>
        <v>10</v>
      </c>
      <c r="AD370" s="22" t="n">
        <f aca="false">IF(T370="Y",0,IF(ISNUMBER(X370),IF(X370&gt;0.7,Scoring!$C$25,IF(X370&gt;=0.5,Scoring!$C$26,IF(X370&gt;=0.3,Scoring!$C$27,Scoring!$C$28))),Scoring!$C$29))</f>
        <v>10</v>
      </c>
      <c r="AE370" s="22" t="n">
        <f aca="false">IF(D370="Expiring: notice window (verified)",Scoring!$C$30,IF(OR(D370="Expired (verified)",D370="30-yr mark: notice window (est.)",D370="Year-15 window"),Scoring!$C$31,IF(D370="Expiring: 10-yr horizon (verified)",Scoring!$C$32,IF(D370="Past 30-yr mark (verify)",Scoring!$C$33,IF(OR(D370="Credit period",D370="Superseded record"),Scoring!$C$35,Scoring!$C$34)))))</f>
        <v>4</v>
      </c>
      <c r="AF370" s="22" t="n">
        <f aca="false">IF(T370="Y",0,IF(ISNUMBER(V370),IF(Scoring!$B$4-V370&gt;15,Scoring!$C$36,IF(Scoring!$B$4-V370&gt;=10,Scoring!$C$37,IF(Scoring!$B$4-V370&gt;=5,Scoring!$C$38,Scoring!$C$39))),IF(OR(N370="",D370="Out of program"),Scoring!$C$40,IF(O370&gt;15,Scoring!$C$36,IF(O370&gt;=10,Scoring!$C$37,IF(O370&gt;=5,Scoring!$C$38,Scoring!$C$39))))))</f>
        <v>15</v>
      </c>
      <c r="AG370" s="22" t="n">
        <f aca="false">IF(T370="Y",0,IF(Y370="Y",Scoring!$C$41,IF(ISNUMBER(O370),IF(O370&gt;=25,Scoring!$C$42,IF(O370&gt;=15,Scoring!$C$43,Scoring!$C$44)),Scoring!$C$44)))</f>
        <v>8</v>
      </c>
      <c r="AH370" s="22" t="n">
        <f aca="false">IF(T370="Y",0,IF(W370="",Scoring!$C$49,IFERROR(VLOOKUP(W370,Scoring!$B$45:$C$48,2,FALSE()),Scoring!$C$49)))</f>
        <v>5</v>
      </c>
      <c r="AI370" s="23" t="n">
        <f aca="false">C370+IF(ISNUMBER(J370),J370,0)/100000+(10000-ROW())/1000000000</f>
        <v>52.00001963</v>
      </c>
      <c r="AJ370" s="18"/>
      <c r="AK370" s="18"/>
      <c r="AL370" s="18"/>
      <c r="AM370" s="18"/>
    </row>
    <row r="371" customFormat="false" ht="15" hidden="false" customHeight="false" outlineLevel="0" collapsed="false">
      <c r="A371" s="15" t="n">
        <f aca="false">RANK(AI371,$AI$2:$AI$755)</f>
        <v>370</v>
      </c>
      <c r="B371" s="16" t="str">
        <f aca="false">IF(T371="Y","Superseded",IF(C371&gt;=Scoring!$B$16,"Immediate",IF(C371&gt;=Scoring!$B$17,"This week",IF(C371&gt;=Scoring!$B$18,"Nurture","Low"))))</f>
        <v>Nurture</v>
      </c>
      <c r="C371" s="3" t="n">
        <f aca="false">SUM(AC371:AH371)</f>
        <v>49</v>
      </c>
      <c r="D371" s="15" t="str">
        <f aca="false">IF(T371="Y","Superseded record",IF(AND(U371&lt;&gt;"",AA371&lt;0),"Expired (verified)",IF(AND(U371&lt;&gt;"",AA371&lt;=Scoring!$B$5),"Expiring: notice window (verified)",IF(AND(U371&lt;&gt;"",AA371&lt;=Scoring!$B$6),"Expiring: 10-yr horizon (verified)",IF(M371="No Longer Monitored","Out of program",IF(N371="","Unknown vintage",IF(N371&lt;Scoring!$B$12,"Pre-1990, still listed",IF(AND(U371="",AA371&lt;0),"Past 30-yr mark (verify)",IF(AND(U371="",AA371&lt;=Scoring!$B$5),"30-yr mark: notice window (est.)",IF(AND(O371&gt;=Scoring!$B$7,O371&lt;=Scoring!$B$8),"Year-15 window",IF(O371&gt;=Scoring!$B$9,"Recap window",IF(O371&gt;=11,"Late compliance","Credit period"))))))))))))</f>
        <v>Recap window</v>
      </c>
      <c r="E371" s="15" t="s">
        <v>1419</v>
      </c>
      <c r="F371" s="15" t="s">
        <v>1420</v>
      </c>
      <c r="G371" s="15" t="s">
        <v>1421</v>
      </c>
      <c r="H371" s="15" t="s">
        <v>97</v>
      </c>
      <c r="I371" s="15" t="s">
        <v>859</v>
      </c>
      <c r="J371" s="15" t="n">
        <v>326</v>
      </c>
      <c r="K371" s="15" t="n">
        <v>326</v>
      </c>
      <c r="L371" s="15" t="n">
        <f aca="false">IF(OR(J371="",K371=""),"",MAX(J371-K371,0))</f>
        <v>0</v>
      </c>
      <c r="M371" s="15" t="s">
        <v>99</v>
      </c>
      <c r="N371" s="17" t="n">
        <v>2006</v>
      </c>
      <c r="O371" s="15" t="n">
        <f aca="false">IF(N371="","",Scoring!$B$4-N371)</f>
        <v>20</v>
      </c>
      <c r="P371" s="15" t="n">
        <f aca="false">IF(N371="","",N371+14)</f>
        <v>2020</v>
      </c>
      <c r="Q371" s="15" t="n">
        <f aca="false">IF(N371="","",IF(N371&lt;Scoring!$B$12,"n/a (pre-1990)",N371+Scoring!$B$13))</f>
        <v>2035</v>
      </c>
      <c r="R371" s="15" t="str">
        <f aca="false">IF(J371="","Unknown",IF(J371&gt;=5,"Yes","No (under 5 units)"))</f>
        <v>Yes</v>
      </c>
      <c r="S371" s="15"/>
      <c r="T371" s="18"/>
      <c r="U371" s="19"/>
      <c r="V371" s="18"/>
      <c r="W371" s="18"/>
      <c r="X371" s="20"/>
      <c r="Y371" s="18"/>
      <c r="Z371" s="18"/>
      <c r="AA371" s="21" t="n">
        <f aca="false">IF(U371&lt;&gt;"",(U371-Scoring!$B$3)/365.25,IF(N371="","",IF(N371&lt;Scoring!$B$12,"",(DATE(N371+Scoring!$B$13,12,31)-Scoring!$B$3)/365.25)))</f>
        <v>9.24572210814511</v>
      </c>
      <c r="AB371" s="22" t="n">
        <f aca="false">IF(T371="Y",0,IF(OR(D371="Expired (verified)",D371="Expiring: notice window (verified)",D371="Expiring: 10-yr horizon (verified)",D371="Past 30-yr mark (verify)",D371="30-yr mark: notice window (est.)",D371="Year-15 window"),1,0)+IF(ISNUMBER(O371),IF(O371&gt;=Scoring!$B$10,1,0),0)+IF(AND(ISNUMBER(L371),ISNUMBER(J371)),IF(J371&gt;0,IF(L371/J371&gt;=Scoring!$B$11,1,0),0),0)+IF(ISNUMBER(Z371),MIN(Z371,3),0))</f>
        <v>1</v>
      </c>
      <c r="AC371" s="22" t="n">
        <f aca="false">IF(AB371&gt;=3,Scoring!$C$24,IF(AB371=2,Scoring!$C$23,IF(AB371=1,Scoring!$C$22,0)))</f>
        <v>10</v>
      </c>
      <c r="AD371" s="22" t="n">
        <f aca="false">IF(T371="Y",0,IF(ISNUMBER(X371),IF(X371&gt;0.7,Scoring!$C$25,IF(X371&gt;=0.5,Scoring!$C$26,IF(X371&gt;=0.3,Scoring!$C$27,Scoring!$C$28))),Scoring!$C$29))</f>
        <v>10</v>
      </c>
      <c r="AE371" s="22" t="n">
        <f aca="false">IF(D371="Expiring: notice window (verified)",Scoring!$C$30,IF(OR(D371="Expired (verified)",D371="30-yr mark: notice window (est.)",D371="Year-15 window"),Scoring!$C$31,IF(D371="Expiring: 10-yr horizon (verified)",Scoring!$C$32,IF(D371="Past 30-yr mark (verify)",Scoring!$C$33,IF(OR(D371="Credit period",D371="Superseded record"),Scoring!$C$35,Scoring!$C$34)))))</f>
        <v>4</v>
      </c>
      <c r="AF371" s="22" t="n">
        <f aca="false">IF(T371="Y",0,IF(ISNUMBER(V371),IF(Scoring!$B$4-V371&gt;15,Scoring!$C$36,IF(Scoring!$B$4-V371&gt;=10,Scoring!$C$37,IF(Scoring!$B$4-V371&gt;=5,Scoring!$C$38,Scoring!$C$39))),IF(OR(N371="",D371="Out of program"),Scoring!$C$40,IF(O371&gt;15,Scoring!$C$36,IF(O371&gt;=10,Scoring!$C$37,IF(O371&gt;=5,Scoring!$C$38,Scoring!$C$39))))))</f>
        <v>15</v>
      </c>
      <c r="AG371" s="22" t="n">
        <f aca="false">IF(T371="Y",0,IF(Y371="Y",Scoring!$C$41,IF(ISNUMBER(O371),IF(O371&gt;=25,Scoring!$C$42,IF(O371&gt;=15,Scoring!$C$43,Scoring!$C$44)),Scoring!$C$44)))</f>
        <v>5</v>
      </c>
      <c r="AH371" s="22" t="n">
        <f aca="false">IF(T371="Y",0,IF(W371="",Scoring!$C$49,IFERROR(VLOOKUP(W371,Scoring!$B$45:$C$48,2,FALSE()),Scoring!$C$49)))</f>
        <v>5</v>
      </c>
      <c r="AI371" s="23" t="n">
        <f aca="false">C371+IF(ISNUMBER(J371),J371,0)/100000+(10000-ROW())/1000000000</f>
        <v>49.003269629</v>
      </c>
      <c r="AJ371" s="18"/>
      <c r="AK371" s="18"/>
      <c r="AL371" s="18"/>
      <c r="AM371" s="18"/>
    </row>
    <row r="372" customFormat="false" ht="15" hidden="false" customHeight="false" outlineLevel="0" collapsed="false">
      <c r="A372" s="15" t="n">
        <f aca="false">RANK(AI372,$AI$2:$AI$755)</f>
        <v>371</v>
      </c>
      <c r="B372" s="16" t="str">
        <f aca="false">IF(T372="Y","Superseded",IF(C372&gt;=Scoring!$B$16,"Immediate",IF(C372&gt;=Scoring!$B$17,"This week",IF(C372&gt;=Scoring!$B$18,"Nurture","Low"))))</f>
        <v>Nurture</v>
      </c>
      <c r="C372" s="3" t="n">
        <f aca="false">SUM(AC372:AH372)</f>
        <v>49</v>
      </c>
      <c r="D372" s="15" t="str">
        <f aca="false">IF(T372="Y","Superseded record",IF(AND(U372&lt;&gt;"",AA372&lt;0),"Expired (verified)",IF(AND(U372&lt;&gt;"",AA372&lt;=Scoring!$B$5),"Expiring: notice window (verified)",IF(AND(U372&lt;&gt;"",AA372&lt;=Scoring!$B$6),"Expiring: 10-yr horizon (verified)",IF(M372="No Longer Monitored","Out of program",IF(N372="","Unknown vintage",IF(N372&lt;Scoring!$B$12,"Pre-1990, still listed",IF(AND(U372="",AA372&lt;0),"Past 30-yr mark (verify)",IF(AND(U372="",AA372&lt;=Scoring!$B$5),"30-yr mark: notice window (est.)",IF(AND(O372&gt;=Scoring!$B$7,O372&lt;=Scoring!$B$8),"Year-15 window",IF(O372&gt;=Scoring!$B$9,"Recap window",IF(O372&gt;=11,"Late compliance","Credit period"))))))))))))</f>
        <v>Recap window</v>
      </c>
      <c r="E372" s="15" t="s">
        <v>1422</v>
      </c>
      <c r="F372" s="15" t="s">
        <v>1423</v>
      </c>
      <c r="G372" s="15" t="s">
        <v>1424</v>
      </c>
      <c r="H372" s="15" t="s">
        <v>97</v>
      </c>
      <c r="I372" s="15" t="s">
        <v>156</v>
      </c>
      <c r="J372" s="15" t="n">
        <v>276</v>
      </c>
      <c r="K372" s="15" t="n">
        <v>276</v>
      </c>
      <c r="L372" s="15" t="n">
        <f aca="false">IF(OR(J372="",K372=""),"",MAX(J372-K372,0))</f>
        <v>0</v>
      </c>
      <c r="M372" s="15" t="s">
        <v>99</v>
      </c>
      <c r="N372" s="17" t="n">
        <v>2002</v>
      </c>
      <c r="O372" s="15" t="n">
        <f aca="false">IF(N372="","",Scoring!$B$4-N372)</f>
        <v>24</v>
      </c>
      <c r="P372" s="15" t="n">
        <f aca="false">IF(N372="","",N372+14)</f>
        <v>2016</v>
      </c>
      <c r="Q372" s="15" t="n">
        <f aca="false">IF(N372="","",IF(N372&lt;Scoring!$B$12,"n/a (pre-1990)",N372+Scoring!$B$13))</f>
        <v>2031</v>
      </c>
      <c r="R372" s="15" t="str">
        <f aca="false">IF(J372="","Unknown",IF(J372&gt;=5,"Yes","No (under 5 units)"))</f>
        <v>Yes</v>
      </c>
      <c r="S372" s="15"/>
      <c r="T372" s="18"/>
      <c r="U372" s="19"/>
      <c r="V372" s="18"/>
      <c r="W372" s="18"/>
      <c r="X372" s="20"/>
      <c r="Y372" s="18"/>
      <c r="Z372" s="18"/>
      <c r="AA372" s="21" t="n">
        <f aca="false">IF(U372&lt;&gt;"",(U372-Scoring!$B$3)/365.25,IF(N372="","",IF(N372&lt;Scoring!$B$12,"",(DATE(N372+Scoring!$B$13,12,31)-Scoring!$B$3)/365.25)))</f>
        <v>5.24572210814511</v>
      </c>
      <c r="AB372" s="22" t="n">
        <f aca="false">IF(T372="Y",0,IF(OR(D372="Expired (verified)",D372="Expiring: notice window (verified)",D372="Expiring: 10-yr horizon (verified)",D372="Past 30-yr mark (verify)",D372="30-yr mark: notice window (est.)",D372="Year-15 window"),1,0)+IF(ISNUMBER(O372),IF(O372&gt;=Scoring!$B$10,1,0),0)+IF(AND(ISNUMBER(L372),ISNUMBER(J372)),IF(J372&gt;0,IF(L372/J372&gt;=Scoring!$B$11,1,0),0),0)+IF(ISNUMBER(Z372),MIN(Z372,3),0))</f>
        <v>1</v>
      </c>
      <c r="AC372" s="22" t="n">
        <f aca="false">IF(AB372&gt;=3,Scoring!$C$24,IF(AB372=2,Scoring!$C$23,IF(AB372=1,Scoring!$C$22,0)))</f>
        <v>10</v>
      </c>
      <c r="AD372" s="22" t="n">
        <f aca="false">IF(T372="Y",0,IF(ISNUMBER(X372),IF(X372&gt;0.7,Scoring!$C$25,IF(X372&gt;=0.5,Scoring!$C$26,IF(X372&gt;=0.3,Scoring!$C$27,Scoring!$C$28))),Scoring!$C$29))</f>
        <v>10</v>
      </c>
      <c r="AE372" s="22" t="n">
        <f aca="false">IF(D372="Expiring: notice window (verified)",Scoring!$C$30,IF(OR(D372="Expired (verified)",D372="30-yr mark: notice window (est.)",D372="Year-15 window"),Scoring!$C$31,IF(D372="Expiring: 10-yr horizon (verified)",Scoring!$C$32,IF(D372="Past 30-yr mark (verify)",Scoring!$C$33,IF(OR(D372="Credit period",D372="Superseded record"),Scoring!$C$35,Scoring!$C$34)))))</f>
        <v>4</v>
      </c>
      <c r="AF372" s="22" t="n">
        <f aca="false">IF(T372="Y",0,IF(ISNUMBER(V372),IF(Scoring!$B$4-V372&gt;15,Scoring!$C$36,IF(Scoring!$B$4-V372&gt;=10,Scoring!$C$37,IF(Scoring!$B$4-V372&gt;=5,Scoring!$C$38,Scoring!$C$39))),IF(OR(N372="",D372="Out of program"),Scoring!$C$40,IF(O372&gt;15,Scoring!$C$36,IF(O372&gt;=10,Scoring!$C$37,IF(O372&gt;=5,Scoring!$C$38,Scoring!$C$39))))))</f>
        <v>15</v>
      </c>
      <c r="AG372" s="22" t="n">
        <f aca="false">IF(T372="Y",0,IF(Y372="Y",Scoring!$C$41,IF(ISNUMBER(O372),IF(O372&gt;=25,Scoring!$C$42,IF(O372&gt;=15,Scoring!$C$43,Scoring!$C$44)),Scoring!$C$44)))</f>
        <v>5</v>
      </c>
      <c r="AH372" s="22" t="n">
        <f aca="false">IF(T372="Y",0,IF(W372="",Scoring!$C$49,IFERROR(VLOOKUP(W372,Scoring!$B$45:$C$48,2,FALSE()),Scoring!$C$49)))</f>
        <v>5</v>
      </c>
      <c r="AI372" s="23" t="n">
        <f aca="false">C372+IF(ISNUMBER(J372),J372,0)/100000+(10000-ROW())/1000000000</f>
        <v>49.002769628</v>
      </c>
      <c r="AJ372" s="18"/>
      <c r="AK372" s="18"/>
      <c r="AL372" s="18"/>
      <c r="AM372" s="18"/>
    </row>
    <row r="373" customFormat="false" ht="15" hidden="false" customHeight="false" outlineLevel="0" collapsed="false">
      <c r="A373" s="15" t="n">
        <f aca="false">RANK(AI373,$AI$2:$AI$755)</f>
        <v>372</v>
      </c>
      <c r="B373" s="16" t="str">
        <f aca="false">IF(T373="Y","Superseded",IF(C373&gt;=Scoring!$B$16,"Immediate",IF(C373&gt;=Scoring!$B$17,"This week",IF(C373&gt;=Scoring!$B$18,"Nurture","Low"))))</f>
        <v>Nurture</v>
      </c>
      <c r="C373" s="3" t="n">
        <f aca="false">SUM(AC373:AH373)</f>
        <v>49</v>
      </c>
      <c r="D373" s="15" t="str">
        <f aca="false">IF(T373="Y","Superseded record",IF(AND(U373&lt;&gt;"",AA373&lt;0),"Expired (verified)",IF(AND(U373&lt;&gt;"",AA373&lt;=Scoring!$B$5),"Expiring: notice window (verified)",IF(AND(U373&lt;&gt;"",AA373&lt;=Scoring!$B$6),"Expiring: 10-yr horizon (verified)",IF(M373="No Longer Monitored","Out of program",IF(N373="","Unknown vintage",IF(N373&lt;Scoring!$B$12,"Pre-1990, still listed",IF(AND(U373="",AA373&lt;0),"Past 30-yr mark (verify)",IF(AND(U373="",AA373&lt;=Scoring!$B$5),"30-yr mark: notice window (est.)",IF(AND(O373&gt;=Scoring!$B$7,O373&lt;=Scoring!$B$8),"Year-15 window",IF(O373&gt;=Scoring!$B$9,"Recap window",IF(O373&gt;=11,"Late compliance","Credit period"))))))))))))</f>
        <v>Recap window</v>
      </c>
      <c r="E373" s="15" t="s">
        <v>1425</v>
      </c>
      <c r="F373" s="15" t="s">
        <v>1426</v>
      </c>
      <c r="G373" s="15" t="s">
        <v>1427</v>
      </c>
      <c r="H373" s="15" t="s">
        <v>202</v>
      </c>
      <c r="I373" s="15" t="s">
        <v>203</v>
      </c>
      <c r="J373" s="15" t="n">
        <v>264</v>
      </c>
      <c r="K373" s="15" t="n">
        <v>264</v>
      </c>
      <c r="L373" s="15" t="n">
        <f aca="false">IF(OR(J373="",K373=""),"",MAX(J373-K373,0))</f>
        <v>0</v>
      </c>
      <c r="M373" s="15" t="s">
        <v>99</v>
      </c>
      <c r="N373" s="17" t="n">
        <v>2003</v>
      </c>
      <c r="O373" s="15" t="n">
        <f aca="false">IF(N373="","",Scoring!$B$4-N373)</f>
        <v>23</v>
      </c>
      <c r="P373" s="15" t="n">
        <f aca="false">IF(N373="","",N373+14)</f>
        <v>2017</v>
      </c>
      <c r="Q373" s="15" t="n">
        <f aca="false">IF(N373="","",IF(N373&lt;Scoring!$B$12,"n/a (pre-1990)",N373+Scoring!$B$13))</f>
        <v>2032</v>
      </c>
      <c r="R373" s="15" t="str">
        <f aca="false">IF(J373="","Unknown",IF(J373&gt;=5,"Yes","No (under 5 units)"))</f>
        <v>Yes</v>
      </c>
      <c r="S373" s="15"/>
      <c r="T373" s="18"/>
      <c r="U373" s="19"/>
      <c r="V373" s="18"/>
      <c r="W373" s="18"/>
      <c r="X373" s="20"/>
      <c r="Y373" s="18"/>
      <c r="Z373" s="18"/>
      <c r="AA373" s="21" t="n">
        <f aca="false">IF(U373&lt;&gt;"",(U373-Scoring!$B$3)/365.25,IF(N373="","",IF(N373&lt;Scoring!$B$12,"",(DATE(N373+Scoring!$B$13,12,31)-Scoring!$B$3)/365.25)))</f>
        <v>6.24777549623546</v>
      </c>
      <c r="AB373" s="22" t="n">
        <f aca="false">IF(T373="Y",0,IF(OR(D373="Expired (verified)",D373="Expiring: notice window (verified)",D373="Expiring: 10-yr horizon (verified)",D373="Past 30-yr mark (verify)",D373="30-yr mark: notice window (est.)",D373="Year-15 window"),1,0)+IF(ISNUMBER(O373),IF(O373&gt;=Scoring!$B$10,1,0),0)+IF(AND(ISNUMBER(L373),ISNUMBER(J373)),IF(J373&gt;0,IF(L373/J373&gt;=Scoring!$B$11,1,0),0),0)+IF(ISNUMBER(Z373),MIN(Z373,3),0))</f>
        <v>1</v>
      </c>
      <c r="AC373" s="22" t="n">
        <f aca="false">IF(AB373&gt;=3,Scoring!$C$24,IF(AB373=2,Scoring!$C$23,IF(AB373=1,Scoring!$C$22,0)))</f>
        <v>10</v>
      </c>
      <c r="AD373" s="22" t="n">
        <f aca="false">IF(T373="Y",0,IF(ISNUMBER(X373),IF(X373&gt;0.7,Scoring!$C$25,IF(X373&gt;=0.5,Scoring!$C$26,IF(X373&gt;=0.3,Scoring!$C$27,Scoring!$C$28))),Scoring!$C$29))</f>
        <v>10</v>
      </c>
      <c r="AE373" s="22" t="n">
        <f aca="false">IF(D373="Expiring: notice window (verified)",Scoring!$C$30,IF(OR(D373="Expired (verified)",D373="30-yr mark: notice window (est.)",D373="Year-15 window"),Scoring!$C$31,IF(D373="Expiring: 10-yr horizon (verified)",Scoring!$C$32,IF(D373="Past 30-yr mark (verify)",Scoring!$C$33,IF(OR(D373="Credit period",D373="Superseded record"),Scoring!$C$35,Scoring!$C$34)))))</f>
        <v>4</v>
      </c>
      <c r="AF373" s="22" t="n">
        <f aca="false">IF(T373="Y",0,IF(ISNUMBER(V373),IF(Scoring!$B$4-V373&gt;15,Scoring!$C$36,IF(Scoring!$B$4-V373&gt;=10,Scoring!$C$37,IF(Scoring!$B$4-V373&gt;=5,Scoring!$C$38,Scoring!$C$39))),IF(OR(N373="",D373="Out of program"),Scoring!$C$40,IF(O373&gt;15,Scoring!$C$36,IF(O373&gt;=10,Scoring!$C$37,IF(O373&gt;=5,Scoring!$C$38,Scoring!$C$39))))))</f>
        <v>15</v>
      </c>
      <c r="AG373" s="22" t="n">
        <f aca="false">IF(T373="Y",0,IF(Y373="Y",Scoring!$C$41,IF(ISNUMBER(O373),IF(O373&gt;=25,Scoring!$C$42,IF(O373&gt;=15,Scoring!$C$43,Scoring!$C$44)),Scoring!$C$44)))</f>
        <v>5</v>
      </c>
      <c r="AH373" s="22" t="n">
        <f aca="false">IF(T373="Y",0,IF(W373="",Scoring!$C$49,IFERROR(VLOOKUP(W373,Scoring!$B$45:$C$48,2,FALSE()),Scoring!$C$49)))</f>
        <v>5</v>
      </c>
      <c r="AI373" s="23" t="n">
        <f aca="false">C373+IF(ISNUMBER(J373),J373,0)/100000+(10000-ROW())/1000000000</f>
        <v>49.002649627</v>
      </c>
      <c r="AJ373" s="18"/>
      <c r="AK373" s="18"/>
      <c r="AL373" s="18"/>
      <c r="AM373" s="18"/>
    </row>
    <row r="374" customFormat="false" ht="15" hidden="false" customHeight="false" outlineLevel="0" collapsed="false">
      <c r="A374" s="15" t="n">
        <f aca="false">RANK(AI374,$AI$2:$AI$755)</f>
        <v>373</v>
      </c>
      <c r="B374" s="16" t="str">
        <f aca="false">IF(T374="Y","Superseded",IF(C374&gt;=Scoring!$B$16,"Immediate",IF(C374&gt;=Scoring!$B$17,"This week",IF(C374&gt;=Scoring!$B$18,"Nurture","Low"))))</f>
        <v>Nurture</v>
      </c>
      <c r="C374" s="3" t="n">
        <f aca="false">SUM(AC374:AH374)</f>
        <v>49</v>
      </c>
      <c r="D374" s="15" t="str">
        <f aca="false">IF(T374="Y","Superseded record",IF(AND(U374&lt;&gt;"",AA374&lt;0),"Expired (verified)",IF(AND(U374&lt;&gt;"",AA374&lt;=Scoring!$B$5),"Expiring: notice window (verified)",IF(AND(U374&lt;&gt;"",AA374&lt;=Scoring!$B$6),"Expiring: 10-yr horizon (verified)",IF(M374="No Longer Monitored","Out of program",IF(N374="","Unknown vintage",IF(N374&lt;Scoring!$B$12,"Pre-1990, still listed",IF(AND(U374="",AA374&lt;0),"Past 30-yr mark (verify)",IF(AND(U374="",AA374&lt;=Scoring!$B$5),"30-yr mark: notice window (est.)",IF(AND(O374&gt;=Scoring!$B$7,O374&lt;=Scoring!$B$8),"Year-15 window",IF(O374&gt;=Scoring!$B$9,"Recap window",IF(O374&gt;=11,"Late compliance","Credit period"))))))))))))</f>
        <v>Recap window</v>
      </c>
      <c r="E374" s="15" t="s">
        <v>1428</v>
      </c>
      <c r="F374" s="15" t="s">
        <v>1429</v>
      </c>
      <c r="G374" s="15" t="s">
        <v>1430</v>
      </c>
      <c r="H374" s="15" t="s">
        <v>146</v>
      </c>
      <c r="I374" s="15" t="s">
        <v>147</v>
      </c>
      <c r="J374" s="15" t="n">
        <v>253</v>
      </c>
      <c r="K374" s="15" t="n">
        <v>253</v>
      </c>
      <c r="L374" s="15" t="n">
        <f aca="false">IF(OR(J374="",K374=""),"",MAX(J374-K374,0))</f>
        <v>0</v>
      </c>
      <c r="M374" s="15" t="s">
        <v>99</v>
      </c>
      <c r="N374" s="17" t="n">
        <v>2005</v>
      </c>
      <c r="O374" s="15" t="n">
        <f aca="false">IF(N374="","",Scoring!$B$4-N374)</f>
        <v>21</v>
      </c>
      <c r="P374" s="15" t="n">
        <f aca="false">IF(N374="","",N374+14)</f>
        <v>2019</v>
      </c>
      <c r="Q374" s="15" t="n">
        <f aca="false">IF(N374="","",IF(N374&lt;Scoring!$B$12,"n/a (pre-1990)",N374+Scoring!$B$13))</f>
        <v>2034</v>
      </c>
      <c r="R374" s="15" t="str">
        <f aca="false">IF(J374="","Unknown",IF(J374&gt;=5,"Yes","No (under 5 units)"))</f>
        <v>Yes</v>
      </c>
      <c r="S374" s="15"/>
      <c r="T374" s="18"/>
      <c r="U374" s="19"/>
      <c r="V374" s="18"/>
      <c r="W374" s="18"/>
      <c r="X374" s="20"/>
      <c r="Y374" s="18"/>
      <c r="Z374" s="18"/>
      <c r="AA374" s="21" t="n">
        <f aca="false">IF(U374&lt;&gt;"",(U374-Scoring!$B$3)/365.25,IF(N374="","",IF(N374&lt;Scoring!$B$12,"",(DATE(N374+Scoring!$B$13,12,31)-Scoring!$B$3)/365.25)))</f>
        <v>8.24640657084189</v>
      </c>
      <c r="AB374" s="22" t="n">
        <f aca="false">IF(T374="Y",0,IF(OR(D374="Expired (verified)",D374="Expiring: notice window (verified)",D374="Expiring: 10-yr horizon (verified)",D374="Past 30-yr mark (verify)",D374="30-yr mark: notice window (est.)",D374="Year-15 window"),1,0)+IF(ISNUMBER(O374),IF(O374&gt;=Scoring!$B$10,1,0),0)+IF(AND(ISNUMBER(L374),ISNUMBER(J374)),IF(J374&gt;0,IF(L374/J374&gt;=Scoring!$B$11,1,0),0),0)+IF(ISNUMBER(Z374),MIN(Z374,3),0))</f>
        <v>1</v>
      </c>
      <c r="AC374" s="22" t="n">
        <f aca="false">IF(AB374&gt;=3,Scoring!$C$24,IF(AB374=2,Scoring!$C$23,IF(AB374=1,Scoring!$C$22,0)))</f>
        <v>10</v>
      </c>
      <c r="AD374" s="22" t="n">
        <f aca="false">IF(T374="Y",0,IF(ISNUMBER(X374),IF(X374&gt;0.7,Scoring!$C$25,IF(X374&gt;=0.5,Scoring!$C$26,IF(X374&gt;=0.3,Scoring!$C$27,Scoring!$C$28))),Scoring!$C$29))</f>
        <v>10</v>
      </c>
      <c r="AE374" s="22" t="n">
        <f aca="false">IF(D374="Expiring: notice window (verified)",Scoring!$C$30,IF(OR(D374="Expired (verified)",D374="30-yr mark: notice window (est.)",D374="Year-15 window"),Scoring!$C$31,IF(D374="Expiring: 10-yr horizon (verified)",Scoring!$C$32,IF(D374="Past 30-yr mark (verify)",Scoring!$C$33,IF(OR(D374="Credit period",D374="Superseded record"),Scoring!$C$35,Scoring!$C$34)))))</f>
        <v>4</v>
      </c>
      <c r="AF374" s="22" t="n">
        <f aca="false">IF(T374="Y",0,IF(ISNUMBER(V374),IF(Scoring!$B$4-V374&gt;15,Scoring!$C$36,IF(Scoring!$B$4-V374&gt;=10,Scoring!$C$37,IF(Scoring!$B$4-V374&gt;=5,Scoring!$C$38,Scoring!$C$39))),IF(OR(N374="",D374="Out of program"),Scoring!$C$40,IF(O374&gt;15,Scoring!$C$36,IF(O374&gt;=10,Scoring!$C$37,IF(O374&gt;=5,Scoring!$C$38,Scoring!$C$39))))))</f>
        <v>15</v>
      </c>
      <c r="AG374" s="22" t="n">
        <f aca="false">IF(T374="Y",0,IF(Y374="Y",Scoring!$C$41,IF(ISNUMBER(O374),IF(O374&gt;=25,Scoring!$C$42,IF(O374&gt;=15,Scoring!$C$43,Scoring!$C$44)),Scoring!$C$44)))</f>
        <v>5</v>
      </c>
      <c r="AH374" s="22" t="n">
        <f aca="false">IF(T374="Y",0,IF(W374="",Scoring!$C$49,IFERROR(VLOOKUP(W374,Scoring!$B$45:$C$48,2,FALSE()),Scoring!$C$49)))</f>
        <v>5</v>
      </c>
      <c r="AI374" s="23" t="n">
        <f aca="false">C374+IF(ISNUMBER(J374),J374,0)/100000+(10000-ROW())/1000000000</f>
        <v>49.002539626</v>
      </c>
      <c r="AJ374" s="18"/>
      <c r="AK374" s="18"/>
      <c r="AL374" s="18"/>
      <c r="AM374" s="18"/>
    </row>
    <row r="375" customFormat="false" ht="15" hidden="false" customHeight="false" outlineLevel="0" collapsed="false">
      <c r="A375" s="15" t="n">
        <f aca="false">RANK(AI375,$AI$2:$AI$755)</f>
        <v>374</v>
      </c>
      <c r="B375" s="16" t="str">
        <f aca="false">IF(T375="Y","Superseded",IF(C375&gt;=Scoring!$B$16,"Immediate",IF(C375&gt;=Scoring!$B$17,"This week",IF(C375&gt;=Scoring!$B$18,"Nurture","Low"))))</f>
        <v>Nurture</v>
      </c>
      <c r="C375" s="3" t="n">
        <f aca="false">SUM(AC375:AH375)</f>
        <v>49</v>
      </c>
      <c r="D375" s="15" t="str">
        <f aca="false">IF(T375="Y","Superseded record",IF(AND(U375&lt;&gt;"",AA375&lt;0),"Expired (verified)",IF(AND(U375&lt;&gt;"",AA375&lt;=Scoring!$B$5),"Expiring: notice window (verified)",IF(AND(U375&lt;&gt;"",AA375&lt;=Scoring!$B$6),"Expiring: 10-yr horizon (verified)",IF(M375="No Longer Monitored","Out of program",IF(N375="","Unknown vintage",IF(N375&lt;Scoring!$B$12,"Pre-1990, still listed",IF(AND(U375="",AA375&lt;0),"Past 30-yr mark (verify)",IF(AND(U375="",AA375&lt;=Scoring!$B$5),"30-yr mark: notice window (est.)",IF(AND(O375&gt;=Scoring!$B$7,O375&lt;=Scoring!$B$8),"Year-15 window",IF(O375&gt;=Scoring!$B$9,"Recap window",IF(O375&gt;=11,"Late compliance","Credit period"))))))))))))</f>
        <v>Recap window</v>
      </c>
      <c r="E375" s="15" t="s">
        <v>1431</v>
      </c>
      <c r="F375" s="15" t="s">
        <v>1432</v>
      </c>
      <c r="G375" s="15" t="s">
        <v>1433</v>
      </c>
      <c r="H375" s="15" t="s">
        <v>97</v>
      </c>
      <c r="I375" s="15" t="s">
        <v>164</v>
      </c>
      <c r="J375" s="15" t="n">
        <v>250</v>
      </c>
      <c r="K375" s="15" t="n">
        <v>250</v>
      </c>
      <c r="L375" s="15" t="n">
        <f aca="false">IF(OR(J375="",K375=""),"",MAX(J375-K375,0))</f>
        <v>0</v>
      </c>
      <c r="M375" s="15" t="s">
        <v>99</v>
      </c>
      <c r="N375" s="17" t="n">
        <v>2006</v>
      </c>
      <c r="O375" s="15" t="n">
        <f aca="false">IF(N375="","",Scoring!$B$4-N375)</f>
        <v>20</v>
      </c>
      <c r="P375" s="15" t="n">
        <f aca="false">IF(N375="","",N375+14)</f>
        <v>2020</v>
      </c>
      <c r="Q375" s="15" t="n">
        <f aca="false">IF(N375="","",IF(N375&lt;Scoring!$B$12,"n/a (pre-1990)",N375+Scoring!$B$13))</f>
        <v>2035</v>
      </c>
      <c r="R375" s="15" t="str">
        <f aca="false">IF(J375="","Unknown",IF(J375&gt;=5,"Yes","No (under 5 units)"))</f>
        <v>Yes</v>
      </c>
      <c r="S375" s="15"/>
      <c r="T375" s="18"/>
      <c r="U375" s="19"/>
      <c r="V375" s="18"/>
      <c r="W375" s="18"/>
      <c r="X375" s="20"/>
      <c r="Y375" s="18"/>
      <c r="Z375" s="18"/>
      <c r="AA375" s="21" t="n">
        <f aca="false">IF(U375&lt;&gt;"",(U375-Scoring!$B$3)/365.25,IF(N375="","",IF(N375&lt;Scoring!$B$12,"",(DATE(N375+Scoring!$B$13,12,31)-Scoring!$B$3)/365.25)))</f>
        <v>9.24572210814511</v>
      </c>
      <c r="AB375" s="22" t="n">
        <f aca="false">IF(T375="Y",0,IF(OR(D375="Expired (verified)",D375="Expiring: notice window (verified)",D375="Expiring: 10-yr horizon (verified)",D375="Past 30-yr mark (verify)",D375="30-yr mark: notice window (est.)",D375="Year-15 window"),1,0)+IF(ISNUMBER(O375),IF(O375&gt;=Scoring!$B$10,1,0),0)+IF(AND(ISNUMBER(L375),ISNUMBER(J375)),IF(J375&gt;0,IF(L375/J375&gt;=Scoring!$B$11,1,0),0),0)+IF(ISNUMBER(Z375),MIN(Z375,3),0))</f>
        <v>1</v>
      </c>
      <c r="AC375" s="22" t="n">
        <f aca="false">IF(AB375&gt;=3,Scoring!$C$24,IF(AB375=2,Scoring!$C$23,IF(AB375=1,Scoring!$C$22,0)))</f>
        <v>10</v>
      </c>
      <c r="AD375" s="22" t="n">
        <f aca="false">IF(T375="Y",0,IF(ISNUMBER(X375),IF(X375&gt;0.7,Scoring!$C$25,IF(X375&gt;=0.5,Scoring!$C$26,IF(X375&gt;=0.3,Scoring!$C$27,Scoring!$C$28))),Scoring!$C$29))</f>
        <v>10</v>
      </c>
      <c r="AE375" s="22" t="n">
        <f aca="false">IF(D375="Expiring: notice window (verified)",Scoring!$C$30,IF(OR(D375="Expired (verified)",D375="30-yr mark: notice window (est.)",D375="Year-15 window"),Scoring!$C$31,IF(D375="Expiring: 10-yr horizon (verified)",Scoring!$C$32,IF(D375="Past 30-yr mark (verify)",Scoring!$C$33,IF(OR(D375="Credit period",D375="Superseded record"),Scoring!$C$35,Scoring!$C$34)))))</f>
        <v>4</v>
      </c>
      <c r="AF375" s="22" t="n">
        <f aca="false">IF(T375="Y",0,IF(ISNUMBER(V375),IF(Scoring!$B$4-V375&gt;15,Scoring!$C$36,IF(Scoring!$B$4-V375&gt;=10,Scoring!$C$37,IF(Scoring!$B$4-V375&gt;=5,Scoring!$C$38,Scoring!$C$39))),IF(OR(N375="",D375="Out of program"),Scoring!$C$40,IF(O375&gt;15,Scoring!$C$36,IF(O375&gt;=10,Scoring!$C$37,IF(O375&gt;=5,Scoring!$C$38,Scoring!$C$39))))))</f>
        <v>15</v>
      </c>
      <c r="AG375" s="22" t="n">
        <f aca="false">IF(T375="Y",0,IF(Y375="Y",Scoring!$C$41,IF(ISNUMBER(O375),IF(O375&gt;=25,Scoring!$C$42,IF(O375&gt;=15,Scoring!$C$43,Scoring!$C$44)),Scoring!$C$44)))</f>
        <v>5</v>
      </c>
      <c r="AH375" s="22" t="n">
        <f aca="false">IF(T375="Y",0,IF(W375="",Scoring!$C$49,IFERROR(VLOOKUP(W375,Scoring!$B$45:$C$48,2,FALSE()),Scoring!$C$49)))</f>
        <v>5</v>
      </c>
      <c r="AI375" s="23" t="n">
        <f aca="false">C375+IF(ISNUMBER(J375),J375,0)/100000+(10000-ROW())/1000000000</f>
        <v>49.002509625</v>
      </c>
      <c r="AJ375" s="18"/>
      <c r="AK375" s="18"/>
      <c r="AL375" s="18"/>
      <c r="AM375" s="18"/>
    </row>
    <row r="376" customFormat="false" ht="15" hidden="false" customHeight="false" outlineLevel="0" collapsed="false">
      <c r="A376" s="15" t="n">
        <f aca="false">RANK(AI376,$AI$2:$AI$755)</f>
        <v>375</v>
      </c>
      <c r="B376" s="16" t="str">
        <f aca="false">IF(T376="Y","Superseded",IF(C376&gt;=Scoring!$B$16,"Immediate",IF(C376&gt;=Scoring!$B$17,"This week",IF(C376&gt;=Scoring!$B$18,"Nurture","Low"))))</f>
        <v>Nurture</v>
      </c>
      <c r="C376" s="3" t="n">
        <f aca="false">SUM(AC376:AH376)</f>
        <v>49</v>
      </c>
      <c r="D376" s="15" t="str">
        <f aca="false">IF(T376="Y","Superseded record",IF(AND(U376&lt;&gt;"",AA376&lt;0),"Expired (verified)",IF(AND(U376&lt;&gt;"",AA376&lt;=Scoring!$B$5),"Expiring: notice window (verified)",IF(AND(U376&lt;&gt;"",AA376&lt;=Scoring!$B$6),"Expiring: 10-yr horizon (verified)",IF(M376="No Longer Monitored","Out of program",IF(N376="","Unknown vintage",IF(N376&lt;Scoring!$B$12,"Pre-1990, still listed",IF(AND(U376="",AA376&lt;0),"Past 30-yr mark (verify)",IF(AND(U376="",AA376&lt;=Scoring!$B$5),"30-yr mark: notice window (est.)",IF(AND(O376&gt;=Scoring!$B$7,O376&lt;=Scoring!$B$8),"Year-15 window",IF(O376&gt;=Scoring!$B$9,"Recap window",IF(O376&gt;=11,"Late compliance","Credit period"))))))))))))</f>
        <v>Recap window</v>
      </c>
      <c r="E376" s="15" t="s">
        <v>1434</v>
      </c>
      <c r="F376" s="15" t="s">
        <v>1435</v>
      </c>
      <c r="G376" s="15" t="s">
        <v>1436</v>
      </c>
      <c r="H376" s="15" t="s">
        <v>232</v>
      </c>
      <c r="I376" s="15" t="s">
        <v>233</v>
      </c>
      <c r="J376" s="15" t="n">
        <v>232</v>
      </c>
      <c r="K376" s="15" t="n">
        <v>232</v>
      </c>
      <c r="L376" s="15" t="n">
        <f aca="false">IF(OR(J376="",K376=""),"",MAX(J376-K376,0))</f>
        <v>0</v>
      </c>
      <c r="M376" s="15" t="s">
        <v>99</v>
      </c>
      <c r="N376" s="17" t="n">
        <v>2006</v>
      </c>
      <c r="O376" s="15" t="n">
        <f aca="false">IF(N376="","",Scoring!$B$4-N376)</f>
        <v>20</v>
      </c>
      <c r="P376" s="15" t="n">
        <f aca="false">IF(N376="","",N376+14)</f>
        <v>2020</v>
      </c>
      <c r="Q376" s="15" t="n">
        <f aca="false">IF(N376="","",IF(N376&lt;Scoring!$B$12,"n/a (pre-1990)",N376+Scoring!$B$13))</f>
        <v>2035</v>
      </c>
      <c r="R376" s="15" t="str">
        <f aca="false">IF(J376="","Unknown",IF(J376&gt;=5,"Yes","No (under 5 units)"))</f>
        <v>Yes</v>
      </c>
      <c r="S376" s="15"/>
      <c r="T376" s="18"/>
      <c r="U376" s="19"/>
      <c r="V376" s="18"/>
      <c r="W376" s="18"/>
      <c r="X376" s="20"/>
      <c r="Y376" s="18"/>
      <c r="Z376" s="18"/>
      <c r="AA376" s="21" t="n">
        <f aca="false">IF(U376&lt;&gt;"",(U376-Scoring!$B$3)/365.25,IF(N376="","",IF(N376&lt;Scoring!$B$12,"",(DATE(N376+Scoring!$B$13,12,31)-Scoring!$B$3)/365.25)))</f>
        <v>9.24572210814511</v>
      </c>
      <c r="AB376" s="22" t="n">
        <f aca="false">IF(T376="Y",0,IF(OR(D376="Expired (verified)",D376="Expiring: notice window (verified)",D376="Expiring: 10-yr horizon (verified)",D376="Past 30-yr mark (verify)",D376="30-yr mark: notice window (est.)",D376="Year-15 window"),1,0)+IF(ISNUMBER(O376),IF(O376&gt;=Scoring!$B$10,1,0),0)+IF(AND(ISNUMBER(L376),ISNUMBER(J376)),IF(J376&gt;0,IF(L376/J376&gt;=Scoring!$B$11,1,0),0),0)+IF(ISNUMBER(Z376),MIN(Z376,3),0))</f>
        <v>1</v>
      </c>
      <c r="AC376" s="22" t="n">
        <f aca="false">IF(AB376&gt;=3,Scoring!$C$24,IF(AB376=2,Scoring!$C$23,IF(AB376=1,Scoring!$C$22,0)))</f>
        <v>10</v>
      </c>
      <c r="AD376" s="22" t="n">
        <f aca="false">IF(T376="Y",0,IF(ISNUMBER(X376),IF(X376&gt;0.7,Scoring!$C$25,IF(X376&gt;=0.5,Scoring!$C$26,IF(X376&gt;=0.3,Scoring!$C$27,Scoring!$C$28))),Scoring!$C$29))</f>
        <v>10</v>
      </c>
      <c r="AE376" s="22" t="n">
        <f aca="false">IF(D376="Expiring: notice window (verified)",Scoring!$C$30,IF(OR(D376="Expired (verified)",D376="30-yr mark: notice window (est.)",D376="Year-15 window"),Scoring!$C$31,IF(D376="Expiring: 10-yr horizon (verified)",Scoring!$C$32,IF(D376="Past 30-yr mark (verify)",Scoring!$C$33,IF(OR(D376="Credit period",D376="Superseded record"),Scoring!$C$35,Scoring!$C$34)))))</f>
        <v>4</v>
      </c>
      <c r="AF376" s="22" t="n">
        <f aca="false">IF(T376="Y",0,IF(ISNUMBER(V376),IF(Scoring!$B$4-V376&gt;15,Scoring!$C$36,IF(Scoring!$B$4-V376&gt;=10,Scoring!$C$37,IF(Scoring!$B$4-V376&gt;=5,Scoring!$C$38,Scoring!$C$39))),IF(OR(N376="",D376="Out of program"),Scoring!$C$40,IF(O376&gt;15,Scoring!$C$36,IF(O376&gt;=10,Scoring!$C$37,IF(O376&gt;=5,Scoring!$C$38,Scoring!$C$39))))))</f>
        <v>15</v>
      </c>
      <c r="AG376" s="22" t="n">
        <f aca="false">IF(T376="Y",0,IF(Y376="Y",Scoring!$C$41,IF(ISNUMBER(O376),IF(O376&gt;=25,Scoring!$C$42,IF(O376&gt;=15,Scoring!$C$43,Scoring!$C$44)),Scoring!$C$44)))</f>
        <v>5</v>
      </c>
      <c r="AH376" s="22" t="n">
        <f aca="false">IF(T376="Y",0,IF(W376="",Scoring!$C$49,IFERROR(VLOOKUP(W376,Scoring!$B$45:$C$48,2,FALSE()),Scoring!$C$49)))</f>
        <v>5</v>
      </c>
      <c r="AI376" s="23" t="n">
        <f aca="false">C376+IF(ISNUMBER(J376),J376,0)/100000+(10000-ROW())/1000000000</f>
        <v>49.002329624</v>
      </c>
      <c r="AJ376" s="18"/>
      <c r="AK376" s="18"/>
      <c r="AL376" s="18"/>
      <c r="AM376" s="18"/>
    </row>
    <row r="377" customFormat="false" ht="15" hidden="false" customHeight="false" outlineLevel="0" collapsed="false">
      <c r="A377" s="15" t="n">
        <f aca="false">RANK(AI377,$AI$2:$AI$755)</f>
        <v>376</v>
      </c>
      <c r="B377" s="16" t="str">
        <f aca="false">IF(T377="Y","Superseded",IF(C377&gt;=Scoring!$B$16,"Immediate",IF(C377&gt;=Scoring!$B$17,"This week",IF(C377&gt;=Scoring!$B$18,"Nurture","Low"))))</f>
        <v>Nurture</v>
      </c>
      <c r="C377" s="3" t="n">
        <f aca="false">SUM(AC377:AH377)</f>
        <v>49</v>
      </c>
      <c r="D377" s="15" t="str">
        <f aca="false">IF(T377="Y","Superseded record",IF(AND(U377&lt;&gt;"",AA377&lt;0),"Expired (verified)",IF(AND(U377&lt;&gt;"",AA377&lt;=Scoring!$B$5),"Expiring: notice window (verified)",IF(AND(U377&lt;&gt;"",AA377&lt;=Scoring!$B$6),"Expiring: 10-yr horizon (verified)",IF(M377="No Longer Monitored","Out of program",IF(N377="","Unknown vintage",IF(N377&lt;Scoring!$B$12,"Pre-1990, still listed",IF(AND(U377="",AA377&lt;0),"Past 30-yr mark (verify)",IF(AND(U377="",AA377&lt;=Scoring!$B$5),"30-yr mark: notice window (est.)",IF(AND(O377&gt;=Scoring!$B$7,O377&lt;=Scoring!$B$8),"Year-15 window",IF(O377&gt;=Scoring!$B$9,"Recap window",IF(O377&gt;=11,"Late compliance","Credit period"))))))))))))</f>
        <v>Recap window</v>
      </c>
      <c r="E377" s="15" t="s">
        <v>1437</v>
      </c>
      <c r="F377" s="15" t="s">
        <v>1438</v>
      </c>
      <c r="G377" s="15" t="s">
        <v>1439</v>
      </c>
      <c r="H377" s="15" t="s">
        <v>477</v>
      </c>
      <c r="I377" s="15" t="s">
        <v>478</v>
      </c>
      <c r="J377" s="15" t="n">
        <v>228</v>
      </c>
      <c r="K377" s="15" t="n">
        <v>226</v>
      </c>
      <c r="L377" s="15" t="n">
        <f aca="false">IF(OR(J377="",K377=""),"",MAX(J377-K377,0))</f>
        <v>2</v>
      </c>
      <c r="M377" s="15" t="s">
        <v>99</v>
      </c>
      <c r="N377" s="17" t="n">
        <v>2002</v>
      </c>
      <c r="O377" s="15" t="n">
        <f aca="false">IF(N377="","",Scoring!$B$4-N377)</f>
        <v>24</v>
      </c>
      <c r="P377" s="15" t="n">
        <f aca="false">IF(N377="","",N377+14)</f>
        <v>2016</v>
      </c>
      <c r="Q377" s="15" t="n">
        <f aca="false">IF(N377="","",IF(N377&lt;Scoring!$B$12,"n/a (pre-1990)",N377+Scoring!$B$13))</f>
        <v>2031</v>
      </c>
      <c r="R377" s="15" t="str">
        <f aca="false">IF(J377="","Unknown",IF(J377&gt;=5,"Yes","No (under 5 units)"))</f>
        <v>Yes</v>
      </c>
      <c r="S377" s="15"/>
      <c r="T377" s="18"/>
      <c r="U377" s="19"/>
      <c r="V377" s="18"/>
      <c r="W377" s="18"/>
      <c r="X377" s="20"/>
      <c r="Y377" s="18"/>
      <c r="Z377" s="18"/>
      <c r="AA377" s="21" t="n">
        <f aca="false">IF(U377&lt;&gt;"",(U377-Scoring!$B$3)/365.25,IF(N377="","",IF(N377&lt;Scoring!$B$12,"",(DATE(N377+Scoring!$B$13,12,31)-Scoring!$B$3)/365.25)))</f>
        <v>5.24572210814511</v>
      </c>
      <c r="AB377" s="22" t="n">
        <f aca="false">IF(T377="Y",0,IF(OR(D377="Expired (verified)",D377="Expiring: notice window (verified)",D377="Expiring: 10-yr horizon (verified)",D377="Past 30-yr mark (verify)",D377="30-yr mark: notice window (est.)",D377="Year-15 window"),1,0)+IF(ISNUMBER(O377),IF(O377&gt;=Scoring!$B$10,1,0),0)+IF(AND(ISNUMBER(L377),ISNUMBER(J377)),IF(J377&gt;0,IF(L377/J377&gt;=Scoring!$B$11,1,0),0),0)+IF(ISNUMBER(Z377),MIN(Z377,3),0))</f>
        <v>1</v>
      </c>
      <c r="AC377" s="22" t="n">
        <f aca="false">IF(AB377&gt;=3,Scoring!$C$24,IF(AB377=2,Scoring!$C$23,IF(AB377=1,Scoring!$C$22,0)))</f>
        <v>10</v>
      </c>
      <c r="AD377" s="22" t="n">
        <f aca="false">IF(T377="Y",0,IF(ISNUMBER(X377),IF(X377&gt;0.7,Scoring!$C$25,IF(X377&gt;=0.5,Scoring!$C$26,IF(X377&gt;=0.3,Scoring!$C$27,Scoring!$C$28))),Scoring!$C$29))</f>
        <v>10</v>
      </c>
      <c r="AE377" s="22" t="n">
        <f aca="false">IF(D377="Expiring: notice window (verified)",Scoring!$C$30,IF(OR(D377="Expired (verified)",D377="30-yr mark: notice window (est.)",D377="Year-15 window"),Scoring!$C$31,IF(D377="Expiring: 10-yr horizon (verified)",Scoring!$C$32,IF(D377="Past 30-yr mark (verify)",Scoring!$C$33,IF(OR(D377="Credit period",D377="Superseded record"),Scoring!$C$35,Scoring!$C$34)))))</f>
        <v>4</v>
      </c>
      <c r="AF377" s="22" t="n">
        <f aca="false">IF(T377="Y",0,IF(ISNUMBER(V377),IF(Scoring!$B$4-V377&gt;15,Scoring!$C$36,IF(Scoring!$B$4-V377&gt;=10,Scoring!$C$37,IF(Scoring!$B$4-V377&gt;=5,Scoring!$C$38,Scoring!$C$39))),IF(OR(N377="",D377="Out of program"),Scoring!$C$40,IF(O377&gt;15,Scoring!$C$36,IF(O377&gt;=10,Scoring!$C$37,IF(O377&gt;=5,Scoring!$C$38,Scoring!$C$39))))))</f>
        <v>15</v>
      </c>
      <c r="AG377" s="22" t="n">
        <f aca="false">IF(T377="Y",0,IF(Y377="Y",Scoring!$C$41,IF(ISNUMBER(O377),IF(O377&gt;=25,Scoring!$C$42,IF(O377&gt;=15,Scoring!$C$43,Scoring!$C$44)),Scoring!$C$44)))</f>
        <v>5</v>
      </c>
      <c r="AH377" s="22" t="n">
        <f aca="false">IF(T377="Y",0,IF(W377="",Scoring!$C$49,IFERROR(VLOOKUP(W377,Scoring!$B$45:$C$48,2,FALSE()),Scoring!$C$49)))</f>
        <v>5</v>
      </c>
      <c r="AI377" s="23" t="n">
        <f aca="false">C377+IF(ISNUMBER(J377),J377,0)/100000+(10000-ROW())/1000000000</f>
        <v>49.002289623</v>
      </c>
      <c r="AJ377" s="18"/>
      <c r="AK377" s="18"/>
      <c r="AL377" s="18"/>
      <c r="AM377" s="18"/>
    </row>
    <row r="378" customFormat="false" ht="15" hidden="false" customHeight="false" outlineLevel="0" collapsed="false">
      <c r="A378" s="15" t="n">
        <f aca="false">RANK(AI378,$AI$2:$AI$755)</f>
        <v>377</v>
      </c>
      <c r="B378" s="16" t="str">
        <f aca="false">IF(T378="Y","Superseded",IF(C378&gt;=Scoring!$B$16,"Immediate",IF(C378&gt;=Scoring!$B$17,"This week",IF(C378&gt;=Scoring!$B$18,"Nurture","Low"))))</f>
        <v>Nurture</v>
      </c>
      <c r="C378" s="3" t="n">
        <f aca="false">SUM(AC378:AH378)</f>
        <v>49</v>
      </c>
      <c r="D378" s="15" t="str">
        <f aca="false">IF(T378="Y","Superseded record",IF(AND(U378&lt;&gt;"",AA378&lt;0),"Expired (verified)",IF(AND(U378&lt;&gt;"",AA378&lt;=Scoring!$B$5),"Expiring: notice window (verified)",IF(AND(U378&lt;&gt;"",AA378&lt;=Scoring!$B$6),"Expiring: 10-yr horizon (verified)",IF(M378="No Longer Monitored","Out of program",IF(N378="","Unknown vintage",IF(N378&lt;Scoring!$B$12,"Pre-1990, still listed",IF(AND(U378="",AA378&lt;0),"Past 30-yr mark (verify)",IF(AND(U378="",AA378&lt;=Scoring!$B$5),"30-yr mark: notice window (est.)",IF(AND(O378&gt;=Scoring!$B$7,O378&lt;=Scoring!$B$8),"Year-15 window",IF(O378&gt;=Scoring!$B$9,"Recap window",IF(O378&gt;=11,"Late compliance","Credit period"))))))))))))</f>
        <v>Recap window</v>
      </c>
      <c r="E378" s="15" t="s">
        <v>1440</v>
      </c>
      <c r="F378" s="15" t="s">
        <v>1441</v>
      </c>
      <c r="G378" s="15" t="s">
        <v>1442</v>
      </c>
      <c r="H378" s="15" t="s">
        <v>97</v>
      </c>
      <c r="I378" s="15" t="s">
        <v>160</v>
      </c>
      <c r="J378" s="15" t="n">
        <v>209</v>
      </c>
      <c r="K378" s="15" t="n">
        <v>203</v>
      </c>
      <c r="L378" s="15" t="n">
        <f aca="false">IF(OR(J378="",K378=""),"",MAX(J378-K378,0))</f>
        <v>6</v>
      </c>
      <c r="M378" s="15" t="s">
        <v>99</v>
      </c>
      <c r="N378" s="17" t="n">
        <v>2005</v>
      </c>
      <c r="O378" s="15" t="n">
        <f aca="false">IF(N378="","",Scoring!$B$4-N378)</f>
        <v>21</v>
      </c>
      <c r="P378" s="15" t="n">
        <f aca="false">IF(N378="","",N378+14)</f>
        <v>2019</v>
      </c>
      <c r="Q378" s="15" t="n">
        <f aca="false">IF(N378="","",IF(N378&lt;Scoring!$B$12,"n/a (pre-1990)",N378+Scoring!$B$13))</f>
        <v>2034</v>
      </c>
      <c r="R378" s="15" t="str">
        <f aca="false">IF(J378="","Unknown",IF(J378&gt;=5,"Yes","No (under 5 units)"))</f>
        <v>Yes</v>
      </c>
      <c r="S378" s="15"/>
      <c r="T378" s="18"/>
      <c r="U378" s="19"/>
      <c r="V378" s="18"/>
      <c r="W378" s="18"/>
      <c r="X378" s="20"/>
      <c r="Y378" s="18"/>
      <c r="Z378" s="18"/>
      <c r="AA378" s="21" t="n">
        <f aca="false">IF(U378&lt;&gt;"",(U378-Scoring!$B$3)/365.25,IF(N378="","",IF(N378&lt;Scoring!$B$12,"",(DATE(N378+Scoring!$B$13,12,31)-Scoring!$B$3)/365.25)))</f>
        <v>8.24640657084189</v>
      </c>
      <c r="AB378" s="22" t="n">
        <f aca="false">IF(T378="Y",0,IF(OR(D378="Expired (verified)",D378="Expiring: notice window (verified)",D378="Expiring: 10-yr horizon (verified)",D378="Past 30-yr mark (verify)",D378="30-yr mark: notice window (est.)",D378="Year-15 window"),1,0)+IF(ISNUMBER(O378),IF(O378&gt;=Scoring!$B$10,1,0),0)+IF(AND(ISNUMBER(L378),ISNUMBER(J378)),IF(J378&gt;0,IF(L378/J378&gt;=Scoring!$B$11,1,0),0),0)+IF(ISNUMBER(Z378),MIN(Z378,3),0))</f>
        <v>1</v>
      </c>
      <c r="AC378" s="22" t="n">
        <f aca="false">IF(AB378&gt;=3,Scoring!$C$24,IF(AB378=2,Scoring!$C$23,IF(AB378=1,Scoring!$C$22,0)))</f>
        <v>10</v>
      </c>
      <c r="AD378" s="22" t="n">
        <f aca="false">IF(T378="Y",0,IF(ISNUMBER(X378),IF(X378&gt;0.7,Scoring!$C$25,IF(X378&gt;=0.5,Scoring!$C$26,IF(X378&gt;=0.3,Scoring!$C$27,Scoring!$C$28))),Scoring!$C$29))</f>
        <v>10</v>
      </c>
      <c r="AE378" s="22" t="n">
        <f aca="false">IF(D378="Expiring: notice window (verified)",Scoring!$C$30,IF(OR(D378="Expired (verified)",D378="30-yr mark: notice window (est.)",D378="Year-15 window"),Scoring!$C$31,IF(D378="Expiring: 10-yr horizon (verified)",Scoring!$C$32,IF(D378="Past 30-yr mark (verify)",Scoring!$C$33,IF(OR(D378="Credit period",D378="Superseded record"),Scoring!$C$35,Scoring!$C$34)))))</f>
        <v>4</v>
      </c>
      <c r="AF378" s="22" t="n">
        <f aca="false">IF(T378="Y",0,IF(ISNUMBER(V378),IF(Scoring!$B$4-V378&gt;15,Scoring!$C$36,IF(Scoring!$B$4-V378&gt;=10,Scoring!$C$37,IF(Scoring!$B$4-V378&gt;=5,Scoring!$C$38,Scoring!$C$39))),IF(OR(N378="",D378="Out of program"),Scoring!$C$40,IF(O378&gt;15,Scoring!$C$36,IF(O378&gt;=10,Scoring!$C$37,IF(O378&gt;=5,Scoring!$C$38,Scoring!$C$39))))))</f>
        <v>15</v>
      </c>
      <c r="AG378" s="22" t="n">
        <f aca="false">IF(T378="Y",0,IF(Y378="Y",Scoring!$C$41,IF(ISNUMBER(O378),IF(O378&gt;=25,Scoring!$C$42,IF(O378&gt;=15,Scoring!$C$43,Scoring!$C$44)),Scoring!$C$44)))</f>
        <v>5</v>
      </c>
      <c r="AH378" s="22" t="n">
        <f aca="false">IF(T378="Y",0,IF(W378="",Scoring!$C$49,IFERROR(VLOOKUP(W378,Scoring!$B$45:$C$48,2,FALSE()),Scoring!$C$49)))</f>
        <v>5</v>
      </c>
      <c r="AI378" s="23" t="n">
        <f aca="false">C378+IF(ISNUMBER(J378),J378,0)/100000+(10000-ROW())/1000000000</f>
        <v>49.002099622</v>
      </c>
      <c r="AJ378" s="18"/>
      <c r="AK378" s="18"/>
      <c r="AL378" s="18"/>
      <c r="AM378" s="18"/>
    </row>
    <row r="379" customFormat="false" ht="15" hidden="false" customHeight="false" outlineLevel="0" collapsed="false">
      <c r="A379" s="15" t="n">
        <f aca="false">RANK(AI379,$AI$2:$AI$755)</f>
        <v>378</v>
      </c>
      <c r="B379" s="16" t="str">
        <f aca="false">IF(T379="Y","Superseded",IF(C379&gt;=Scoring!$B$16,"Immediate",IF(C379&gt;=Scoring!$B$17,"This week",IF(C379&gt;=Scoring!$B$18,"Nurture","Low"))))</f>
        <v>Nurture</v>
      </c>
      <c r="C379" s="3" t="n">
        <f aca="false">SUM(AC379:AH379)</f>
        <v>49</v>
      </c>
      <c r="D379" s="15" t="str">
        <f aca="false">IF(T379="Y","Superseded record",IF(AND(U379&lt;&gt;"",AA379&lt;0),"Expired (verified)",IF(AND(U379&lt;&gt;"",AA379&lt;=Scoring!$B$5),"Expiring: notice window (verified)",IF(AND(U379&lt;&gt;"",AA379&lt;=Scoring!$B$6),"Expiring: 10-yr horizon (verified)",IF(M379="No Longer Monitored","Out of program",IF(N379="","Unknown vintage",IF(N379&lt;Scoring!$B$12,"Pre-1990, still listed",IF(AND(U379="",AA379&lt;0),"Past 30-yr mark (verify)",IF(AND(U379="",AA379&lt;=Scoring!$B$5),"30-yr mark: notice window (est.)",IF(AND(O379&gt;=Scoring!$B$7,O379&lt;=Scoring!$B$8),"Year-15 window",IF(O379&gt;=Scoring!$B$9,"Recap window",IF(O379&gt;=11,"Late compliance","Credit period"))))))))))))</f>
        <v>Recap window</v>
      </c>
      <c r="E379" s="15" t="s">
        <v>1443</v>
      </c>
      <c r="F379" s="15" t="s">
        <v>1444</v>
      </c>
      <c r="G379" s="15" t="s">
        <v>1445</v>
      </c>
      <c r="H379" s="15" t="s">
        <v>97</v>
      </c>
      <c r="I379" s="15" t="s">
        <v>160</v>
      </c>
      <c r="J379" s="15" t="n">
        <v>191</v>
      </c>
      <c r="K379" s="15" t="n">
        <v>140</v>
      </c>
      <c r="L379" s="15" t="n">
        <f aca="false">IF(OR(J379="",K379=""),"",MAX(J379-K379,0))</f>
        <v>51</v>
      </c>
      <c r="M379" s="15" t="s">
        <v>99</v>
      </c>
      <c r="N379" s="17" t="n">
        <v>2007</v>
      </c>
      <c r="O379" s="15" t="n">
        <f aca="false">IF(N379="","",Scoring!$B$4-N379)</f>
        <v>19</v>
      </c>
      <c r="P379" s="15" t="n">
        <f aca="false">IF(N379="","",N379+14)</f>
        <v>2021</v>
      </c>
      <c r="Q379" s="15" t="n">
        <f aca="false">IF(N379="","",IF(N379&lt;Scoring!$B$12,"n/a (pre-1990)",N379+Scoring!$B$13))</f>
        <v>2036</v>
      </c>
      <c r="R379" s="15" t="str">
        <f aca="false">IF(J379="","Unknown",IF(J379&gt;=5,"Yes","No (under 5 units)"))</f>
        <v>Yes</v>
      </c>
      <c r="S379" s="15"/>
      <c r="T379" s="18"/>
      <c r="U379" s="19"/>
      <c r="V379" s="18"/>
      <c r="W379" s="18"/>
      <c r="X379" s="20"/>
      <c r="Y379" s="18"/>
      <c r="Z379" s="18"/>
      <c r="AA379" s="21" t="n">
        <f aca="false">IF(U379&lt;&gt;"",(U379-Scoring!$B$3)/365.25,IF(N379="","",IF(N379&lt;Scoring!$B$12,"",(DATE(N379+Scoring!$B$13,12,31)-Scoring!$B$3)/365.25)))</f>
        <v>10.2477754962355</v>
      </c>
      <c r="AB379" s="22" t="n">
        <f aca="false">IF(T379="Y",0,IF(OR(D379="Expired (verified)",D379="Expiring: notice window (verified)",D379="Expiring: 10-yr horizon (verified)",D379="Past 30-yr mark (verify)",D379="30-yr mark: notice window (est.)",D379="Year-15 window"),1,0)+IF(ISNUMBER(O379),IF(O379&gt;=Scoring!$B$10,1,0),0)+IF(AND(ISNUMBER(L379),ISNUMBER(J379)),IF(J379&gt;0,IF(L379/J379&gt;=Scoring!$B$11,1,0),0),0)+IF(ISNUMBER(Z379),MIN(Z379,3),0))</f>
        <v>1</v>
      </c>
      <c r="AC379" s="22" t="n">
        <f aca="false">IF(AB379&gt;=3,Scoring!$C$24,IF(AB379=2,Scoring!$C$23,IF(AB379=1,Scoring!$C$22,0)))</f>
        <v>10</v>
      </c>
      <c r="AD379" s="22" t="n">
        <f aca="false">IF(T379="Y",0,IF(ISNUMBER(X379),IF(X379&gt;0.7,Scoring!$C$25,IF(X379&gt;=0.5,Scoring!$C$26,IF(X379&gt;=0.3,Scoring!$C$27,Scoring!$C$28))),Scoring!$C$29))</f>
        <v>10</v>
      </c>
      <c r="AE379" s="22" t="n">
        <f aca="false">IF(D379="Expiring: notice window (verified)",Scoring!$C$30,IF(OR(D379="Expired (verified)",D379="30-yr mark: notice window (est.)",D379="Year-15 window"),Scoring!$C$31,IF(D379="Expiring: 10-yr horizon (verified)",Scoring!$C$32,IF(D379="Past 30-yr mark (verify)",Scoring!$C$33,IF(OR(D379="Credit period",D379="Superseded record"),Scoring!$C$35,Scoring!$C$34)))))</f>
        <v>4</v>
      </c>
      <c r="AF379" s="22" t="n">
        <f aca="false">IF(T379="Y",0,IF(ISNUMBER(V379),IF(Scoring!$B$4-V379&gt;15,Scoring!$C$36,IF(Scoring!$B$4-V379&gt;=10,Scoring!$C$37,IF(Scoring!$B$4-V379&gt;=5,Scoring!$C$38,Scoring!$C$39))),IF(OR(N379="",D379="Out of program"),Scoring!$C$40,IF(O379&gt;15,Scoring!$C$36,IF(O379&gt;=10,Scoring!$C$37,IF(O379&gt;=5,Scoring!$C$38,Scoring!$C$39))))))</f>
        <v>15</v>
      </c>
      <c r="AG379" s="22" t="n">
        <f aca="false">IF(T379="Y",0,IF(Y379="Y",Scoring!$C$41,IF(ISNUMBER(O379),IF(O379&gt;=25,Scoring!$C$42,IF(O379&gt;=15,Scoring!$C$43,Scoring!$C$44)),Scoring!$C$44)))</f>
        <v>5</v>
      </c>
      <c r="AH379" s="22" t="n">
        <f aca="false">IF(T379="Y",0,IF(W379="",Scoring!$C$49,IFERROR(VLOOKUP(W379,Scoring!$B$45:$C$48,2,FALSE()),Scoring!$C$49)))</f>
        <v>5</v>
      </c>
      <c r="AI379" s="23" t="n">
        <f aca="false">C379+IF(ISNUMBER(J379),J379,0)/100000+(10000-ROW())/1000000000</f>
        <v>49.001919621</v>
      </c>
      <c r="AJ379" s="18"/>
      <c r="AK379" s="18"/>
      <c r="AL379" s="18"/>
      <c r="AM379" s="18"/>
    </row>
    <row r="380" customFormat="false" ht="15" hidden="false" customHeight="false" outlineLevel="0" collapsed="false">
      <c r="A380" s="15" t="n">
        <f aca="false">RANK(AI380,$AI$2:$AI$755)</f>
        <v>379</v>
      </c>
      <c r="B380" s="16" t="str">
        <f aca="false">IF(T380="Y","Superseded",IF(C380&gt;=Scoring!$B$16,"Immediate",IF(C380&gt;=Scoring!$B$17,"This week",IF(C380&gt;=Scoring!$B$18,"Nurture","Low"))))</f>
        <v>Nurture</v>
      </c>
      <c r="C380" s="3" t="n">
        <f aca="false">SUM(AC380:AH380)</f>
        <v>49</v>
      </c>
      <c r="D380" s="15" t="str">
        <f aca="false">IF(T380="Y","Superseded record",IF(AND(U380&lt;&gt;"",AA380&lt;0),"Expired (verified)",IF(AND(U380&lt;&gt;"",AA380&lt;=Scoring!$B$5),"Expiring: notice window (verified)",IF(AND(U380&lt;&gt;"",AA380&lt;=Scoring!$B$6),"Expiring: 10-yr horizon (verified)",IF(M380="No Longer Monitored","Out of program",IF(N380="","Unknown vintage",IF(N380&lt;Scoring!$B$12,"Pre-1990, still listed",IF(AND(U380="",AA380&lt;0),"Past 30-yr mark (verify)",IF(AND(U380="",AA380&lt;=Scoring!$B$5),"30-yr mark: notice window (est.)",IF(AND(O380&gt;=Scoring!$B$7,O380&lt;=Scoring!$B$8),"Year-15 window",IF(O380&gt;=Scoring!$B$9,"Recap window",IF(O380&gt;=11,"Late compliance","Credit period"))))))))))))</f>
        <v>Recap window</v>
      </c>
      <c r="E380" s="15" t="s">
        <v>1446</v>
      </c>
      <c r="F380" s="15" t="s">
        <v>1447</v>
      </c>
      <c r="G380" s="15" t="s">
        <v>1448</v>
      </c>
      <c r="H380" s="15" t="s">
        <v>97</v>
      </c>
      <c r="I380" s="15" t="s">
        <v>160</v>
      </c>
      <c r="J380" s="15" t="n">
        <v>180</v>
      </c>
      <c r="K380" s="15" t="n">
        <v>180</v>
      </c>
      <c r="L380" s="15" t="n">
        <f aca="false">IF(OR(J380="",K380=""),"",MAX(J380-K380,0))</f>
        <v>0</v>
      </c>
      <c r="M380" s="15" t="s">
        <v>99</v>
      </c>
      <c r="N380" s="17" t="n">
        <v>2004</v>
      </c>
      <c r="O380" s="15" t="n">
        <f aca="false">IF(N380="","",Scoring!$B$4-N380)</f>
        <v>22</v>
      </c>
      <c r="P380" s="15" t="n">
        <f aca="false">IF(N380="","",N380+14)</f>
        <v>2018</v>
      </c>
      <c r="Q380" s="15" t="n">
        <f aca="false">IF(N380="","",IF(N380&lt;Scoring!$B$12,"n/a (pre-1990)",N380+Scoring!$B$13))</f>
        <v>2033</v>
      </c>
      <c r="R380" s="15" t="str">
        <f aca="false">IF(J380="","Unknown",IF(J380&gt;=5,"Yes","No (under 5 units)"))</f>
        <v>Yes</v>
      </c>
      <c r="S380" s="15"/>
      <c r="T380" s="18"/>
      <c r="U380" s="19"/>
      <c r="V380" s="18"/>
      <c r="W380" s="18"/>
      <c r="X380" s="20"/>
      <c r="Y380" s="18"/>
      <c r="Z380" s="18"/>
      <c r="AA380" s="21" t="n">
        <f aca="false">IF(U380&lt;&gt;"",(U380-Scoring!$B$3)/365.25,IF(N380="","",IF(N380&lt;Scoring!$B$12,"",(DATE(N380+Scoring!$B$13,12,31)-Scoring!$B$3)/365.25)))</f>
        <v>7.24709103353867</v>
      </c>
      <c r="AB380" s="22" t="n">
        <f aca="false">IF(T380="Y",0,IF(OR(D380="Expired (verified)",D380="Expiring: notice window (verified)",D380="Expiring: 10-yr horizon (verified)",D380="Past 30-yr mark (verify)",D380="30-yr mark: notice window (est.)",D380="Year-15 window"),1,0)+IF(ISNUMBER(O380),IF(O380&gt;=Scoring!$B$10,1,0),0)+IF(AND(ISNUMBER(L380),ISNUMBER(J380)),IF(J380&gt;0,IF(L380/J380&gt;=Scoring!$B$11,1,0),0),0)+IF(ISNUMBER(Z380),MIN(Z380,3),0))</f>
        <v>1</v>
      </c>
      <c r="AC380" s="22" t="n">
        <f aca="false">IF(AB380&gt;=3,Scoring!$C$24,IF(AB380=2,Scoring!$C$23,IF(AB380=1,Scoring!$C$22,0)))</f>
        <v>10</v>
      </c>
      <c r="AD380" s="22" t="n">
        <f aca="false">IF(T380="Y",0,IF(ISNUMBER(X380),IF(X380&gt;0.7,Scoring!$C$25,IF(X380&gt;=0.5,Scoring!$C$26,IF(X380&gt;=0.3,Scoring!$C$27,Scoring!$C$28))),Scoring!$C$29))</f>
        <v>10</v>
      </c>
      <c r="AE380" s="22" t="n">
        <f aca="false">IF(D380="Expiring: notice window (verified)",Scoring!$C$30,IF(OR(D380="Expired (verified)",D380="30-yr mark: notice window (est.)",D380="Year-15 window"),Scoring!$C$31,IF(D380="Expiring: 10-yr horizon (verified)",Scoring!$C$32,IF(D380="Past 30-yr mark (verify)",Scoring!$C$33,IF(OR(D380="Credit period",D380="Superseded record"),Scoring!$C$35,Scoring!$C$34)))))</f>
        <v>4</v>
      </c>
      <c r="AF380" s="22" t="n">
        <f aca="false">IF(T380="Y",0,IF(ISNUMBER(V380),IF(Scoring!$B$4-V380&gt;15,Scoring!$C$36,IF(Scoring!$B$4-V380&gt;=10,Scoring!$C$37,IF(Scoring!$B$4-V380&gt;=5,Scoring!$C$38,Scoring!$C$39))),IF(OR(N380="",D380="Out of program"),Scoring!$C$40,IF(O380&gt;15,Scoring!$C$36,IF(O380&gt;=10,Scoring!$C$37,IF(O380&gt;=5,Scoring!$C$38,Scoring!$C$39))))))</f>
        <v>15</v>
      </c>
      <c r="AG380" s="22" t="n">
        <f aca="false">IF(T380="Y",0,IF(Y380="Y",Scoring!$C$41,IF(ISNUMBER(O380),IF(O380&gt;=25,Scoring!$C$42,IF(O380&gt;=15,Scoring!$C$43,Scoring!$C$44)),Scoring!$C$44)))</f>
        <v>5</v>
      </c>
      <c r="AH380" s="22" t="n">
        <f aca="false">IF(T380="Y",0,IF(W380="",Scoring!$C$49,IFERROR(VLOOKUP(W380,Scoring!$B$45:$C$48,2,FALSE()),Scoring!$C$49)))</f>
        <v>5</v>
      </c>
      <c r="AI380" s="23" t="n">
        <f aca="false">C380+IF(ISNUMBER(J380),J380,0)/100000+(10000-ROW())/1000000000</f>
        <v>49.00180962</v>
      </c>
      <c r="AJ380" s="18"/>
      <c r="AK380" s="18"/>
      <c r="AL380" s="18"/>
      <c r="AM380" s="18"/>
    </row>
    <row r="381" customFormat="false" ht="15" hidden="false" customHeight="false" outlineLevel="0" collapsed="false">
      <c r="A381" s="15" t="n">
        <f aca="false">RANK(AI381,$AI$2:$AI$755)</f>
        <v>380</v>
      </c>
      <c r="B381" s="16" t="str">
        <f aca="false">IF(T381="Y","Superseded",IF(C381&gt;=Scoring!$B$16,"Immediate",IF(C381&gt;=Scoring!$B$17,"This week",IF(C381&gt;=Scoring!$B$18,"Nurture","Low"))))</f>
        <v>Nurture</v>
      </c>
      <c r="C381" s="3" t="n">
        <f aca="false">SUM(AC381:AH381)</f>
        <v>49</v>
      </c>
      <c r="D381" s="15" t="str">
        <f aca="false">IF(T381="Y","Superseded record",IF(AND(U381&lt;&gt;"",AA381&lt;0),"Expired (verified)",IF(AND(U381&lt;&gt;"",AA381&lt;=Scoring!$B$5),"Expiring: notice window (verified)",IF(AND(U381&lt;&gt;"",AA381&lt;=Scoring!$B$6),"Expiring: 10-yr horizon (verified)",IF(M381="No Longer Monitored","Out of program",IF(N381="","Unknown vintage",IF(N381&lt;Scoring!$B$12,"Pre-1990, still listed",IF(AND(U381="",AA381&lt;0),"Past 30-yr mark (verify)",IF(AND(U381="",AA381&lt;=Scoring!$B$5),"30-yr mark: notice window (est.)",IF(AND(O381&gt;=Scoring!$B$7,O381&lt;=Scoring!$B$8),"Year-15 window",IF(O381&gt;=Scoring!$B$9,"Recap window",IF(O381&gt;=11,"Late compliance","Credit period"))))))))))))</f>
        <v>Recap window</v>
      </c>
      <c r="E381" s="15" t="s">
        <v>1449</v>
      </c>
      <c r="F381" s="15" t="s">
        <v>1450</v>
      </c>
      <c r="G381" s="15" t="s">
        <v>1451</v>
      </c>
      <c r="H381" s="15" t="s">
        <v>97</v>
      </c>
      <c r="I381" s="15" t="s">
        <v>160</v>
      </c>
      <c r="J381" s="15" t="n">
        <v>156</v>
      </c>
      <c r="K381" s="15" t="n">
        <v>156</v>
      </c>
      <c r="L381" s="15" t="n">
        <f aca="false">IF(OR(J381="",K381=""),"",MAX(J381-K381,0))</f>
        <v>0</v>
      </c>
      <c r="M381" s="15" t="s">
        <v>99</v>
      </c>
      <c r="N381" s="17" t="n">
        <v>2003</v>
      </c>
      <c r="O381" s="15" t="n">
        <f aca="false">IF(N381="","",Scoring!$B$4-N381)</f>
        <v>23</v>
      </c>
      <c r="P381" s="15" t="n">
        <f aca="false">IF(N381="","",N381+14)</f>
        <v>2017</v>
      </c>
      <c r="Q381" s="15" t="n">
        <f aca="false">IF(N381="","",IF(N381&lt;Scoring!$B$12,"n/a (pre-1990)",N381+Scoring!$B$13))</f>
        <v>2032</v>
      </c>
      <c r="R381" s="15" t="str">
        <f aca="false">IF(J381="","Unknown",IF(J381&gt;=5,"Yes","No (under 5 units)"))</f>
        <v>Yes</v>
      </c>
      <c r="S381" s="15"/>
      <c r="T381" s="18"/>
      <c r="U381" s="19"/>
      <c r="V381" s="18"/>
      <c r="W381" s="18"/>
      <c r="X381" s="20"/>
      <c r="Y381" s="18"/>
      <c r="Z381" s="18"/>
      <c r="AA381" s="21" t="n">
        <f aca="false">IF(U381&lt;&gt;"",(U381-Scoring!$B$3)/365.25,IF(N381="","",IF(N381&lt;Scoring!$B$12,"",(DATE(N381+Scoring!$B$13,12,31)-Scoring!$B$3)/365.25)))</f>
        <v>6.24777549623546</v>
      </c>
      <c r="AB381" s="22" t="n">
        <f aca="false">IF(T381="Y",0,IF(OR(D381="Expired (verified)",D381="Expiring: notice window (verified)",D381="Expiring: 10-yr horizon (verified)",D381="Past 30-yr mark (verify)",D381="30-yr mark: notice window (est.)",D381="Year-15 window"),1,0)+IF(ISNUMBER(O381),IF(O381&gt;=Scoring!$B$10,1,0),0)+IF(AND(ISNUMBER(L381),ISNUMBER(J381)),IF(J381&gt;0,IF(L381/J381&gt;=Scoring!$B$11,1,0),0),0)+IF(ISNUMBER(Z381),MIN(Z381,3),0))</f>
        <v>1</v>
      </c>
      <c r="AC381" s="22" t="n">
        <f aca="false">IF(AB381&gt;=3,Scoring!$C$24,IF(AB381=2,Scoring!$C$23,IF(AB381=1,Scoring!$C$22,0)))</f>
        <v>10</v>
      </c>
      <c r="AD381" s="22" t="n">
        <f aca="false">IF(T381="Y",0,IF(ISNUMBER(X381),IF(X381&gt;0.7,Scoring!$C$25,IF(X381&gt;=0.5,Scoring!$C$26,IF(X381&gt;=0.3,Scoring!$C$27,Scoring!$C$28))),Scoring!$C$29))</f>
        <v>10</v>
      </c>
      <c r="AE381" s="22" t="n">
        <f aca="false">IF(D381="Expiring: notice window (verified)",Scoring!$C$30,IF(OR(D381="Expired (verified)",D381="30-yr mark: notice window (est.)",D381="Year-15 window"),Scoring!$C$31,IF(D381="Expiring: 10-yr horizon (verified)",Scoring!$C$32,IF(D381="Past 30-yr mark (verify)",Scoring!$C$33,IF(OR(D381="Credit period",D381="Superseded record"),Scoring!$C$35,Scoring!$C$34)))))</f>
        <v>4</v>
      </c>
      <c r="AF381" s="22" t="n">
        <f aca="false">IF(T381="Y",0,IF(ISNUMBER(V381),IF(Scoring!$B$4-V381&gt;15,Scoring!$C$36,IF(Scoring!$B$4-V381&gt;=10,Scoring!$C$37,IF(Scoring!$B$4-V381&gt;=5,Scoring!$C$38,Scoring!$C$39))),IF(OR(N381="",D381="Out of program"),Scoring!$C$40,IF(O381&gt;15,Scoring!$C$36,IF(O381&gt;=10,Scoring!$C$37,IF(O381&gt;=5,Scoring!$C$38,Scoring!$C$39))))))</f>
        <v>15</v>
      </c>
      <c r="AG381" s="22" t="n">
        <f aca="false">IF(T381="Y",0,IF(Y381="Y",Scoring!$C$41,IF(ISNUMBER(O381),IF(O381&gt;=25,Scoring!$C$42,IF(O381&gt;=15,Scoring!$C$43,Scoring!$C$44)),Scoring!$C$44)))</f>
        <v>5</v>
      </c>
      <c r="AH381" s="22" t="n">
        <f aca="false">IF(T381="Y",0,IF(W381="",Scoring!$C$49,IFERROR(VLOOKUP(W381,Scoring!$B$45:$C$48,2,FALSE()),Scoring!$C$49)))</f>
        <v>5</v>
      </c>
      <c r="AI381" s="23" t="n">
        <f aca="false">C381+IF(ISNUMBER(J381),J381,0)/100000+(10000-ROW())/1000000000</f>
        <v>49.001569619</v>
      </c>
      <c r="AJ381" s="18"/>
      <c r="AK381" s="18"/>
      <c r="AL381" s="18"/>
      <c r="AM381" s="18"/>
    </row>
    <row r="382" customFormat="false" ht="15" hidden="false" customHeight="false" outlineLevel="0" collapsed="false">
      <c r="A382" s="15" t="n">
        <f aca="false">RANK(AI382,$AI$2:$AI$755)</f>
        <v>381</v>
      </c>
      <c r="B382" s="16" t="str">
        <f aca="false">IF(T382="Y","Superseded",IF(C382&gt;=Scoring!$B$16,"Immediate",IF(C382&gt;=Scoring!$B$17,"This week",IF(C382&gt;=Scoring!$B$18,"Nurture","Low"))))</f>
        <v>Nurture</v>
      </c>
      <c r="C382" s="3" t="n">
        <f aca="false">SUM(AC382:AH382)</f>
        <v>49</v>
      </c>
      <c r="D382" s="15" t="str">
        <f aca="false">IF(T382="Y","Superseded record",IF(AND(U382&lt;&gt;"",AA382&lt;0),"Expired (verified)",IF(AND(U382&lt;&gt;"",AA382&lt;=Scoring!$B$5),"Expiring: notice window (verified)",IF(AND(U382&lt;&gt;"",AA382&lt;=Scoring!$B$6),"Expiring: 10-yr horizon (verified)",IF(M382="No Longer Monitored","Out of program",IF(N382="","Unknown vintage",IF(N382&lt;Scoring!$B$12,"Pre-1990, still listed",IF(AND(U382="",AA382&lt;0),"Past 30-yr mark (verify)",IF(AND(U382="",AA382&lt;=Scoring!$B$5),"30-yr mark: notice window (est.)",IF(AND(O382&gt;=Scoring!$B$7,O382&lt;=Scoring!$B$8),"Year-15 window",IF(O382&gt;=Scoring!$B$9,"Recap window",IF(O382&gt;=11,"Late compliance","Credit period"))))))))))))</f>
        <v>Recap window</v>
      </c>
      <c r="E382" s="15" t="s">
        <v>1452</v>
      </c>
      <c r="F382" s="15" t="s">
        <v>1453</v>
      </c>
      <c r="G382" s="15" t="s">
        <v>1454</v>
      </c>
      <c r="H382" s="15" t="s">
        <v>97</v>
      </c>
      <c r="I382" s="15" t="s">
        <v>859</v>
      </c>
      <c r="J382" s="15" t="n">
        <v>144</v>
      </c>
      <c r="K382" s="15" t="n">
        <v>144</v>
      </c>
      <c r="L382" s="15" t="n">
        <f aca="false">IF(OR(J382="",K382=""),"",MAX(J382-K382,0))</f>
        <v>0</v>
      </c>
      <c r="M382" s="15" t="s">
        <v>99</v>
      </c>
      <c r="N382" s="17" t="n">
        <v>2003</v>
      </c>
      <c r="O382" s="15" t="n">
        <f aca="false">IF(N382="","",Scoring!$B$4-N382)</f>
        <v>23</v>
      </c>
      <c r="P382" s="15" t="n">
        <f aca="false">IF(N382="","",N382+14)</f>
        <v>2017</v>
      </c>
      <c r="Q382" s="15" t="n">
        <f aca="false">IF(N382="","",IF(N382&lt;Scoring!$B$12,"n/a (pre-1990)",N382+Scoring!$B$13))</f>
        <v>2032</v>
      </c>
      <c r="R382" s="15" t="str">
        <f aca="false">IF(J382="","Unknown",IF(J382&gt;=5,"Yes","No (under 5 units)"))</f>
        <v>Yes</v>
      </c>
      <c r="S382" s="15"/>
      <c r="T382" s="18"/>
      <c r="U382" s="19"/>
      <c r="V382" s="18"/>
      <c r="W382" s="18"/>
      <c r="X382" s="20"/>
      <c r="Y382" s="18"/>
      <c r="Z382" s="18"/>
      <c r="AA382" s="21" t="n">
        <f aca="false">IF(U382&lt;&gt;"",(U382-Scoring!$B$3)/365.25,IF(N382="","",IF(N382&lt;Scoring!$B$12,"",(DATE(N382+Scoring!$B$13,12,31)-Scoring!$B$3)/365.25)))</f>
        <v>6.24777549623546</v>
      </c>
      <c r="AB382" s="22" t="n">
        <f aca="false">IF(T382="Y",0,IF(OR(D382="Expired (verified)",D382="Expiring: notice window (verified)",D382="Expiring: 10-yr horizon (verified)",D382="Past 30-yr mark (verify)",D382="30-yr mark: notice window (est.)",D382="Year-15 window"),1,0)+IF(ISNUMBER(O382),IF(O382&gt;=Scoring!$B$10,1,0),0)+IF(AND(ISNUMBER(L382),ISNUMBER(J382)),IF(J382&gt;0,IF(L382/J382&gt;=Scoring!$B$11,1,0),0),0)+IF(ISNUMBER(Z382),MIN(Z382,3),0))</f>
        <v>1</v>
      </c>
      <c r="AC382" s="22" t="n">
        <f aca="false">IF(AB382&gt;=3,Scoring!$C$24,IF(AB382=2,Scoring!$C$23,IF(AB382=1,Scoring!$C$22,0)))</f>
        <v>10</v>
      </c>
      <c r="AD382" s="22" t="n">
        <f aca="false">IF(T382="Y",0,IF(ISNUMBER(X382),IF(X382&gt;0.7,Scoring!$C$25,IF(X382&gt;=0.5,Scoring!$C$26,IF(X382&gt;=0.3,Scoring!$C$27,Scoring!$C$28))),Scoring!$C$29))</f>
        <v>10</v>
      </c>
      <c r="AE382" s="22" t="n">
        <f aca="false">IF(D382="Expiring: notice window (verified)",Scoring!$C$30,IF(OR(D382="Expired (verified)",D382="30-yr mark: notice window (est.)",D382="Year-15 window"),Scoring!$C$31,IF(D382="Expiring: 10-yr horizon (verified)",Scoring!$C$32,IF(D382="Past 30-yr mark (verify)",Scoring!$C$33,IF(OR(D382="Credit period",D382="Superseded record"),Scoring!$C$35,Scoring!$C$34)))))</f>
        <v>4</v>
      </c>
      <c r="AF382" s="22" t="n">
        <f aca="false">IF(T382="Y",0,IF(ISNUMBER(V382),IF(Scoring!$B$4-V382&gt;15,Scoring!$C$36,IF(Scoring!$B$4-V382&gt;=10,Scoring!$C$37,IF(Scoring!$B$4-V382&gt;=5,Scoring!$C$38,Scoring!$C$39))),IF(OR(N382="",D382="Out of program"),Scoring!$C$40,IF(O382&gt;15,Scoring!$C$36,IF(O382&gt;=10,Scoring!$C$37,IF(O382&gt;=5,Scoring!$C$38,Scoring!$C$39))))))</f>
        <v>15</v>
      </c>
      <c r="AG382" s="22" t="n">
        <f aca="false">IF(T382="Y",0,IF(Y382="Y",Scoring!$C$41,IF(ISNUMBER(O382),IF(O382&gt;=25,Scoring!$C$42,IF(O382&gt;=15,Scoring!$C$43,Scoring!$C$44)),Scoring!$C$44)))</f>
        <v>5</v>
      </c>
      <c r="AH382" s="22" t="n">
        <f aca="false">IF(T382="Y",0,IF(W382="",Scoring!$C$49,IFERROR(VLOOKUP(W382,Scoring!$B$45:$C$48,2,FALSE()),Scoring!$C$49)))</f>
        <v>5</v>
      </c>
      <c r="AI382" s="23" t="n">
        <f aca="false">C382+IF(ISNUMBER(J382),J382,0)/100000+(10000-ROW())/1000000000</f>
        <v>49.001449618</v>
      </c>
      <c r="AJ382" s="18"/>
      <c r="AK382" s="18"/>
      <c r="AL382" s="18"/>
      <c r="AM382" s="18"/>
    </row>
    <row r="383" customFormat="false" ht="15" hidden="false" customHeight="false" outlineLevel="0" collapsed="false">
      <c r="A383" s="15" t="n">
        <f aca="false">RANK(AI383,$AI$2:$AI$755)</f>
        <v>382</v>
      </c>
      <c r="B383" s="16" t="str">
        <f aca="false">IF(T383="Y","Superseded",IF(C383&gt;=Scoring!$B$16,"Immediate",IF(C383&gt;=Scoring!$B$17,"This week",IF(C383&gt;=Scoring!$B$18,"Nurture","Low"))))</f>
        <v>Nurture</v>
      </c>
      <c r="C383" s="3" t="n">
        <f aca="false">SUM(AC383:AH383)</f>
        <v>49</v>
      </c>
      <c r="D383" s="15" t="str">
        <f aca="false">IF(T383="Y","Superseded record",IF(AND(U383&lt;&gt;"",AA383&lt;0),"Expired (verified)",IF(AND(U383&lt;&gt;"",AA383&lt;=Scoring!$B$5),"Expiring: notice window (verified)",IF(AND(U383&lt;&gt;"",AA383&lt;=Scoring!$B$6),"Expiring: 10-yr horizon (verified)",IF(M383="No Longer Monitored","Out of program",IF(N383="","Unknown vintage",IF(N383&lt;Scoring!$B$12,"Pre-1990, still listed",IF(AND(U383="",AA383&lt;0),"Past 30-yr mark (verify)",IF(AND(U383="",AA383&lt;=Scoring!$B$5),"30-yr mark: notice window (est.)",IF(AND(O383&gt;=Scoring!$B$7,O383&lt;=Scoring!$B$8),"Year-15 window",IF(O383&gt;=Scoring!$B$9,"Recap window",IF(O383&gt;=11,"Late compliance","Credit period"))))))))))))</f>
        <v>Recap window</v>
      </c>
      <c r="E383" s="15" t="s">
        <v>1455</v>
      </c>
      <c r="F383" s="15" t="s">
        <v>1456</v>
      </c>
      <c r="G383" s="15" t="s">
        <v>1457</v>
      </c>
      <c r="H383" s="15" t="s">
        <v>151</v>
      </c>
      <c r="I383" s="15" t="s">
        <v>280</v>
      </c>
      <c r="J383" s="15" t="n">
        <v>138</v>
      </c>
      <c r="K383" s="15" t="n">
        <v>138</v>
      </c>
      <c r="L383" s="15" t="n">
        <f aca="false">IF(OR(J383="",K383=""),"",MAX(J383-K383,0))</f>
        <v>0</v>
      </c>
      <c r="M383" s="15" t="s">
        <v>99</v>
      </c>
      <c r="N383" s="17" t="n">
        <v>2004</v>
      </c>
      <c r="O383" s="15" t="n">
        <f aca="false">IF(N383="","",Scoring!$B$4-N383)</f>
        <v>22</v>
      </c>
      <c r="P383" s="15" t="n">
        <f aca="false">IF(N383="","",N383+14)</f>
        <v>2018</v>
      </c>
      <c r="Q383" s="15" t="n">
        <f aca="false">IF(N383="","",IF(N383&lt;Scoring!$B$12,"n/a (pre-1990)",N383+Scoring!$B$13))</f>
        <v>2033</v>
      </c>
      <c r="R383" s="15" t="str">
        <f aca="false">IF(J383="","Unknown",IF(J383&gt;=5,"Yes","No (under 5 units)"))</f>
        <v>Yes</v>
      </c>
      <c r="S383" s="15"/>
      <c r="T383" s="18"/>
      <c r="U383" s="19"/>
      <c r="V383" s="18"/>
      <c r="W383" s="18"/>
      <c r="X383" s="20"/>
      <c r="Y383" s="18"/>
      <c r="Z383" s="18"/>
      <c r="AA383" s="21" t="n">
        <f aca="false">IF(U383&lt;&gt;"",(U383-Scoring!$B$3)/365.25,IF(N383="","",IF(N383&lt;Scoring!$B$12,"",(DATE(N383+Scoring!$B$13,12,31)-Scoring!$B$3)/365.25)))</f>
        <v>7.24709103353867</v>
      </c>
      <c r="AB383" s="22" t="n">
        <f aca="false">IF(T383="Y",0,IF(OR(D383="Expired (verified)",D383="Expiring: notice window (verified)",D383="Expiring: 10-yr horizon (verified)",D383="Past 30-yr mark (verify)",D383="30-yr mark: notice window (est.)",D383="Year-15 window"),1,0)+IF(ISNUMBER(O383),IF(O383&gt;=Scoring!$B$10,1,0),0)+IF(AND(ISNUMBER(L383),ISNUMBER(J383)),IF(J383&gt;0,IF(L383/J383&gt;=Scoring!$B$11,1,0),0),0)+IF(ISNUMBER(Z383),MIN(Z383,3),0))</f>
        <v>1</v>
      </c>
      <c r="AC383" s="22" t="n">
        <f aca="false">IF(AB383&gt;=3,Scoring!$C$24,IF(AB383=2,Scoring!$C$23,IF(AB383=1,Scoring!$C$22,0)))</f>
        <v>10</v>
      </c>
      <c r="AD383" s="22" t="n">
        <f aca="false">IF(T383="Y",0,IF(ISNUMBER(X383),IF(X383&gt;0.7,Scoring!$C$25,IF(X383&gt;=0.5,Scoring!$C$26,IF(X383&gt;=0.3,Scoring!$C$27,Scoring!$C$28))),Scoring!$C$29))</f>
        <v>10</v>
      </c>
      <c r="AE383" s="22" t="n">
        <f aca="false">IF(D383="Expiring: notice window (verified)",Scoring!$C$30,IF(OR(D383="Expired (verified)",D383="30-yr mark: notice window (est.)",D383="Year-15 window"),Scoring!$C$31,IF(D383="Expiring: 10-yr horizon (verified)",Scoring!$C$32,IF(D383="Past 30-yr mark (verify)",Scoring!$C$33,IF(OR(D383="Credit period",D383="Superseded record"),Scoring!$C$35,Scoring!$C$34)))))</f>
        <v>4</v>
      </c>
      <c r="AF383" s="22" t="n">
        <f aca="false">IF(T383="Y",0,IF(ISNUMBER(V383),IF(Scoring!$B$4-V383&gt;15,Scoring!$C$36,IF(Scoring!$B$4-V383&gt;=10,Scoring!$C$37,IF(Scoring!$B$4-V383&gt;=5,Scoring!$C$38,Scoring!$C$39))),IF(OR(N383="",D383="Out of program"),Scoring!$C$40,IF(O383&gt;15,Scoring!$C$36,IF(O383&gt;=10,Scoring!$C$37,IF(O383&gt;=5,Scoring!$C$38,Scoring!$C$39))))))</f>
        <v>15</v>
      </c>
      <c r="AG383" s="22" t="n">
        <f aca="false">IF(T383="Y",0,IF(Y383="Y",Scoring!$C$41,IF(ISNUMBER(O383),IF(O383&gt;=25,Scoring!$C$42,IF(O383&gt;=15,Scoring!$C$43,Scoring!$C$44)),Scoring!$C$44)))</f>
        <v>5</v>
      </c>
      <c r="AH383" s="22" t="n">
        <f aca="false">IF(T383="Y",0,IF(W383="",Scoring!$C$49,IFERROR(VLOOKUP(W383,Scoring!$B$45:$C$48,2,FALSE()),Scoring!$C$49)))</f>
        <v>5</v>
      </c>
      <c r="AI383" s="23" t="n">
        <f aca="false">C383+IF(ISNUMBER(J383),J383,0)/100000+(10000-ROW())/1000000000</f>
        <v>49.001389617</v>
      </c>
      <c r="AJ383" s="18"/>
      <c r="AK383" s="18"/>
      <c r="AL383" s="18"/>
      <c r="AM383" s="18"/>
    </row>
    <row r="384" customFormat="false" ht="15" hidden="false" customHeight="false" outlineLevel="0" collapsed="false">
      <c r="A384" s="15" t="n">
        <f aca="false">RANK(AI384,$AI$2:$AI$755)</f>
        <v>383</v>
      </c>
      <c r="B384" s="16" t="str">
        <f aca="false">IF(T384="Y","Superseded",IF(C384&gt;=Scoring!$B$16,"Immediate",IF(C384&gt;=Scoring!$B$17,"This week",IF(C384&gt;=Scoring!$B$18,"Nurture","Low"))))</f>
        <v>Nurture</v>
      </c>
      <c r="C384" s="3" t="n">
        <f aca="false">SUM(AC384:AH384)</f>
        <v>49</v>
      </c>
      <c r="D384" s="15" t="str">
        <f aca="false">IF(T384="Y","Superseded record",IF(AND(U384&lt;&gt;"",AA384&lt;0),"Expired (verified)",IF(AND(U384&lt;&gt;"",AA384&lt;=Scoring!$B$5),"Expiring: notice window (verified)",IF(AND(U384&lt;&gt;"",AA384&lt;=Scoring!$B$6),"Expiring: 10-yr horizon (verified)",IF(M384="No Longer Monitored","Out of program",IF(N384="","Unknown vintage",IF(N384&lt;Scoring!$B$12,"Pre-1990, still listed",IF(AND(U384="",AA384&lt;0),"Past 30-yr mark (verify)",IF(AND(U384="",AA384&lt;=Scoring!$B$5),"30-yr mark: notice window (est.)",IF(AND(O384&gt;=Scoring!$B$7,O384&lt;=Scoring!$B$8),"Year-15 window",IF(O384&gt;=Scoring!$B$9,"Recap window",IF(O384&gt;=11,"Late compliance","Credit period"))))))))))))</f>
        <v>Recap window</v>
      </c>
      <c r="E384" s="15" t="s">
        <v>1458</v>
      </c>
      <c r="F384" s="15" t="s">
        <v>1459</v>
      </c>
      <c r="G384" s="15" t="s">
        <v>1460</v>
      </c>
      <c r="H384" s="15" t="s">
        <v>97</v>
      </c>
      <c r="I384" s="15" t="s">
        <v>195</v>
      </c>
      <c r="J384" s="15" t="n">
        <v>132</v>
      </c>
      <c r="K384" s="15" t="n">
        <v>132</v>
      </c>
      <c r="L384" s="15" t="n">
        <f aca="false">IF(OR(J384="",K384=""),"",MAX(J384-K384,0))</f>
        <v>0</v>
      </c>
      <c r="M384" s="15" t="s">
        <v>99</v>
      </c>
      <c r="N384" s="17" t="n">
        <v>2003</v>
      </c>
      <c r="O384" s="15" t="n">
        <f aca="false">IF(N384="","",Scoring!$B$4-N384)</f>
        <v>23</v>
      </c>
      <c r="P384" s="15" t="n">
        <f aca="false">IF(N384="","",N384+14)</f>
        <v>2017</v>
      </c>
      <c r="Q384" s="15" t="n">
        <f aca="false">IF(N384="","",IF(N384&lt;Scoring!$B$12,"n/a (pre-1990)",N384+Scoring!$B$13))</f>
        <v>2032</v>
      </c>
      <c r="R384" s="15" t="str">
        <f aca="false">IF(J384="","Unknown",IF(J384&gt;=5,"Yes","No (under 5 units)"))</f>
        <v>Yes</v>
      </c>
      <c r="S384" s="15" t="s">
        <v>1461</v>
      </c>
      <c r="T384" s="18"/>
      <c r="U384" s="19"/>
      <c r="V384" s="18"/>
      <c r="W384" s="18"/>
      <c r="X384" s="20"/>
      <c r="Y384" s="18"/>
      <c r="Z384" s="18"/>
      <c r="AA384" s="21" t="n">
        <f aca="false">IF(U384&lt;&gt;"",(U384-Scoring!$B$3)/365.25,IF(N384="","",IF(N384&lt;Scoring!$B$12,"",(DATE(N384+Scoring!$B$13,12,31)-Scoring!$B$3)/365.25)))</f>
        <v>6.24777549623546</v>
      </c>
      <c r="AB384" s="22" t="n">
        <f aca="false">IF(T384="Y",0,IF(OR(D384="Expired (verified)",D384="Expiring: notice window (verified)",D384="Expiring: 10-yr horizon (verified)",D384="Past 30-yr mark (verify)",D384="30-yr mark: notice window (est.)",D384="Year-15 window"),1,0)+IF(ISNUMBER(O384),IF(O384&gt;=Scoring!$B$10,1,0),0)+IF(AND(ISNUMBER(L384),ISNUMBER(J384)),IF(J384&gt;0,IF(L384/J384&gt;=Scoring!$B$11,1,0),0),0)+IF(ISNUMBER(Z384),MIN(Z384,3),0))</f>
        <v>1</v>
      </c>
      <c r="AC384" s="22" t="n">
        <f aca="false">IF(AB384&gt;=3,Scoring!$C$24,IF(AB384=2,Scoring!$C$23,IF(AB384=1,Scoring!$C$22,0)))</f>
        <v>10</v>
      </c>
      <c r="AD384" s="22" t="n">
        <f aca="false">IF(T384="Y",0,IF(ISNUMBER(X384),IF(X384&gt;0.7,Scoring!$C$25,IF(X384&gt;=0.5,Scoring!$C$26,IF(X384&gt;=0.3,Scoring!$C$27,Scoring!$C$28))),Scoring!$C$29))</f>
        <v>10</v>
      </c>
      <c r="AE384" s="22" t="n">
        <f aca="false">IF(D384="Expiring: notice window (verified)",Scoring!$C$30,IF(OR(D384="Expired (verified)",D384="30-yr mark: notice window (est.)",D384="Year-15 window"),Scoring!$C$31,IF(D384="Expiring: 10-yr horizon (verified)",Scoring!$C$32,IF(D384="Past 30-yr mark (verify)",Scoring!$C$33,IF(OR(D384="Credit period",D384="Superseded record"),Scoring!$C$35,Scoring!$C$34)))))</f>
        <v>4</v>
      </c>
      <c r="AF384" s="22" t="n">
        <f aca="false">IF(T384="Y",0,IF(ISNUMBER(V384),IF(Scoring!$B$4-V384&gt;15,Scoring!$C$36,IF(Scoring!$B$4-V384&gt;=10,Scoring!$C$37,IF(Scoring!$B$4-V384&gt;=5,Scoring!$C$38,Scoring!$C$39))),IF(OR(N384="",D384="Out of program"),Scoring!$C$40,IF(O384&gt;15,Scoring!$C$36,IF(O384&gt;=10,Scoring!$C$37,IF(O384&gt;=5,Scoring!$C$38,Scoring!$C$39))))))</f>
        <v>15</v>
      </c>
      <c r="AG384" s="22" t="n">
        <f aca="false">IF(T384="Y",0,IF(Y384="Y",Scoring!$C$41,IF(ISNUMBER(O384),IF(O384&gt;=25,Scoring!$C$42,IF(O384&gt;=15,Scoring!$C$43,Scoring!$C$44)),Scoring!$C$44)))</f>
        <v>5</v>
      </c>
      <c r="AH384" s="22" t="n">
        <f aca="false">IF(T384="Y",0,IF(W384="",Scoring!$C$49,IFERROR(VLOOKUP(W384,Scoring!$B$45:$C$48,2,FALSE()),Scoring!$C$49)))</f>
        <v>5</v>
      </c>
      <c r="AI384" s="23" t="n">
        <f aca="false">C384+IF(ISNUMBER(J384),J384,0)/100000+(10000-ROW())/1000000000</f>
        <v>49.001329616</v>
      </c>
      <c r="AJ384" s="18"/>
      <c r="AK384" s="18"/>
      <c r="AL384" s="18"/>
      <c r="AM384" s="18"/>
    </row>
    <row r="385" customFormat="false" ht="15" hidden="false" customHeight="false" outlineLevel="0" collapsed="false">
      <c r="A385" s="15" t="n">
        <f aca="false">RANK(AI385,$AI$2:$AI$755)</f>
        <v>384</v>
      </c>
      <c r="B385" s="16" t="str">
        <f aca="false">IF(T385="Y","Superseded",IF(C385&gt;=Scoring!$B$16,"Immediate",IF(C385&gt;=Scoring!$B$17,"This week",IF(C385&gt;=Scoring!$B$18,"Nurture","Low"))))</f>
        <v>Nurture</v>
      </c>
      <c r="C385" s="3" t="n">
        <f aca="false">SUM(AC385:AH385)</f>
        <v>49</v>
      </c>
      <c r="D385" s="15" t="str">
        <f aca="false">IF(T385="Y","Superseded record",IF(AND(U385&lt;&gt;"",AA385&lt;0),"Expired (verified)",IF(AND(U385&lt;&gt;"",AA385&lt;=Scoring!$B$5),"Expiring: notice window (verified)",IF(AND(U385&lt;&gt;"",AA385&lt;=Scoring!$B$6),"Expiring: 10-yr horizon (verified)",IF(M385="No Longer Monitored","Out of program",IF(N385="","Unknown vintage",IF(N385&lt;Scoring!$B$12,"Pre-1990, still listed",IF(AND(U385="",AA385&lt;0),"Past 30-yr mark (verify)",IF(AND(U385="",AA385&lt;=Scoring!$B$5),"30-yr mark: notice window (est.)",IF(AND(O385&gt;=Scoring!$B$7,O385&lt;=Scoring!$B$8),"Year-15 window",IF(O385&gt;=Scoring!$B$9,"Recap window",IF(O385&gt;=11,"Late compliance","Credit period"))))))))))))</f>
        <v>Recap window</v>
      </c>
      <c r="E385" s="15" t="s">
        <v>1462</v>
      </c>
      <c r="F385" s="15" t="s">
        <v>1463</v>
      </c>
      <c r="G385" s="15" t="s">
        <v>1464</v>
      </c>
      <c r="H385" s="15" t="s">
        <v>97</v>
      </c>
      <c r="I385" s="15" t="s">
        <v>164</v>
      </c>
      <c r="J385" s="15" t="n">
        <v>131</v>
      </c>
      <c r="K385" s="15" t="n">
        <v>131</v>
      </c>
      <c r="L385" s="15" t="n">
        <f aca="false">IF(OR(J385="",K385=""),"",MAX(J385-K385,0))</f>
        <v>0</v>
      </c>
      <c r="M385" s="15" t="s">
        <v>99</v>
      </c>
      <c r="N385" s="17" t="n">
        <v>2005</v>
      </c>
      <c r="O385" s="15" t="n">
        <f aca="false">IF(N385="","",Scoring!$B$4-N385)</f>
        <v>21</v>
      </c>
      <c r="P385" s="15" t="n">
        <f aca="false">IF(N385="","",N385+14)</f>
        <v>2019</v>
      </c>
      <c r="Q385" s="15" t="n">
        <f aca="false">IF(N385="","",IF(N385&lt;Scoring!$B$12,"n/a (pre-1990)",N385+Scoring!$B$13))</f>
        <v>2034</v>
      </c>
      <c r="R385" s="15" t="str">
        <f aca="false">IF(J385="","Unknown",IF(J385&gt;=5,"Yes","No (under 5 units)"))</f>
        <v>Yes</v>
      </c>
      <c r="S385" s="15"/>
      <c r="T385" s="18"/>
      <c r="U385" s="19"/>
      <c r="V385" s="18"/>
      <c r="W385" s="18"/>
      <c r="X385" s="20"/>
      <c r="Y385" s="18"/>
      <c r="Z385" s="18"/>
      <c r="AA385" s="21" t="n">
        <f aca="false">IF(U385&lt;&gt;"",(U385-Scoring!$B$3)/365.25,IF(N385="","",IF(N385&lt;Scoring!$B$12,"",(DATE(N385+Scoring!$B$13,12,31)-Scoring!$B$3)/365.25)))</f>
        <v>8.24640657084189</v>
      </c>
      <c r="AB385" s="22" t="n">
        <f aca="false">IF(T385="Y",0,IF(OR(D385="Expired (verified)",D385="Expiring: notice window (verified)",D385="Expiring: 10-yr horizon (verified)",D385="Past 30-yr mark (verify)",D385="30-yr mark: notice window (est.)",D385="Year-15 window"),1,0)+IF(ISNUMBER(O385),IF(O385&gt;=Scoring!$B$10,1,0),0)+IF(AND(ISNUMBER(L385),ISNUMBER(J385)),IF(J385&gt;0,IF(L385/J385&gt;=Scoring!$B$11,1,0),0),0)+IF(ISNUMBER(Z385),MIN(Z385,3),0))</f>
        <v>1</v>
      </c>
      <c r="AC385" s="22" t="n">
        <f aca="false">IF(AB385&gt;=3,Scoring!$C$24,IF(AB385=2,Scoring!$C$23,IF(AB385=1,Scoring!$C$22,0)))</f>
        <v>10</v>
      </c>
      <c r="AD385" s="22" t="n">
        <f aca="false">IF(T385="Y",0,IF(ISNUMBER(X385),IF(X385&gt;0.7,Scoring!$C$25,IF(X385&gt;=0.5,Scoring!$C$26,IF(X385&gt;=0.3,Scoring!$C$27,Scoring!$C$28))),Scoring!$C$29))</f>
        <v>10</v>
      </c>
      <c r="AE385" s="22" t="n">
        <f aca="false">IF(D385="Expiring: notice window (verified)",Scoring!$C$30,IF(OR(D385="Expired (verified)",D385="30-yr mark: notice window (est.)",D385="Year-15 window"),Scoring!$C$31,IF(D385="Expiring: 10-yr horizon (verified)",Scoring!$C$32,IF(D385="Past 30-yr mark (verify)",Scoring!$C$33,IF(OR(D385="Credit period",D385="Superseded record"),Scoring!$C$35,Scoring!$C$34)))))</f>
        <v>4</v>
      </c>
      <c r="AF385" s="22" t="n">
        <f aca="false">IF(T385="Y",0,IF(ISNUMBER(V385),IF(Scoring!$B$4-V385&gt;15,Scoring!$C$36,IF(Scoring!$B$4-V385&gt;=10,Scoring!$C$37,IF(Scoring!$B$4-V385&gt;=5,Scoring!$C$38,Scoring!$C$39))),IF(OR(N385="",D385="Out of program"),Scoring!$C$40,IF(O385&gt;15,Scoring!$C$36,IF(O385&gt;=10,Scoring!$C$37,IF(O385&gt;=5,Scoring!$C$38,Scoring!$C$39))))))</f>
        <v>15</v>
      </c>
      <c r="AG385" s="22" t="n">
        <f aca="false">IF(T385="Y",0,IF(Y385="Y",Scoring!$C$41,IF(ISNUMBER(O385),IF(O385&gt;=25,Scoring!$C$42,IF(O385&gt;=15,Scoring!$C$43,Scoring!$C$44)),Scoring!$C$44)))</f>
        <v>5</v>
      </c>
      <c r="AH385" s="22" t="n">
        <f aca="false">IF(T385="Y",0,IF(W385="",Scoring!$C$49,IFERROR(VLOOKUP(W385,Scoring!$B$45:$C$48,2,FALSE()),Scoring!$C$49)))</f>
        <v>5</v>
      </c>
      <c r="AI385" s="23" t="n">
        <f aca="false">C385+IF(ISNUMBER(J385),J385,0)/100000+(10000-ROW())/1000000000</f>
        <v>49.001319615</v>
      </c>
      <c r="AJ385" s="18"/>
      <c r="AK385" s="18"/>
      <c r="AL385" s="18"/>
      <c r="AM385" s="18"/>
    </row>
    <row r="386" customFormat="false" ht="15" hidden="false" customHeight="false" outlineLevel="0" collapsed="false">
      <c r="A386" s="15" t="n">
        <f aca="false">RANK(AI386,$AI$2:$AI$755)</f>
        <v>385</v>
      </c>
      <c r="B386" s="16" t="str">
        <f aca="false">IF(T386="Y","Superseded",IF(C386&gt;=Scoring!$B$16,"Immediate",IF(C386&gt;=Scoring!$B$17,"This week",IF(C386&gt;=Scoring!$B$18,"Nurture","Low"))))</f>
        <v>Nurture</v>
      </c>
      <c r="C386" s="3" t="n">
        <f aca="false">SUM(AC386:AH386)</f>
        <v>49</v>
      </c>
      <c r="D386" s="15" t="str">
        <f aca="false">IF(T386="Y","Superseded record",IF(AND(U386&lt;&gt;"",AA386&lt;0),"Expired (verified)",IF(AND(U386&lt;&gt;"",AA386&lt;=Scoring!$B$5),"Expiring: notice window (verified)",IF(AND(U386&lt;&gt;"",AA386&lt;=Scoring!$B$6),"Expiring: 10-yr horizon (verified)",IF(M386="No Longer Monitored","Out of program",IF(N386="","Unknown vintage",IF(N386&lt;Scoring!$B$12,"Pre-1990, still listed",IF(AND(U386="",AA386&lt;0),"Past 30-yr mark (verify)",IF(AND(U386="",AA386&lt;=Scoring!$B$5),"30-yr mark: notice window (est.)",IF(AND(O386&gt;=Scoring!$B$7,O386&lt;=Scoring!$B$8),"Year-15 window",IF(O386&gt;=Scoring!$B$9,"Recap window",IF(O386&gt;=11,"Late compliance","Credit period"))))))))))))</f>
        <v>Recap window</v>
      </c>
      <c r="E386" s="15" t="s">
        <v>1465</v>
      </c>
      <c r="F386" s="15" t="s">
        <v>1466</v>
      </c>
      <c r="G386" s="15" t="s">
        <v>1467</v>
      </c>
      <c r="H386" s="15" t="s">
        <v>97</v>
      </c>
      <c r="I386" s="15" t="s">
        <v>859</v>
      </c>
      <c r="J386" s="15" t="n">
        <v>118</v>
      </c>
      <c r="K386" s="15" t="n">
        <v>117</v>
      </c>
      <c r="L386" s="15" t="n">
        <f aca="false">IF(OR(J386="",K386=""),"",MAX(J386-K386,0))</f>
        <v>1</v>
      </c>
      <c r="M386" s="15" t="s">
        <v>99</v>
      </c>
      <c r="N386" s="17" t="n">
        <v>2006</v>
      </c>
      <c r="O386" s="15" t="n">
        <f aca="false">IF(N386="","",Scoring!$B$4-N386)</f>
        <v>20</v>
      </c>
      <c r="P386" s="15" t="n">
        <f aca="false">IF(N386="","",N386+14)</f>
        <v>2020</v>
      </c>
      <c r="Q386" s="15" t="n">
        <f aca="false">IF(N386="","",IF(N386&lt;Scoring!$B$12,"n/a (pre-1990)",N386+Scoring!$B$13))</f>
        <v>2035</v>
      </c>
      <c r="R386" s="15" t="str">
        <f aca="false">IF(J386="","Unknown",IF(J386&gt;=5,"Yes","No (under 5 units)"))</f>
        <v>Yes</v>
      </c>
      <c r="S386" s="15"/>
      <c r="T386" s="18"/>
      <c r="U386" s="19"/>
      <c r="V386" s="18"/>
      <c r="W386" s="18"/>
      <c r="X386" s="20"/>
      <c r="Y386" s="18"/>
      <c r="Z386" s="18"/>
      <c r="AA386" s="21" t="n">
        <f aca="false">IF(U386&lt;&gt;"",(U386-Scoring!$B$3)/365.25,IF(N386="","",IF(N386&lt;Scoring!$B$12,"",(DATE(N386+Scoring!$B$13,12,31)-Scoring!$B$3)/365.25)))</f>
        <v>9.24572210814511</v>
      </c>
      <c r="AB386" s="22" t="n">
        <f aca="false">IF(T386="Y",0,IF(OR(D386="Expired (verified)",D386="Expiring: notice window (verified)",D386="Expiring: 10-yr horizon (verified)",D386="Past 30-yr mark (verify)",D386="30-yr mark: notice window (est.)",D386="Year-15 window"),1,0)+IF(ISNUMBER(O386),IF(O386&gt;=Scoring!$B$10,1,0),0)+IF(AND(ISNUMBER(L386),ISNUMBER(J386)),IF(J386&gt;0,IF(L386/J386&gt;=Scoring!$B$11,1,0),0),0)+IF(ISNUMBER(Z386),MIN(Z386,3),0))</f>
        <v>1</v>
      </c>
      <c r="AC386" s="22" t="n">
        <f aca="false">IF(AB386&gt;=3,Scoring!$C$24,IF(AB386=2,Scoring!$C$23,IF(AB386=1,Scoring!$C$22,0)))</f>
        <v>10</v>
      </c>
      <c r="AD386" s="22" t="n">
        <f aca="false">IF(T386="Y",0,IF(ISNUMBER(X386),IF(X386&gt;0.7,Scoring!$C$25,IF(X386&gt;=0.5,Scoring!$C$26,IF(X386&gt;=0.3,Scoring!$C$27,Scoring!$C$28))),Scoring!$C$29))</f>
        <v>10</v>
      </c>
      <c r="AE386" s="22" t="n">
        <f aca="false">IF(D386="Expiring: notice window (verified)",Scoring!$C$30,IF(OR(D386="Expired (verified)",D386="30-yr mark: notice window (est.)",D386="Year-15 window"),Scoring!$C$31,IF(D386="Expiring: 10-yr horizon (verified)",Scoring!$C$32,IF(D386="Past 30-yr mark (verify)",Scoring!$C$33,IF(OR(D386="Credit period",D386="Superseded record"),Scoring!$C$35,Scoring!$C$34)))))</f>
        <v>4</v>
      </c>
      <c r="AF386" s="22" t="n">
        <f aca="false">IF(T386="Y",0,IF(ISNUMBER(V386),IF(Scoring!$B$4-V386&gt;15,Scoring!$C$36,IF(Scoring!$B$4-V386&gt;=10,Scoring!$C$37,IF(Scoring!$B$4-V386&gt;=5,Scoring!$C$38,Scoring!$C$39))),IF(OR(N386="",D386="Out of program"),Scoring!$C$40,IF(O386&gt;15,Scoring!$C$36,IF(O386&gt;=10,Scoring!$C$37,IF(O386&gt;=5,Scoring!$C$38,Scoring!$C$39))))))</f>
        <v>15</v>
      </c>
      <c r="AG386" s="22" t="n">
        <f aca="false">IF(T386="Y",0,IF(Y386="Y",Scoring!$C$41,IF(ISNUMBER(O386),IF(O386&gt;=25,Scoring!$C$42,IF(O386&gt;=15,Scoring!$C$43,Scoring!$C$44)),Scoring!$C$44)))</f>
        <v>5</v>
      </c>
      <c r="AH386" s="22" t="n">
        <f aca="false">IF(T386="Y",0,IF(W386="",Scoring!$C$49,IFERROR(VLOOKUP(W386,Scoring!$B$45:$C$48,2,FALSE()),Scoring!$C$49)))</f>
        <v>5</v>
      </c>
      <c r="AI386" s="23" t="n">
        <f aca="false">C386+IF(ISNUMBER(J386),J386,0)/100000+(10000-ROW())/1000000000</f>
        <v>49.001189614</v>
      </c>
      <c r="AJ386" s="18"/>
      <c r="AK386" s="18"/>
      <c r="AL386" s="18"/>
      <c r="AM386" s="18"/>
    </row>
    <row r="387" customFormat="false" ht="15" hidden="false" customHeight="false" outlineLevel="0" collapsed="false">
      <c r="A387" s="15" t="n">
        <f aca="false">RANK(AI387,$AI$2:$AI$755)</f>
        <v>386</v>
      </c>
      <c r="B387" s="16" t="str">
        <f aca="false">IF(T387="Y","Superseded",IF(C387&gt;=Scoring!$B$16,"Immediate",IF(C387&gt;=Scoring!$B$17,"This week",IF(C387&gt;=Scoring!$B$18,"Nurture","Low"))))</f>
        <v>Nurture</v>
      </c>
      <c r="C387" s="3" t="n">
        <f aca="false">SUM(AC387:AH387)</f>
        <v>49</v>
      </c>
      <c r="D387" s="15" t="str">
        <f aca="false">IF(T387="Y","Superseded record",IF(AND(U387&lt;&gt;"",AA387&lt;0),"Expired (verified)",IF(AND(U387&lt;&gt;"",AA387&lt;=Scoring!$B$5),"Expiring: notice window (verified)",IF(AND(U387&lt;&gt;"",AA387&lt;=Scoring!$B$6),"Expiring: 10-yr horizon (verified)",IF(M387="No Longer Monitored","Out of program",IF(N387="","Unknown vintage",IF(N387&lt;Scoring!$B$12,"Pre-1990, still listed",IF(AND(U387="",AA387&lt;0),"Past 30-yr mark (verify)",IF(AND(U387="",AA387&lt;=Scoring!$B$5),"30-yr mark: notice window (est.)",IF(AND(O387&gt;=Scoring!$B$7,O387&lt;=Scoring!$B$8),"Year-15 window",IF(O387&gt;=Scoring!$B$9,"Recap window",IF(O387&gt;=11,"Late compliance","Credit period"))))))))))))</f>
        <v>Recap window</v>
      </c>
      <c r="E387" s="15" t="s">
        <v>1468</v>
      </c>
      <c r="F387" s="15" t="s">
        <v>1469</v>
      </c>
      <c r="G387" s="15" t="s">
        <v>1470</v>
      </c>
      <c r="H387" s="15" t="s">
        <v>1471</v>
      </c>
      <c r="I387" s="15" t="s">
        <v>1472</v>
      </c>
      <c r="J387" s="15" t="n">
        <v>106</v>
      </c>
      <c r="K387" s="15" t="n">
        <v>106</v>
      </c>
      <c r="L387" s="15" t="n">
        <f aca="false">IF(OR(J387="",K387=""),"",MAX(J387-K387,0))</f>
        <v>0</v>
      </c>
      <c r="M387" s="15" t="s">
        <v>99</v>
      </c>
      <c r="N387" s="17" t="n">
        <v>2005</v>
      </c>
      <c r="O387" s="15" t="n">
        <f aca="false">IF(N387="","",Scoring!$B$4-N387)</f>
        <v>21</v>
      </c>
      <c r="P387" s="15" t="n">
        <f aca="false">IF(N387="","",N387+14)</f>
        <v>2019</v>
      </c>
      <c r="Q387" s="15" t="n">
        <f aca="false">IF(N387="","",IF(N387&lt;Scoring!$B$12,"n/a (pre-1990)",N387+Scoring!$B$13))</f>
        <v>2034</v>
      </c>
      <c r="R387" s="15" t="str">
        <f aca="false">IF(J387="","Unknown",IF(J387&gt;=5,"Yes","No (under 5 units)"))</f>
        <v>Yes</v>
      </c>
      <c r="S387" s="15"/>
      <c r="T387" s="18"/>
      <c r="U387" s="19"/>
      <c r="V387" s="18"/>
      <c r="W387" s="18"/>
      <c r="X387" s="20"/>
      <c r="Y387" s="18"/>
      <c r="Z387" s="18"/>
      <c r="AA387" s="21" t="n">
        <f aca="false">IF(U387&lt;&gt;"",(U387-Scoring!$B$3)/365.25,IF(N387="","",IF(N387&lt;Scoring!$B$12,"",(DATE(N387+Scoring!$B$13,12,31)-Scoring!$B$3)/365.25)))</f>
        <v>8.24640657084189</v>
      </c>
      <c r="AB387" s="22" t="n">
        <f aca="false">IF(T387="Y",0,IF(OR(D387="Expired (verified)",D387="Expiring: notice window (verified)",D387="Expiring: 10-yr horizon (verified)",D387="Past 30-yr mark (verify)",D387="30-yr mark: notice window (est.)",D387="Year-15 window"),1,0)+IF(ISNUMBER(O387),IF(O387&gt;=Scoring!$B$10,1,0),0)+IF(AND(ISNUMBER(L387),ISNUMBER(J387)),IF(J387&gt;0,IF(L387/J387&gt;=Scoring!$B$11,1,0),0),0)+IF(ISNUMBER(Z387),MIN(Z387,3),0))</f>
        <v>1</v>
      </c>
      <c r="AC387" s="22" t="n">
        <f aca="false">IF(AB387&gt;=3,Scoring!$C$24,IF(AB387=2,Scoring!$C$23,IF(AB387=1,Scoring!$C$22,0)))</f>
        <v>10</v>
      </c>
      <c r="AD387" s="22" t="n">
        <f aca="false">IF(T387="Y",0,IF(ISNUMBER(X387),IF(X387&gt;0.7,Scoring!$C$25,IF(X387&gt;=0.5,Scoring!$C$26,IF(X387&gt;=0.3,Scoring!$C$27,Scoring!$C$28))),Scoring!$C$29))</f>
        <v>10</v>
      </c>
      <c r="AE387" s="22" t="n">
        <f aca="false">IF(D387="Expiring: notice window (verified)",Scoring!$C$30,IF(OR(D387="Expired (verified)",D387="30-yr mark: notice window (est.)",D387="Year-15 window"),Scoring!$C$31,IF(D387="Expiring: 10-yr horizon (verified)",Scoring!$C$32,IF(D387="Past 30-yr mark (verify)",Scoring!$C$33,IF(OR(D387="Credit period",D387="Superseded record"),Scoring!$C$35,Scoring!$C$34)))))</f>
        <v>4</v>
      </c>
      <c r="AF387" s="22" t="n">
        <f aca="false">IF(T387="Y",0,IF(ISNUMBER(V387),IF(Scoring!$B$4-V387&gt;15,Scoring!$C$36,IF(Scoring!$B$4-V387&gt;=10,Scoring!$C$37,IF(Scoring!$B$4-V387&gt;=5,Scoring!$C$38,Scoring!$C$39))),IF(OR(N387="",D387="Out of program"),Scoring!$C$40,IF(O387&gt;15,Scoring!$C$36,IF(O387&gt;=10,Scoring!$C$37,IF(O387&gt;=5,Scoring!$C$38,Scoring!$C$39))))))</f>
        <v>15</v>
      </c>
      <c r="AG387" s="22" t="n">
        <f aca="false">IF(T387="Y",0,IF(Y387="Y",Scoring!$C$41,IF(ISNUMBER(O387),IF(O387&gt;=25,Scoring!$C$42,IF(O387&gt;=15,Scoring!$C$43,Scoring!$C$44)),Scoring!$C$44)))</f>
        <v>5</v>
      </c>
      <c r="AH387" s="22" t="n">
        <f aca="false">IF(T387="Y",0,IF(W387="",Scoring!$C$49,IFERROR(VLOOKUP(W387,Scoring!$B$45:$C$48,2,FALSE()),Scoring!$C$49)))</f>
        <v>5</v>
      </c>
      <c r="AI387" s="23" t="n">
        <f aca="false">C387+IF(ISNUMBER(J387),J387,0)/100000+(10000-ROW())/1000000000</f>
        <v>49.001069613</v>
      </c>
      <c r="AJ387" s="18"/>
      <c r="AK387" s="18"/>
      <c r="AL387" s="18"/>
      <c r="AM387" s="18"/>
    </row>
    <row r="388" customFormat="false" ht="15" hidden="false" customHeight="false" outlineLevel="0" collapsed="false">
      <c r="A388" s="15" t="n">
        <f aca="false">RANK(AI388,$AI$2:$AI$755)</f>
        <v>387</v>
      </c>
      <c r="B388" s="16" t="str">
        <f aca="false">IF(T388="Y","Superseded",IF(C388&gt;=Scoring!$B$16,"Immediate",IF(C388&gt;=Scoring!$B$17,"This week",IF(C388&gt;=Scoring!$B$18,"Nurture","Low"))))</f>
        <v>Nurture</v>
      </c>
      <c r="C388" s="3" t="n">
        <f aca="false">SUM(AC388:AH388)</f>
        <v>49</v>
      </c>
      <c r="D388" s="15" t="str">
        <f aca="false">IF(T388="Y","Superseded record",IF(AND(U388&lt;&gt;"",AA388&lt;0),"Expired (verified)",IF(AND(U388&lt;&gt;"",AA388&lt;=Scoring!$B$5),"Expiring: notice window (verified)",IF(AND(U388&lt;&gt;"",AA388&lt;=Scoring!$B$6),"Expiring: 10-yr horizon (verified)",IF(M388="No Longer Monitored","Out of program",IF(N388="","Unknown vintage",IF(N388&lt;Scoring!$B$12,"Pre-1990, still listed",IF(AND(U388="",AA388&lt;0),"Past 30-yr mark (verify)",IF(AND(U388="",AA388&lt;=Scoring!$B$5),"30-yr mark: notice window (est.)",IF(AND(O388&gt;=Scoring!$B$7,O388&lt;=Scoring!$B$8),"Year-15 window",IF(O388&gt;=Scoring!$B$9,"Recap window",IF(O388&gt;=11,"Late compliance","Credit period"))))))))))))</f>
        <v>Recap window</v>
      </c>
      <c r="E388" s="15" t="s">
        <v>1473</v>
      </c>
      <c r="F388" s="15" t="s">
        <v>1474</v>
      </c>
      <c r="G388" s="15" t="s">
        <v>1475</v>
      </c>
      <c r="H388" s="15" t="s">
        <v>185</v>
      </c>
      <c r="I388" s="15" t="s">
        <v>186</v>
      </c>
      <c r="J388" s="15" t="n">
        <v>106</v>
      </c>
      <c r="K388" s="15" t="n">
        <v>106</v>
      </c>
      <c r="L388" s="15" t="n">
        <f aca="false">IF(OR(J388="",K388=""),"",MAX(J388-K388,0))</f>
        <v>0</v>
      </c>
      <c r="M388" s="15" t="s">
        <v>99</v>
      </c>
      <c r="N388" s="17" t="n">
        <v>2005</v>
      </c>
      <c r="O388" s="15" t="n">
        <f aca="false">IF(N388="","",Scoring!$B$4-N388)</f>
        <v>21</v>
      </c>
      <c r="P388" s="15" t="n">
        <f aca="false">IF(N388="","",N388+14)</f>
        <v>2019</v>
      </c>
      <c r="Q388" s="15" t="n">
        <f aca="false">IF(N388="","",IF(N388&lt;Scoring!$B$12,"n/a (pre-1990)",N388+Scoring!$B$13))</f>
        <v>2034</v>
      </c>
      <c r="R388" s="15" t="str">
        <f aca="false">IF(J388="","Unknown",IF(J388&gt;=5,"Yes","No (under 5 units)"))</f>
        <v>Yes</v>
      </c>
      <c r="S388" s="15"/>
      <c r="T388" s="18"/>
      <c r="U388" s="19"/>
      <c r="V388" s="18"/>
      <c r="W388" s="18"/>
      <c r="X388" s="20"/>
      <c r="Y388" s="18"/>
      <c r="Z388" s="18"/>
      <c r="AA388" s="21" t="n">
        <f aca="false">IF(U388&lt;&gt;"",(U388-Scoring!$B$3)/365.25,IF(N388="","",IF(N388&lt;Scoring!$B$12,"",(DATE(N388+Scoring!$B$13,12,31)-Scoring!$B$3)/365.25)))</f>
        <v>8.24640657084189</v>
      </c>
      <c r="AB388" s="22" t="n">
        <f aca="false">IF(T388="Y",0,IF(OR(D388="Expired (verified)",D388="Expiring: notice window (verified)",D388="Expiring: 10-yr horizon (verified)",D388="Past 30-yr mark (verify)",D388="30-yr mark: notice window (est.)",D388="Year-15 window"),1,0)+IF(ISNUMBER(O388),IF(O388&gt;=Scoring!$B$10,1,0),0)+IF(AND(ISNUMBER(L388),ISNUMBER(J388)),IF(J388&gt;0,IF(L388/J388&gt;=Scoring!$B$11,1,0),0),0)+IF(ISNUMBER(Z388),MIN(Z388,3),0))</f>
        <v>1</v>
      </c>
      <c r="AC388" s="22" t="n">
        <f aca="false">IF(AB388&gt;=3,Scoring!$C$24,IF(AB388=2,Scoring!$C$23,IF(AB388=1,Scoring!$C$22,0)))</f>
        <v>10</v>
      </c>
      <c r="AD388" s="22" t="n">
        <f aca="false">IF(T388="Y",0,IF(ISNUMBER(X388),IF(X388&gt;0.7,Scoring!$C$25,IF(X388&gt;=0.5,Scoring!$C$26,IF(X388&gt;=0.3,Scoring!$C$27,Scoring!$C$28))),Scoring!$C$29))</f>
        <v>10</v>
      </c>
      <c r="AE388" s="22" t="n">
        <f aca="false">IF(D388="Expiring: notice window (verified)",Scoring!$C$30,IF(OR(D388="Expired (verified)",D388="30-yr mark: notice window (est.)",D388="Year-15 window"),Scoring!$C$31,IF(D388="Expiring: 10-yr horizon (verified)",Scoring!$C$32,IF(D388="Past 30-yr mark (verify)",Scoring!$C$33,IF(OR(D388="Credit period",D388="Superseded record"),Scoring!$C$35,Scoring!$C$34)))))</f>
        <v>4</v>
      </c>
      <c r="AF388" s="22" t="n">
        <f aca="false">IF(T388="Y",0,IF(ISNUMBER(V388),IF(Scoring!$B$4-V388&gt;15,Scoring!$C$36,IF(Scoring!$B$4-V388&gt;=10,Scoring!$C$37,IF(Scoring!$B$4-V388&gt;=5,Scoring!$C$38,Scoring!$C$39))),IF(OR(N388="",D388="Out of program"),Scoring!$C$40,IF(O388&gt;15,Scoring!$C$36,IF(O388&gt;=10,Scoring!$C$37,IF(O388&gt;=5,Scoring!$C$38,Scoring!$C$39))))))</f>
        <v>15</v>
      </c>
      <c r="AG388" s="22" t="n">
        <f aca="false">IF(T388="Y",0,IF(Y388="Y",Scoring!$C$41,IF(ISNUMBER(O388),IF(O388&gt;=25,Scoring!$C$42,IF(O388&gt;=15,Scoring!$C$43,Scoring!$C$44)),Scoring!$C$44)))</f>
        <v>5</v>
      </c>
      <c r="AH388" s="22" t="n">
        <f aca="false">IF(T388="Y",0,IF(W388="",Scoring!$C$49,IFERROR(VLOOKUP(W388,Scoring!$B$45:$C$48,2,FALSE()),Scoring!$C$49)))</f>
        <v>5</v>
      </c>
      <c r="AI388" s="23" t="n">
        <f aca="false">C388+IF(ISNUMBER(J388),J388,0)/100000+(10000-ROW())/1000000000</f>
        <v>49.001069612</v>
      </c>
      <c r="AJ388" s="18"/>
      <c r="AK388" s="18"/>
      <c r="AL388" s="18"/>
      <c r="AM388" s="18"/>
    </row>
    <row r="389" customFormat="false" ht="15" hidden="false" customHeight="false" outlineLevel="0" collapsed="false">
      <c r="A389" s="15" t="n">
        <f aca="false">RANK(AI389,$AI$2:$AI$755)</f>
        <v>388</v>
      </c>
      <c r="B389" s="16" t="str">
        <f aca="false">IF(T389="Y","Superseded",IF(C389&gt;=Scoring!$B$16,"Immediate",IF(C389&gt;=Scoring!$B$17,"This week",IF(C389&gt;=Scoring!$B$18,"Nurture","Low"))))</f>
        <v>Nurture</v>
      </c>
      <c r="C389" s="3" t="n">
        <f aca="false">SUM(AC389:AH389)</f>
        <v>49</v>
      </c>
      <c r="D389" s="15" t="str">
        <f aca="false">IF(T389="Y","Superseded record",IF(AND(U389&lt;&gt;"",AA389&lt;0),"Expired (verified)",IF(AND(U389&lt;&gt;"",AA389&lt;=Scoring!$B$5),"Expiring: notice window (verified)",IF(AND(U389&lt;&gt;"",AA389&lt;=Scoring!$B$6),"Expiring: 10-yr horizon (verified)",IF(M389="No Longer Monitored","Out of program",IF(N389="","Unknown vintage",IF(N389&lt;Scoring!$B$12,"Pre-1990, still listed",IF(AND(U389="",AA389&lt;0),"Past 30-yr mark (verify)",IF(AND(U389="",AA389&lt;=Scoring!$B$5),"30-yr mark: notice window (est.)",IF(AND(O389&gt;=Scoring!$B$7,O389&lt;=Scoring!$B$8),"Year-15 window",IF(O389&gt;=Scoring!$B$9,"Recap window",IF(O389&gt;=11,"Late compliance","Credit period"))))))))))))</f>
        <v>Recap window</v>
      </c>
      <c r="E389" s="15" t="s">
        <v>1476</v>
      </c>
      <c r="F389" s="15" t="s">
        <v>1477</v>
      </c>
      <c r="G389" s="15" t="s">
        <v>1478</v>
      </c>
      <c r="H389" s="15" t="s">
        <v>97</v>
      </c>
      <c r="I389" s="15" t="s">
        <v>863</v>
      </c>
      <c r="J389" s="15" t="n">
        <v>103</v>
      </c>
      <c r="K389" s="15" t="n">
        <v>103</v>
      </c>
      <c r="L389" s="15" t="n">
        <f aca="false">IF(OR(J389="",K389=""),"",MAX(J389-K389,0))</f>
        <v>0</v>
      </c>
      <c r="M389" s="15" t="s">
        <v>99</v>
      </c>
      <c r="N389" s="17" t="n">
        <v>2003</v>
      </c>
      <c r="O389" s="15" t="n">
        <f aca="false">IF(N389="","",Scoring!$B$4-N389)</f>
        <v>23</v>
      </c>
      <c r="P389" s="15" t="n">
        <f aca="false">IF(N389="","",N389+14)</f>
        <v>2017</v>
      </c>
      <c r="Q389" s="15" t="n">
        <f aca="false">IF(N389="","",IF(N389&lt;Scoring!$B$12,"n/a (pre-1990)",N389+Scoring!$B$13))</f>
        <v>2032</v>
      </c>
      <c r="R389" s="15" t="str">
        <f aca="false">IF(J389="","Unknown",IF(J389&gt;=5,"Yes","No (under 5 units)"))</f>
        <v>Yes</v>
      </c>
      <c r="S389" s="15"/>
      <c r="T389" s="18"/>
      <c r="U389" s="19"/>
      <c r="V389" s="18"/>
      <c r="W389" s="18"/>
      <c r="X389" s="20"/>
      <c r="Y389" s="18"/>
      <c r="Z389" s="18"/>
      <c r="AA389" s="21" t="n">
        <f aca="false">IF(U389&lt;&gt;"",(U389-Scoring!$B$3)/365.25,IF(N389="","",IF(N389&lt;Scoring!$B$12,"",(DATE(N389+Scoring!$B$13,12,31)-Scoring!$B$3)/365.25)))</f>
        <v>6.24777549623546</v>
      </c>
      <c r="AB389" s="22" t="n">
        <f aca="false">IF(T389="Y",0,IF(OR(D389="Expired (verified)",D389="Expiring: notice window (verified)",D389="Expiring: 10-yr horizon (verified)",D389="Past 30-yr mark (verify)",D389="30-yr mark: notice window (est.)",D389="Year-15 window"),1,0)+IF(ISNUMBER(O389),IF(O389&gt;=Scoring!$B$10,1,0),0)+IF(AND(ISNUMBER(L389),ISNUMBER(J389)),IF(J389&gt;0,IF(L389/J389&gt;=Scoring!$B$11,1,0),0),0)+IF(ISNUMBER(Z389),MIN(Z389,3),0))</f>
        <v>1</v>
      </c>
      <c r="AC389" s="22" t="n">
        <f aca="false">IF(AB389&gt;=3,Scoring!$C$24,IF(AB389=2,Scoring!$C$23,IF(AB389=1,Scoring!$C$22,0)))</f>
        <v>10</v>
      </c>
      <c r="AD389" s="22" t="n">
        <f aca="false">IF(T389="Y",0,IF(ISNUMBER(X389),IF(X389&gt;0.7,Scoring!$C$25,IF(X389&gt;=0.5,Scoring!$C$26,IF(X389&gt;=0.3,Scoring!$C$27,Scoring!$C$28))),Scoring!$C$29))</f>
        <v>10</v>
      </c>
      <c r="AE389" s="22" t="n">
        <f aca="false">IF(D389="Expiring: notice window (verified)",Scoring!$C$30,IF(OR(D389="Expired (verified)",D389="30-yr mark: notice window (est.)",D389="Year-15 window"),Scoring!$C$31,IF(D389="Expiring: 10-yr horizon (verified)",Scoring!$C$32,IF(D389="Past 30-yr mark (verify)",Scoring!$C$33,IF(OR(D389="Credit period",D389="Superseded record"),Scoring!$C$35,Scoring!$C$34)))))</f>
        <v>4</v>
      </c>
      <c r="AF389" s="22" t="n">
        <f aca="false">IF(T389="Y",0,IF(ISNUMBER(V389),IF(Scoring!$B$4-V389&gt;15,Scoring!$C$36,IF(Scoring!$B$4-V389&gt;=10,Scoring!$C$37,IF(Scoring!$B$4-V389&gt;=5,Scoring!$C$38,Scoring!$C$39))),IF(OR(N389="",D389="Out of program"),Scoring!$C$40,IF(O389&gt;15,Scoring!$C$36,IF(O389&gt;=10,Scoring!$C$37,IF(O389&gt;=5,Scoring!$C$38,Scoring!$C$39))))))</f>
        <v>15</v>
      </c>
      <c r="AG389" s="22" t="n">
        <f aca="false">IF(T389="Y",0,IF(Y389="Y",Scoring!$C$41,IF(ISNUMBER(O389),IF(O389&gt;=25,Scoring!$C$42,IF(O389&gt;=15,Scoring!$C$43,Scoring!$C$44)),Scoring!$C$44)))</f>
        <v>5</v>
      </c>
      <c r="AH389" s="22" t="n">
        <f aca="false">IF(T389="Y",0,IF(W389="",Scoring!$C$49,IFERROR(VLOOKUP(W389,Scoring!$B$45:$C$48,2,FALSE()),Scoring!$C$49)))</f>
        <v>5</v>
      </c>
      <c r="AI389" s="23" t="n">
        <f aca="false">C389+IF(ISNUMBER(J389),J389,0)/100000+(10000-ROW())/1000000000</f>
        <v>49.001039611</v>
      </c>
      <c r="AJ389" s="18"/>
      <c r="AK389" s="18"/>
      <c r="AL389" s="18"/>
      <c r="AM389" s="18"/>
    </row>
    <row r="390" customFormat="false" ht="15" hidden="false" customHeight="false" outlineLevel="0" collapsed="false">
      <c r="A390" s="15" t="n">
        <f aca="false">RANK(AI390,$AI$2:$AI$755)</f>
        <v>389</v>
      </c>
      <c r="B390" s="16" t="str">
        <f aca="false">IF(T390="Y","Superseded",IF(C390&gt;=Scoring!$B$16,"Immediate",IF(C390&gt;=Scoring!$B$17,"This week",IF(C390&gt;=Scoring!$B$18,"Nurture","Low"))))</f>
        <v>Nurture</v>
      </c>
      <c r="C390" s="3" t="n">
        <f aca="false">SUM(AC390:AH390)</f>
        <v>49</v>
      </c>
      <c r="D390" s="15" t="str">
        <f aca="false">IF(T390="Y","Superseded record",IF(AND(U390&lt;&gt;"",AA390&lt;0),"Expired (verified)",IF(AND(U390&lt;&gt;"",AA390&lt;=Scoring!$B$5),"Expiring: notice window (verified)",IF(AND(U390&lt;&gt;"",AA390&lt;=Scoring!$B$6),"Expiring: 10-yr horizon (verified)",IF(M390="No Longer Monitored","Out of program",IF(N390="","Unknown vintage",IF(N390&lt;Scoring!$B$12,"Pre-1990, still listed",IF(AND(U390="",AA390&lt;0),"Past 30-yr mark (verify)",IF(AND(U390="",AA390&lt;=Scoring!$B$5),"30-yr mark: notice window (est.)",IF(AND(O390&gt;=Scoring!$B$7,O390&lt;=Scoring!$B$8),"Year-15 window",IF(O390&gt;=Scoring!$B$9,"Recap window",IF(O390&gt;=11,"Late compliance","Credit period"))))))))))))</f>
        <v>Recap window</v>
      </c>
      <c r="E390" s="15" t="s">
        <v>1479</v>
      </c>
      <c r="F390" s="15" t="s">
        <v>1480</v>
      </c>
      <c r="G390" s="15" t="s">
        <v>1481</v>
      </c>
      <c r="H390" s="15" t="s">
        <v>146</v>
      </c>
      <c r="I390" s="15" t="s">
        <v>147</v>
      </c>
      <c r="J390" s="15" t="n">
        <v>100</v>
      </c>
      <c r="K390" s="15" t="n">
        <v>100</v>
      </c>
      <c r="L390" s="15" t="n">
        <f aca="false">IF(OR(J390="",K390=""),"",MAX(J390-K390,0))</f>
        <v>0</v>
      </c>
      <c r="M390" s="15" t="s">
        <v>99</v>
      </c>
      <c r="N390" s="17" t="n">
        <v>2004</v>
      </c>
      <c r="O390" s="15" t="n">
        <f aca="false">IF(N390="","",Scoring!$B$4-N390)</f>
        <v>22</v>
      </c>
      <c r="P390" s="15" t="n">
        <f aca="false">IF(N390="","",N390+14)</f>
        <v>2018</v>
      </c>
      <c r="Q390" s="15" t="n">
        <f aca="false">IF(N390="","",IF(N390&lt;Scoring!$B$12,"n/a (pre-1990)",N390+Scoring!$B$13))</f>
        <v>2033</v>
      </c>
      <c r="R390" s="15" t="str">
        <f aca="false">IF(J390="","Unknown",IF(J390&gt;=5,"Yes","No (under 5 units)"))</f>
        <v>Yes</v>
      </c>
      <c r="S390" s="15"/>
      <c r="T390" s="18"/>
      <c r="U390" s="19"/>
      <c r="V390" s="18"/>
      <c r="W390" s="18"/>
      <c r="X390" s="20"/>
      <c r="Y390" s="18"/>
      <c r="Z390" s="18"/>
      <c r="AA390" s="21" t="n">
        <f aca="false">IF(U390&lt;&gt;"",(U390-Scoring!$B$3)/365.25,IF(N390="","",IF(N390&lt;Scoring!$B$12,"",(DATE(N390+Scoring!$B$13,12,31)-Scoring!$B$3)/365.25)))</f>
        <v>7.24709103353867</v>
      </c>
      <c r="AB390" s="22" t="n">
        <f aca="false">IF(T390="Y",0,IF(OR(D390="Expired (verified)",D390="Expiring: notice window (verified)",D390="Expiring: 10-yr horizon (verified)",D390="Past 30-yr mark (verify)",D390="30-yr mark: notice window (est.)",D390="Year-15 window"),1,0)+IF(ISNUMBER(O390),IF(O390&gt;=Scoring!$B$10,1,0),0)+IF(AND(ISNUMBER(L390),ISNUMBER(J390)),IF(J390&gt;0,IF(L390/J390&gt;=Scoring!$B$11,1,0),0),0)+IF(ISNUMBER(Z390),MIN(Z390,3),0))</f>
        <v>1</v>
      </c>
      <c r="AC390" s="22" t="n">
        <f aca="false">IF(AB390&gt;=3,Scoring!$C$24,IF(AB390=2,Scoring!$C$23,IF(AB390=1,Scoring!$C$22,0)))</f>
        <v>10</v>
      </c>
      <c r="AD390" s="22" t="n">
        <f aca="false">IF(T390="Y",0,IF(ISNUMBER(X390),IF(X390&gt;0.7,Scoring!$C$25,IF(X390&gt;=0.5,Scoring!$C$26,IF(X390&gt;=0.3,Scoring!$C$27,Scoring!$C$28))),Scoring!$C$29))</f>
        <v>10</v>
      </c>
      <c r="AE390" s="22" t="n">
        <f aca="false">IF(D390="Expiring: notice window (verified)",Scoring!$C$30,IF(OR(D390="Expired (verified)",D390="30-yr mark: notice window (est.)",D390="Year-15 window"),Scoring!$C$31,IF(D390="Expiring: 10-yr horizon (verified)",Scoring!$C$32,IF(D390="Past 30-yr mark (verify)",Scoring!$C$33,IF(OR(D390="Credit period",D390="Superseded record"),Scoring!$C$35,Scoring!$C$34)))))</f>
        <v>4</v>
      </c>
      <c r="AF390" s="22" t="n">
        <f aca="false">IF(T390="Y",0,IF(ISNUMBER(V390),IF(Scoring!$B$4-V390&gt;15,Scoring!$C$36,IF(Scoring!$B$4-V390&gt;=10,Scoring!$C$37,IF(Scoring!$B$4-V390&gt;=5,Scoring!$C$38,Scoring!$C$39))),IF(OR(N390="",D390="Out of program"),Scoring!$C$40,IF(O390&gt;15,Scoring!$C$36,IF(O390&gt;=10,Scoring!$C$37,IF(O390&gt;=5,Scoring!$C$38,Scoring!$C$39))))))</f>
        <v>15</v>
      </c>
      <c r="AG390" s="22" t="n">
        <f aca="false">IF(T390="Y",0,IF(Y390="Y",Scoring!$C$41,IF(ISNUMBER(O390),IF(O390&gt;=25,Scoring!$C$42,IF(O390&gt;=15,Scoring!$C$43,Scoring!$C$44)),Scoring!$C$44)))</f>
        <v>5</v>
      </c>
      <c r="AH390" s="22" t="n">
        <f aca="false">IF(T390="Y",0,IF(W390="",Scoring!$C$49,IFERROR(VLOOKUP(W390,Scoring!$B$45:$C$48,2,FALSE()),Scoring!$C$49)))</f>
        <v>5</v>
      </c>
      <c r="AI390" s="23" t="n">
        <f aca="false">C390+IF(ISNUMBER(J390),J390,0)/100000+(10000-ROW())/1000000000</f>
        <v>49.00100961</v>
      </c>
      <c r="AJ390" s="18"/>
      <c r="AK390" s="18"/>
      <c r="AL390" s="18"/>
      <c r="AM390" s="18"/>
    </row>
    <row r="391" customFormat="false" ht="15" hidden="false" customHeight="false" outlineLevel="0" collapsed="false">
      <c r="A391" s="15" t="n">
        <f aca="false">RANK(AI391,$AI$2:$AI$755)</f>
        <v>390</v>
      </c>
      <c r="B391" s="16" t="str">
        <f aca="false">IF(T391="Y","Superseded",IF(C391&gt;=Scoring!$B$16,"Immediate",IF(C391&gt;=Scoring!$B$17,"This week",IF(C391&gt;=Scoring!$B$18,"Nurture","Low"))))</f>
        <v>Nurture</v>
      </c>
      <c r="C391" s="3" t="n">
        <f aca="false">SUM(AC391:AH391)</f>
        <v>49</v>
      </c>
      <c r="D391" s="15" t="str">
        <f aca="false">IF(T391="Y","Superseded record",IF(AND(U391&lt;&gt;"",AA391&lt;0),"Expired (verified)",IF(AND(U391&lt;&gt;"",AA391&lt;=Scoring!$B$5),"Expiring: notice window (verified)",IF(AND(U391&lt;&gt;"",AA391&lt;=Scoring!$B$6),"Expiring: 10-yr horizon (verified)",IF(M391="No Longer Monitored","Out of program",IF(N391="","Unknown vintage",IF(N391&lt;Scoring!$B$12,"Pre-1990, still listed",IF(AND(U391="",AA391&lt;0),"Past 30-yr mark (verify)",IF(AND(U391="",AA391&lt;=Scoring!$B$5),"30-yr mark: notice window (est.)",IF(AND(O391&gt;=Scoring!$B$7,O391&lt;=Scoring!$B$8),"Year-15 window",IF(O391&gt;=Scoring!$B$9,"Recap window",IF(O391&gt;=11,"Late compliance","Credit period"))))))))))))</f>
        <v>Recap window</v>
      </c>
      <c r="E391" s="15" t="s">
        <v>1482</v>
      </c>
      <c r="F391" s="15" t="s">
        <v>1483</v>
      </c>
      <c r="G391" s="15" t="s">
        <v>1484</v>
      </c>
      <c r="H391" s="15" t="s">
        <v>97</v>
      </c>
      <c r="I391" s="15" t="s">
        <v>112</v>
      </c>
      <c r="J391" s="15" t="n">
        <v>99</v>
      </c>
      <c r="K391" s="15" t="n">
        <v>99</v>
      </c>
      <c r="L391" s="15" t="n">
        <f aca="false">IF(OR(J391="",K391=""),"",MAX(J391-K391,0))</f>
        <v>0</v>
      </c>
      <c r="M391" s="15" t="s">
        <v>99</v>
      </c>
      <c r="N391" s="17" t="n">
        <v>2005</v>
      </c>
      <c r="O391" s="15" t="n">
        <f aca="false">IF(N391="","",Scoring!$B$4-N391)</f>
        <v>21</v>
      </c>
      <c r="P391" s="15" t="n">
        <f aca="false">IF(N391="","",N391+14)</f>
        <v>2019</v>
      </c>
      <c r="Q391" s="15" t="n">
        <f aca="false">IF(N391="","",IF(N391&lt;Scoring!$B$12,"n/a (pre-1990)",N391+Scoring!$B$13))</f>
        <v>2034</v>
      </c>
      <c r="R391" s="15" t="str">
        <f aca="false">IF(J391="","Unknown",IF(J391&gt;=5,"Yes","No (under 5 units)"))</f>
        <v>Yes</v>
      </c>
      <c r="S391" s="15"/>
      <c r="T391" s="18"/>
      <c r="U391" s="19"/>
      <c r="V391" s="18"/>
      <c r="W391" s="18"/>
      <c r="X391" s="20"/>
      <c r="Y391" s="18"/>
      <c r="Z391" s="18"/>
      <c r="AA391" s="21" t="n">
        <f aca="false">IF(U391&lt;&gt;"",(U391-Scoring!$B$3)/365.25,IF(N391="","",IF(N391&lt;Scoring!$B$12,"",(DATE(N391+Scoring!$B$13,12,31)-Scoring!$B$3)/365.25)))</f>
        <v>8.24640657084189</v>
      </c>
      <c r="AB391" s="22" t="n">
        <f aca="false">IF(T391="Y",0,IF(OR(D391="Expired (verified)",D391="Expiring: notice window (verified)",D391="Expiring: 10-yr horizon (verified)",D391="Past 30-yr mark (verify)",D391="30-yr mark: notice window (est.)",D391="Year-15 window"),1,0)+IF(ISNUMBER(O391),IF(O391&gt;=Scoring!$B$10,1,0),0)+IF(AND(ISNUMBER(L391),ISNUMBER(J391)),IF(J391&gt;0,IF(L391/J391&gt;=Scoring!$B$11,1,0),0),0)+IF(ISNUMBER(Z391),MIN(Z391,3),0))</f>
        <v>1</v>
      </c>
      <c r="AC391" s="22" t="n">
        <f aca="false">IF(AB391&gt;=3,Scoring!$C$24,IF(AB391=2,Scoring!$C$23,IF(AB391=1,Scoring!$C$22,0)))</f>
        <v>10</v>
      </c>
      <c r="AD391" s="22" t="n">
        <f aca="false">IF(T391="Y",0,IF(ISNUMBER(X391),IF(X391&gt;0.7,Scoring!$C$25,IF(X391&gt;=0.5,Scoring!$C$26,IF(X391&gt;=0.3,Scoring!$C$27,Scoring!$C$28))),Scoring!$C$29))</f>
        <v>10</v>
      </c>
      <c r="AE391" s="22" t="n">
        <f aca="false">IF(D391="Expiring: notice window (verified)",Scoring!$C$30,IF(OR(D391="Expired (verified)",D391="30-yr mark: notice window (est.)",D391="Year-15 window"),Scoring!$C$31,IF(D391="Expiring: 10-yr horizon (verified)",Scoring!$C$32,IF(D391="Past 30-yr mark (verify)",Scoring!$C$33,IF(OR(D391="Credit period",D391="Superseded record"),Scoring!$C$35,Scoring!$C$34)))))</f>
        <v>4</v>
      </c>
      <c r="AF391" s="22" t="n">
        <f aca="false">IF(T391="Y",0,IF(ISNUMBER(V391),IF(Scoring!$B$4-V391&gt;15,Scoring!$C$36,IF(Scoring!$B$4-V391&gt;=10,Scoring!$C$37,IF(Scoring!$B$4-V391&gt;=5,Scoring!$C$38,Scoring!$C$39))),IF(OR(N391="",D391="Out of program"),Scoring!$C$40,IF(O391&gt;15,Scoring!$C$36,IF(O391&gt;=10,Scoring!$C$37,IF(O391&gt;=5,Scoring!$C$38,Scoring!$C$39))))))</f>
        <v>15</v>
      </c>
      <c r="AG391" s="22" t="n">
        <f aca="false">IF(T391="Y",0,IF(Y391="Y",Scoring!$C$41,IF(ISNUMBER(O391),IF(O391&gt;=25,Scoring!$C$42,IF(O391&gt;=15,Scoring!$C$43,Scoring!$C$44)),Scoring!$C$44)))</f>
        <v>5</v>
      </c>
      <c r="AH391" s="22" t="n">
        <f aca="false">IF(T391="Y",0,IF(W391="",Scoring!$C$49,IFERROR(VLOOKUP(W391,Scoring!$B$45:$C$48,2,FALSE()),Scoring!$C$49)))</f>
        <v>5</v>
      </c>
      <c r="AI391" s="23" t="n">
        <f aca="false">C391+IF(ISNUMBER(J391),J391,0)/100000+(10000-ROW())/1000000000</f>
        <v>49.000999609</v>
      </c>
      <c r="AJ391" s="18"/>
      <c r="AK391" s="18"/>
      <c r="AL391" s="18"/>
      <c r="AM391" s="18"/>
    </row>
    <row r="392" customFormat="false" ht="15" hidden="false" customHeight="false" outlineLevel="0" collapsed="false">
      <c r="A392" s="15" t="n">
        <f aca="false">RANK(AI392,$AI$2:$AI$755)</f>
        <v>391</v>
      </c>
      <c r="B392" s="16" t="str">
        <f aca="false">IF(T392="Y","Superseded",IF(C392&gt;=Scoring!$B$16,"Immediate",IF(C392&gt;=Scoring!$B$17,"This week",IF(C392&gt;=Scoring!$B$18,"Nurture","Low"))))</f>
        <v>Nurture</v>
      </c>
      <c r="C392" s="3" t="n">
        <f aca="false">SUM(AC392:AH392)</f>
        <v>49</v>
      </c>
      <c r="D392" s="15" t="str">
        <f aca="false">IF(T392="Y","Superseded record",IF(AND(U392&lt;&gt;"",AA392&lt;0),"Expired (verified)",IF(AND(U392&lt;&gt;"",AA392&lt;=Scoring!$B$5),"Expiring: notice window (verified)",IF(AND(U392&lt;&gt;"",AA392&lt;=Scoring!$B$6),"Expiring: 10-yr horizon (verified)",IF(M392="No Longer Monitored","Out of program",IF(N392="","Unknown vintage",IF(N392&lt;Scoring!$B$12,"Pre-1990, still listed",IF(AND(U392="",AA392&lt;0),"Past 30-yr mark (verify)",IF(AND(U392="",AA392&lt;=Scoring!$B$5),"30-yr mark: notice window (est.)",IF(AND(O392&gt;=Scoring!$B$7,O392&lt;=Scoring!$B$8),"Year-15 window",IF(O392&gt;=Scoring!$B$9,"Recap window",IF(O392&gt;=11,"Late compliance","Credit period"))))))))))))</f>
        <v>Recap window</v>
      </c>
      <c r="E392" s="15" t="s">
        <v>1485</v>
      </c>
      <c r="F392" s="15" t="s">
        <v>1486</v>
      </c>
      <c r="G392" s="15" t="s">
        <v>1487</v>
      </c>
      <c r="H392" s="15" t="s">
        <v>185</v>
      </c>
      <c r="I392" s="15" t="s">
        <v>1488</v>
      </c>
      <c r="J392" s="15" t="n">
        <v>97</v>
      </c>
      <c r="K392" s="15" t="n">
        <v>97</v>
      </c>
      <c r="L392" s="15" t="n">
        <f aca="false">IF(OR(J392="",K392=""),"",MAX(J392-K392,0))</f>
        <v>0</v>
      </c>
      <c r="M392" s="15" t="s">
        <v>99</v>
      </c>
      <c r="N392" s="17" t="n">
        <v>2005</v>
      </c>
      <c r="O392" s="15" t="n">
        <f aca="false">IF(N392="","",Scoring!$B$4-N392)</f>
        <v>21</v>
      </c>
      <c r="P392" s="15" t="n">
        <f aca="false">IF(N392="","",N392+14)</f>
        <v>2019</v>
      </c>
      <c r="Q392" s="15" t="n">
        <f aca="false">IF(N392="","",IF(N392&lt;Scoring!$B$12,"n/a (pre-1990)",N392+Scoring!$B$13))</f>
        <v>2034</v>
      </c>
      <c r="R392" s="15" t="str">
        <f aca="false">IF(J392="","Unknown",IF(J392&gt;=5,"Yes","No (under 5 units)"))</f>
        <v>Yes</v>
      </c>
      <c r="S392" s="15"/>
      <c r="T392" s="18"/>
      <c r="U392" s="19"/>
      <c r="V392" s="18"/>
      <c r="W392" s="18"/>
      <c r="X392" s="20"/>
      <c r="Y392" s="18"/>
      <c r="Z392" s="18"/>
      <c r="AA392" s="21" t="n">
        <f aca="false">IF(U392&lt;&gt;"",(U392-Scoring!$B$3)/365.25,IF(N392="","",IF(N392&lt;Scoring!$B$12,"",(DATE(N392+Scoring!$B$13,12,31)-Scoring!$B$3)/365.25)))</f>
        <v>8.24640657084189</v>
      </c>
      <c r="AB392" s="22" t="n">
        <f aca="false">IF(T392="Y",0,IF(OR(D392="Expired (verified)",D392="Expiring: notice window (verified)",D392="Expiring: 10-yr horizon (verified)",D392="Past 30-yr mark (verify)",D392="30-yr mark: notice window (est.)",D392="Year-15 window"),1,0)+IF(ISNUMBER(O392),IF(O392&gt;=Scoring!$B$10,1,0),0)+IF(AND(ISNUMBER(L392),ISNUMBER(J392)),IF(J392&gt;0,IF(L392/J392&gt;=Scoring!$B$11,1,0),0),0)+IF(ISNUMBER(Z392),MIN(Z392,3),0))</f>
        <v>1</v>
      </c>
      <c r="AC392" s="22" t="n">
        <f aca="false">IF(AB392&gt;=3,Scoring!$C$24,IF(AB392=2,Scoring!$C$23,IF(AB392=1,Scoring!$C$22,0)))</f>
        <v>10</v>
      </c>
      <c r="AD392" s="22" t="n">
        <f aca="false">IF(T392="Y",0,IF(ISNUMBER(X392),IF(X392&gt;0.7,Scoring!$C$25,IF(X392&gt;=0.5,Scoring!$C$26,IF(X392&gt;=0.3,Scoring!$C$27,Scoring!$C$28))),Scoring!$C$29))</f>
        <v>10</v>
      </c>
      <c r="AE392" s="22" t="n">
        <f aca="false">IF(D392="Expiring: notice window (verified)",Scoring!$C$30,IF(OR(D392="Expired (verified)",D392="30-yr mark: notice window (est.)",D392="Year-15 window"),Scoring!$C$31,IF(D392="Expiring: 10-yr horizon (verified)",Scoring!$C$32,IF(D392="Past 30-yr mark (verify)",Scoring!$C$33,IF(OR(D392="Credit period",D392="Superseded record"),Scoring!$C$35,Scoring!$C$34)))))</f>
        <v>4</v>
      </c>
      <c r="AF392" s="22" t="n">
        <f aca="false">IF(T392="Y",0,IF(ISNUMBER(V392),IF(Scoring!$B$4-V392&gt;15,Scoring!$C$36,IF(Scoring!$B$4-V392&gt;=10,Scoring!$C$37,IF(Scoring!$B$4-V392&gt;=5,Scoring!$C$38,Scoring!$C$39))),IF(OR(N392="",D392="Out of program"),Scoring!$C$40,IF(O392&gt;15,Scoring!$C$36,IF(O392&gt;=10,Scoring!$C$37,IF(O392&gt;=5,Scoring!$C$38,Scoring!$C$39))))))</f>
        <v>15</v>
      </c>
      <c r="AG392" s="22" t="n">
        <f aca="false">IF(T392="Y",0,IF(Y392="Y",Scoring!$C$41,IF(ISNUMBER(O392),IF(O392&gt;=25,Scoring!$C$42,IF(O392&gt;=15,Scoring!$C$43,Scoring!$C$44)),Scoring!$C$44)))</f>
        <v>5</v>
      </c>
      <c r="AH392" s="22" t="n">
        <f aca="false">IF(T392="Y",0,IF(W392="",Scoring!$C$49,IFERROR(VLOOKUP(W392,Scoring!$B$45:$C$48,2,FALSE()),Scoring!$C$49)))</f>
        <v>5</v>
      </c>
      <c r="AI392" s="23" t="n">
        <f aca="false">C392+IF(ISNUMBER(J392),J392,0)/100000+(10000-ROW())/1000000000</f>
        <v>49.000979608</v>
      </c>
      <c r="AJ392" s="18"/>
      <c r="AK392" s="18"/>
      <c r="AL392" s="18"/>
      <c r="AM392" s="18"/>
    </row>
    <row r="393" customFormat="false" ht="15" hidden="false" customHeight="false" outlineLevel="0" collapsed="false">
      <c r="A393" s="15" t="n">
        <f aca="false">RANK(AI393,$AI$2:$AI$755)</f>
        <v>392</v>
      </c>
      <c r="B393" s="16" t="str">
        <f aca="false">IF(T393="Y","Superseded",IF(C393&gt;=Scoring!$B$16,"Immediate",IF(C393&gt;=Scoring!$B$17,"This week",IF(C393&gt;=Scoring!$B$18,"Nurture","Low"))))</f>
        <v>Nurture</v>
      </c>
      <c r="C393" s="3" t="n">
        <f aca="false">SUM(AC393:AH393)</f>
        <v>49</v>
      </c>
      <c r="D393" s="15" t="str">
        <f aca="false">IF(T393="Y","Superseded record",IF(AND(U393&lt;&gt;"",AA393&lt;0),"Expired (verified)",IF(AND(U393&lt;&gt;"",AA393&lt;=Scoring!$B$5),"Expiring: notice window (verified)",IF(AND(U393&lt;&gt;"",AA393&lt;=Scoring!$B$6),"Expiring: 10-yr horizon (verified)",IF(M393="No Longer Monitored","Out of program",IF(N393="","Unknown vintage",IF(N393&lt;Scoring!$B$12,"Pre-1990, still listed",IF(AND(U393="",AA393&lt;0),"Past 30-yr mark (verify)",IF(AND(U393="",AA393&lt;=Scoring!$B$5),"30-yr mark: notice window (est.)",IF(AND(O393&gt;=Scoring!$B$7,O393&lt;=Scoring!$B$8),"Year-15 window",IF(O393&gt;=Scoring!$B$9,"Recap window",IF(O393&gt;=11,"Late compliance","Credit period"))))))))))))</f>
        <v>Recap window</v>
      </c>
      <c r="E393" s="15" t="s">
        <v>1489</v>
      </c>
      <c r="F393" s="15" t="s">
        <v>1490</v>
      </c>
      <c r="G393" s="15" t="s">
        <v>1491</v>
      </c>
      <c r="H393" s="15" t="s">
        <v>97</v>
      </c>
      <c r="I393" s="15" t="s">
        <v>1309</v>
      </c>
      <c r="J393" s="15" t="n">
        <v>94</v>
      </c>
      <c r="K393" s="15" t="n">
        <v>94</v>
      </c>
      <c r="L393" s="15" t="n">
        <f aca="false">IF(OR(J393="",K393=""),"",MAX(J393-K393,0))</f>
        <v>0</v>
      </c>
      <c r="M393" s="15" t="s">
        <v>99</v>
      </c>
      <c r="N393" s="17" t="n">
        <v>2005</v>
      </c>
      <c r="O393" s="15" t="n">
        <f aca="false">IF(N393="","",Scoring!$B$4-N393)</f>
        <v>21</v>
      </c>
      <c r="P393" s="15" t="n">
        <f aca="false">IF(N393="","",N393+14)</f>
        <v>2019</v>
      </c>
      <c r="Q393" s="15" t="n">
        <f aca="false">IF(N393="","",IF(N393&lt;Scoring!$B$12,"n/a (pre-1990)",N393+Scoring!$B$13))</f>
        <v>2034</v>
      </c>
      <c r="R393" s="15" t="str">
        <f aca="false">IF(J393="","Unknown",IF(J393&gt;=5,"Yes","No (under 5 units)"))</f>
        <v>Yes</v>
      </c>
      <c r="S393" s="15"/>
      <c r="T393" s="18"/>
      <c r="U393" s="19"/>
      <c r="V393" s="18"/>
      <c r="W393" s="18"/>
      <c r="X393" s="20"/>
      <c r="Y393" s="18"/>
      <c r="Z393" s="18"/>
      <c r="AA393" s="21" t="n">
        <f aca="false">IF(U393&lt;&gt;"",(U393-Scoring!$B$3)/365.25,IF(N393="","",IF(N393&lt;Scoring!$B$12,"",(DATE(N393+Scoring!$B$13,12,31)-Scoring!$B$3)/365.25)))</f>
        <v>8.24640657084189</v>
      </c>
      <c r="AB393" s="22" t="n">
        <f aca="false">IF(T393="Y",0,IF(OR(D393="Expired (verified)",D393="Expiring: notice window (verified)",D393="Expiring: 10-yr horizon (verified)",D393="Past 30-yr mark (verify)",D393="30-yr mark: notice window (est.)",D393="Year-15 window"),1,0)+IF(ISNUMBER(O393),IF(O393&gt;=Scoring!$B$10,1,0),0)+IF(AND(ISNUMBER(L393),ISNUMBER(J393)),IF(J393&gt;0,IF(L393/J393&gt;=Scoring!$B$11,1,0),0),0)+IF(ISNUMBER(Z393),MIN(Z393,3),0))</f>
        <v>1</v>
      </c>
      <c r="AC393" s="22" t="n">
        <f aca="false">IF(AB393&gt;=3,Scoring!$C$24,IF(AB393=2,Scoring!$C$23,IF(AB393=1,Scoring!$C$22,0)))</f>
        <v>10</v>
      </c>
      <c r="AD393" s="22" t="n">
        <f aca="false">IF(T393="Y",0,IF(ISNUMBER(X393),IF(X393&gt;0.7,Scoring!$C$25,IF(X393&gt;=0.5,Scoring!$C$26,IF(X393&gt;=0.3,Scoring!$C$27,Scoring!$C$28))),Scoring!$C$29))</f>
        <v>10</v>
      </c>
      <c r="AE393" s="22" t="n">
        <f aca="false">IF(D393="Expiring: notice window (verified)",Scoring!$C$30,IF(OR(D393="Expired (verified)",D393="30-yr mark: notice window (est.)",D393="Year-15 window"),Scoring!$C$31,IF(D393="Expiring: 10-yr horizon (verified)",Scoring!$C$32,IF(D393="Past 30-yr mark (verify)",Scoring!$C$33,IF(OR(D393="Credit period",D393="Superseded record"),Scoring!$C$35,Scoring!$C$34)))))</f>
        <v>4</v>
      </c>
      <c r="AF393" s="22" t="n">
        <f aca="false">IF(T393="Y",0,IF(ISNUMBER(V393),IF(Scoring!$B$4-V393&gt;15,Scoring!$C$36,IF(Scoring!$B$4-V393&gt;=10,Scoring!$C$37,IF(Scoring!$B$4-V393&gt;=5,Scoring!$C$38,Scoring!$C$39))),IF(OR(N393="",D393="Out of program"),Scoring!$C$40,IF(O393&gt;15,Scoring!$C$36,IF(O393&gt;=10,Scoring!$C$37,IF(O393&gt;=5,Scoring!$C$38,Scoring!$C$39))))))</f>
        <v>15</v>
      </c>
      <c r="AG393" s="22" t="n">
        <f aca="false">IF(T393="Y",0,IF(Y393="Y",Scoring!$C$41,IF(ISNUMBER(O393),IF(O393&gt;=25,Scoring!$C$42,IF(O393&gt;=15,Scoring!$C$43,Scoring!$C$44)),Scoring!$C$44)))</f>
        <v>5</v>
      </c>
      <c r="AH393" s="22" t="n">
        <f aca="false">IF(T393="Y",0,IF(W393="",Scoring!$C$49,IFERROR(VLOOKUP(W393,Scoring!$B$45:$C$48,2,FALSE()),Scoring!$C$49)))</f>
        <v>5</v>
      </c>
      <c r="AI393" s="23" t="n">
        <f aca="false">C393+IF(ISNUMBER(J393),J393,0)/100000+(10000-ROW())/1000000000</f>
        <v>49.000949607</v>
      </c>
      <c r="AJ393" s="18"/>
      <c r="AK393" s="18"/>
      <c r="AL393" s="18"/>
      <c r="AM393" s="18"/>
    </row>
    <row r="394" customFormat="false" ht="15" hidden="false" customHeight="false" outlineLevel="0" collapsed="false">
      <c r="A394" s="15" t="n">
        <f aca="false">RANK(AI394,$AI$2:$AI$755)</f>
        <v>393</v>
      </c>
      <c r="B394" s="16" t="str">
        <f aca="false">IF(T394="Y","Superseded",IF(C394&gt;=Scoring!$B$16,"Immediate",IF(C394&gt;=Scoring!$B$17,"This week",IF(C394&gt;=Scoring!$B$18,"Nurture","Low"))))</f>
        <v>Nurture</v>
      </c>
      <c r="C394" s="3" t="n">
        <f aca="false">SUM(AC394:AH394)</f>
        <v>49</v>
      </c>
      <c r="D394" s="15" t="str">
        <f aca="false">IF(T394="Y","Superseded record",IF(AND(U394&lt;&gt;"",AA394&lt;0),"Expired (verified)",IF(AND(U394&lt;&gt;"",AA394&lt;=Scoring!$B$5),"Expiring: notice window (verified)",IF(AND(U394&lt;&gt;"",AA394&lt;=Scoring!$B$6),"Expiring: 10-yr horizon (verified)",IF(M394="No Longer Monitored","Out of program",IF(N394="","Unknown vintage",IF(N394&lt;Scoring!$B$12,"Pre-1990, still listed",IF(AND(U394="",AA394&lt;0),"Past 30-yr mark (verify)",IF(AND(U394="",AA394&lt;=Scoring!$B$5),"30-yr mark: notice window (est.)",IF(AND(O394&gt;=Scoring!$B$7,O394&lt;=Scoring!$B$8),"Year-15 window",IF(O394&gt;=Scoring!$B$9,"Recap window",IF(O394&gt;=11,"Late compliance","Credit period"))))))))))))</f>
        <v>Recap window</v>
      </c>
      <c r="E394" s="15" t="s">
        <v>1492</v>
      </c>
      <c r="F394" s="15" t="s">
        <v>1493</v>
      </c>
      <c r="G394" s="15" t="s">
        <v>1494</v>
      </c>
      <c r="H394" s="15" t="s">
        <v>151</v>
      </c>
      <c r="I394" s="15" t="s">
        <v>280</v>
      </c>
      <c r="J394" s="15" t="n">
        <v>91</v>
      </c>
      <c r="K394" s="15" t="n">
        <v>91</v>
      </c>
      <c r="L394" s="15" t="n">
        <f aca="false">IF(OR(J394="",K394=""),"",MAX(J394-K394,0))</f>
        <v>0</v>
      </c>
      <c r="M394" s="15" t="s">
        <v>99</v>
      </c>
      <c r="N394" s="17" t="n">
        <v>2004</v>
      </c>
      <c r="O394" s="15" t="n">
        <f aca="false">IF(N394="","",Scoring!$B$4-N394)</f>
        <v>22</v>
      </c>
      <c r="P394" s="15" t="n">
        <f aca="false">IF(N394="","",N394+14)</f>
        <v>2018</v>
      </c>
      <c r="Q394" s="15" t="n">
        <f aca="false">IF(N394="","",IF(N394&lt;Scoring!$B$12,"n/a (pre-1990)",N394+Scoring!$B$13))</f>
        <v>2033</v>
      </c>
      <c r="R394" s="15" t="str">
        <f aca="false">IF(J394="","Unknown",IF(J394&gt;=5,"Yes","No (under 5 units)"))</f>
        <v>Yes</v>
      </c>
      <c r="S394" s="15"/>
      <c r="T394" s="18"/>
      <c r="U394" s="19"/>
      <c r="V394" s="18"/>
      <c r="W394" s="18"/>
      <c r="X394" s="20"/>
      <c r="Y394" s="18"/>
      <c r="Z394" s="18"/>
      <c r="AA394" s="21" t="n">
        <f aca="false">IF(U394&lt;&gt;"",(U394-Scoring!$B$3)/365.25,IF(N394="","",IF(N394&lt;Scoring!$B$12,"",(DATE(N394+Scoring!$B$13,12,31)-Scoring!$B$3)/365.25)))</f>
        <v>7.24709103353867</v>
      </c>
      <c r="AB394" s="22" t="n">
        <f aca="false">IF(T394="Y",0,IF(OR(D394="Expired (verified)",D394="Expiring: notice window (verified)",D394="Expiring: 10-yr horizon (verified)",D394="Past 30-yr mark (verify)",D394="30-yr mark: notice window (est.)",D394="Year-15 window"),1,0)+IF(ISNUMBER(O394),IF(O394&gt;=Scoring!$B$10,1,0),0)+IF(AND(ISNUMBER(L394),ISNUMBER(J394)),IF(J394&gt;0,IF(L394/J394&gt;=Scoring!$B$11,1,0),0),0)+IF(ISNUMBER(Z394),MIN(Z394,3),0))</f>
        <v>1</v>
      </c>
      <c r="AC394" s="22" t="n">
        <f aca="false">IF(AB394&gt;=3,Scoring!$C$24,IF(AB394=2,Scoring!$C$23,IF(AB394=1,Scoring!$C$22,0)))</f>
        <v>10</v>
      </c>
      <c r="AD394" s="22" t="n">
        <f aca="false">IF(T394="Y",0,IF(ISNUMBER(X394),IF(X394&gt;0.7,Scoring!$C$25,IF(X394&gt;=0.5,Scoring!$C$26,IF(X394&gt;=0.3,Scoring!$C$27,Scoring!$C$28))),Scoring!$C$29))</f>
        <v>10</v>
      </c>
      <c r="AE394" s="22" t="n">
        <f aca="false">IF(D394="Expiring: notice window (verified)",Scoring!$C$30,IF(OR(D394="Expired (verified)",D394="30-yr mark: notice window (est.)",D394="Year-15 window"),Scoring!$C$31,IF(D394="Expiring: 10-yr horizon (verified)",Scoring!$C$32,IF(D394="Past 30-yr mark (verify)",Scoring!$C$33,IF(OR(D394="Credit period",D394="Superseded record"),Scoring!$C$35,Scoring!$C$34)))))</f>
        <v>4</v>
      </c>
      <c r="AF394" s="22" t="n">
        <f aca="false">IF(T394="Y",0,IF(ISNUMBER(V394),IF(Scoring!$B$4-V394&gt;15,Scoring!$C$36,IF(Scoring!$B$4-V394&gt;=10,Scoring!$C$37,IF(Scoring!$B$4-V394&gt;=5,Scoring!$C$38,Scoring!$C$39))),IF(OR(N394="",D394="Out of program"),Scoring!$C$40,IF(O394&gt;15,Scoring!$C$36,IF(O394&gt;=10,Scoring!$C$37,IF(O394&gt;=5,Scoring!$C$38,Scoring!$C$39))))))</f>
        <v>15</v>
      </c>
      <c r="AG394" s="22" t="n">
        <f aca="false">IF(T394="Y",0,IF(Y394="Y",Scoring!$C$41,IF(ISNUMBER(O394),IF(O394&gt;=25,Scoring!$C$42,IF(O394&gt;=15,Scoring!$C$43,Scoring!$C$44)),Scoring!$C$44)))</f>
        <v>5</v>
      </c>
      <c r="AH394" s="22" t="n">
        <f aca="false">IF(T394="Y",0,IF(W394="",Scoring!$C$49,IFERROR(VLOOKUP(W394,Scoring!$B$45:$C$48,2,FALSE()),Scoring!$C$49)))</f>
        <v>5</v>
      </c>
      <c r="AI394" s="23" t="n">
        <f aca="false">C394+IF(ISNUMBER(J394),J394,0)/100000+(10000-ROW())/1000000000</f>
        <v>49.000919606</v>
      </c>
      <c r="AJ394" s="18"/>
      <c r="AK394" s="18"/>
      <c r="AL394" s="18"/>
      <c r="AM394" s="18"/>
    </row>
    <row r="395" customFormat="false" ht="15" hidden="false" customHeight="false" outlineLevel="0" collapsed="false">
      <c r="A395" s="15" t="n">
        <f aca="false">RANK(AI395,$AI$2:$AI$755)</f>
        <v>394</v>
      </c>
      <c r="B395" s="16" t="str">
        <f aca="false">IF(T395="Y","Superseded",IF(C395&gt;=Scoring!$B$16,"Immediate",IF(C395&gt;=Scoring!$B$17,"This week",IF(C395&gt;=Scoring!$B$18,"Nurture","Low"))))</f>
        <v>Nurture</v>
      </c>
      <c r="C395" s="3" t="n">
        <f aca="false">SUM(AC395:AH395)</f>
        <v>49</v>
      </c>
      <c r="D395" s="15" t="str">
        <f aca="false">IF(T395="Y","Superseded record",IF(AND(U395&lt;&gt;"",AA395&lt;0),"Expired (verified)",IF(AND(U395&lt;&gt;"",AA395&lt;=Scoring!$B$5),"Expiring: notice window (verified)",IF(AND(U395&lt;&gt;"",AA395&lt;=Scoring!$B$6),"Expiring: 10-yr horizon (verified)",IF(M395="No Longer Monitored","Out of program",IF(N395="","Unknown vintage",IF(N395&lt;Scoring!$B$12,"Pre-1990, still listed",IF(AND(U395="",AA395&lt;0),"Past 30-yr mark (verify)",IF(AND(U395="",AA395&lt;=Scoring!$B$5),"30-yr mark: notice window (est.)",IF(AND(O395&gt;=Scoring!$B$7,O395&lt;=Scoring!$B$8),"Year-15 window",IF(O395&gt;=Scoring!$B$9,"Recap window",IF(O395&gt;=11,"Late compliance","Credit period"))))))))))))</f>
        <v>Recap window</v>
      </c>
      <c r="E395" s="15" t="s">
        <v>1495</v>
      </c>
      <c r="F395" s="15" t="s">
        <v>1496</v>
      </c>
      <c r="G395" s="15" t="s">
        <v>1497</v>
      </c>
      <c r="H395" s="15" t="s">
        <v>473</v>
      </c>
      <c r="I395" s="15" t="s">
        <v>510</v>
      </c>
      <c r="J395" s="15" t="n">
        <v>81</v>
      </c>
      <c r="K395" s="15"/>
      <c r="L395" s="15" t="str">
        <f aca="false">IF(OR(J395="",K395=""),"",MAX(J395-K395,0))</f>
        <v/>
      </c>
      <c r="M395" s="15" t="s">
        <v>99</v>
      </c>
      <c r="N395" s="17" t="n">
        <v>2006</v>
      </c>
      <c r="O395" s="15" t="n">
        <f aca="false">IF(N395="","",Scoring!$B$4-N395)</f>
        <v>20</v>
      </c>
      <c r="P395" s="15" t="n">
        <f aca="false">IF(N395="","",N395+14)</f>
        <v>2020</v>
      </c>
      <c r="Q395" s="15" t="n">
        <f aca="false">IF(N395="","",IF(N395&lt;Scoring!$B$12,"n/a (pre-1990)",N395+Scoring!$B$13))</f>
        <v>2035</v>
      </c>
      <c r="R395" s="15" t="str">
        <f aca="false">IF(J395="","Unknown",IF(J395&gt;=5,"Yes","No (under 5 units)"))</f>
        <v>Yes</v>
      </c>
      <c r="S395" s="15"/>
      <c r="T395" s="18"/>
      <c r="U395" s="19"/>
      <c r="V395" s="18"/>
      <c r="W395" s="18"/>
      <c r="X395" s="20"/>
      <c r="Y395" s="18"/>
      <c r="Z395" s="18"/>
      <c r="AA395" s="21" t="n">
        <f aca="false">IF(U395&lt;&gt;"",(U395-Scoring!$B$3)/365.25,IF(N395="","",IF(N395&lt;Scoring!$B$12,"",(DATE(N395+Scoring!$B$13,12,31)-Scoring!$B$3)/365.25)))</f>
        <v>9.24572210814511</v>
      </c>
      <c r="AB395" s="22" t="n">
        <f aca="false">IF(T395="Y",0,IF(OR(D395="Expired (verified)",D395="Expiring: notice window (verified)",D395="Expiring: 10-yr horizon (verified)",D395="Past 30-yr mark (verify)",D395="30-yr mark: notice window (est.)",D395="Year-15 window"),1,0)+IF(ISNUMBER(O395),IF(O395&gt;=Scoring!$B$10,1,0),0)+IF(AND(ISNUMBER(L395),ISNUMBER(J395)),IF(J395&gt;0,IF(L395/J395&gt;=Scoring!$B$11,1,0),0),0)+IF(ISNUMBER(Z395),MIN(Z395,3),0))</f>
        <v>1</v>
      </c>
      <c r="AC395" s="22" t="n">
        <f aca="false">IF(AB395&gt;=3,Scoring!$C$24,IF(AB395=2,Scoring!$C$23,IF(AB395=1,Scoring!$C$22,0)))</f>
        <v>10</v>
      </c>
      <c r="AD395" s="22" t="n">
        <f aca="false">IF(T395="Y",0,IF(ISNUMBER(X395),IF(X395&gt;0.7,Scoring!$C$25,IF(X395&gt;=0.5,Scoring!$C$26,IF(X395&gt;=0.3,Scoring!$C$27,Scoring!$C$28))),Scoring!$C$29))</f>
        <v>10</v>
      </c>
      <c r="AE395" s="22" t="n">
        <f aca="false">IF(D395="Expiring: notice window (verified)",Scoring!$C$30,IF(OR(D395="Expired (verified)",D395="30-yr mark: notice window (est.)",D395="Year-15 window"),Scoring!$C$31,IF(D395="Expiring: 10-yr horizon (verified)",Scoring!$C$32,IF(D395="Past 30-yr mark (verify)",Scoring!$C$33,IF(OR(D395="Credit period",D395="Superseded record"),Scoring!$C$35,Scoring!$C$34)))))</f>
        <v>4</v>
      </c>
      <c r="AF395" s="22" t="n">
        <f aca="false">IF(T395="Y",0,IF(ISNUMBER(V395),IF(Scoring!$B$4-V395&gt;15,Scoring!$C$36,IF(Scoring!$B$4-V395&gt;=10,Scoring!$C$37,IF(Scoring!$B$4-V395&gt;=5,Scoring!$C$38,Scoring!$C$39))),IF(OR(N395="",D395="Out of program"),Scoring!$C$40,IF(O395&gt;15,Scoring!$C$36,IF(O395&gt;=10,Scoring!$C$37,IF(O395&gt;=5,Scoring!$C$38,Scoring!$C$39))))))</f>
        <v>15</v>
      </c>
      <c r="AG395" s="22" t="n">
        <f aca="false">IF(T395="Y",0,IF(Y395="Y",Scoring!$C$41,IF(ISNUMBER(O395),IF(O395&gt;=25,Scoring!$C$42,IF(O395&gt;=15,Scoring!$C$43,Scoring!$C$44)),Scoring!$C$44)))</f>
        <v>5</v>
      </c>
      <c r="AH395" s="22" t="n">
        <f aca="false">IF(T395="Y",0,IF(W395="",Scoring!$C$49,IFERROR(VLOOKUP(W395,Scoring!$B$45:$C$48,2,FALSE()),Scoring!$C$49)))</f>
        <v>5</v>
      </c>
      <c r="AI395" s="23" t="n">
        <f aca="false">C395+IF(ISNUMBER(J395),J395,0)/100000+(10000-ROW())/1000000000</f>
        <v>49.000819605</v>
      </c>
      <c r="AJ395" s="18"/>
      <c r="AK395" s="18"/>
      <c r="AL395" s="18"/>
      <c r="AM395" s="18"/>
    </row>
    <row r="396" customFormat="false" ht="15" hidden="false" customHeight="false" outlineLevel="0" collapsed="false">
      <c r="A396" s="15" t="n">
        <f aca="false">RANK(AI396,$AI$2:$AI$755)</f>
        <v>395</v>
      </c>
      <c r="B396" s="16" t="str">
        <f aca="false">IF(T396="Y","Superseded",IF(C396&gt;=Scoring!$B$16,"Immediate",IF(C396&gt;=Scoring!$B$17,"This week",IF(C396&gt;=Scoring!$B$18,"Nurture","Low"))))</f>
        <v>Nurture</v>
      </c>
      <c r="C396" s="3" t="n">
        <f aca="false">SUM(AC396:AH396)</f>
        <v>49</v>
      </c>
      <c r="D396" s="15" t="str">
        <f aca="false">IF(T396="Y","Superseded record",IF(AND(U396&lt;&gt;"",AA396&lt;0),"Expired (verified)",IF(AND(U396&lt;&gt;"",AA396&lt;=Scoring!$B$5),"Expiring: notice window (verified)",IF(AND(U396&lt;&gt;"",AA396&lt;=Scoring!$B$6),"Expiring: 10-yr horizon (verified)",IF(M396="No Longer Monitored","Out of program",IF(N396="","Unknown vintage",IF(N396&lt;Scoring!$B$12,"Pre-1990, still listed",IF(AND(U396="",AA396&lt;0),"Past 30-yr mark (verify)",IF(AND(U396="",AA396&lt;=Scoring!$B$5),"30-yr mark: notice window (est.)",IF(AND(O396&gt;=Scoring!$B$7,O396&lt;=Scoring!$B$8),"Year-15 window",IF(O396&gt;=Scoring!$B$9,"Recap window",IF(O396&gt;=11,"Late compliance","Credit period"))))))))))))</f>
        <v>Recap window</v>
      </c>
      <c r="E396" s="15" t="s">
        <v>1498</v>
      </c>
      <c r="F396" s="15" t="s">
        <v>1499</v>
      </c>
      <c r="G396" s="15" t="s">
        <v>1500</v>
      </c>
      <c r="H396" s="15" t="s">
        <v>97</v>
      </c>
      <c r="I396" s="15" t="s">
        <v>160</v>
      </c>
      <c r="J396" s="15" t="n">
        <v>76</v>
      </c>
      <c r="K396" s="15" t="n">
        <v>76</v>
      </c>
      <c r="L396" s="15" t="n">
        <f aca="false">IF(OR(J396="",K396=""),"",MAX(J396-K396,0))</f>
        <v>0</v>
      </c>
      <c r="M396" s="15" t="s">
        <v>99</v>
      </c>
      <c r="N396" s="17" t="n">
        <v>2004</v>
      </c>
      <c r="O396" s="15" t="n">
        <f aca="false">IF(N396="","",Scoring!$B$4-N396)</f>
        <v>22</v>
      </c>
      <c r="P396" s="15" t="n">
        <f aca="false">IF(N396="","",N396+14)</f>
        <v>2018</v>
      </c>
      <c r="Q396" s="15" t="n">
        <f aca="false">IF(N396="","",IF(N396&lt;Scoring!$B$12,"n/a (pre-1990)",N396+Scoring!$B$13))</f>
        <v>2033</v>
      </c>
      <c r="R396" s="15" t="str">
        <f aca="false">IF(J396="","Unknown",IF(J396&gt;=5,"Yes","No (under 5 units)"))</f>
        <v>Yes</v>
      </c>
      <c r="S396" s="15"/>
      <c r="T396" s="18"/>
      <c r="U396" s="19"/>
      <c r="V396" s="18"/>
      <c r="W396" s="18"/>
      <c r="X396" s="20"/>
      <c r="Y396" s="18"/>
      <c r="Z396" s="18"/>
      <c r="AA396" s="21" t="n">
        <f aca="false">IF(U396&lt;&gt;"",(U396-Scoring!$B$3)/365.25,IF(N396="","",IF(N396&lt;Scoring!$B$12,"",(DATE(N396+Scoring!$B$13,12,31)-Scoring!$B$3)/365.25)))</f>
        <v>7.24709103353867</v>
      </c>
      <c r="AB396" s="22" t="n">
        <f aca="false">IF(T396="Y",0,IF(OR(D396="Expired (verified)",D396="Expiring: notice window (verified)",D396="Expiring: 10-yr horizon (verified)",D396="Past 30-yr mark (verify)",D396="30-yr mark: notice window (est.)",D396="Year-15 window"),1,0)+IF(ISNUMBER(O396),IF(O396&gt;=Scoring!$B$10,1,0),0)+IF(AND(ISNUMBER(L396),ISNUMBER(J396)),IF(J396&gt;0,IF(L396/J396&gt;=Scoring!$B$11,1,0),0),0)+IF(ISNUMBER(Z396),MIN(Z396,3),0))</f>
        <v>1</v>
      </c>
      <c r="AC396" s="22" t="n">
        <f aca="false">IF(AB396&gt;=3,Scoring!$C$24,IF(AB396=2,Scoring!$C$23,IF(AB396=1,Scoring!$C$22,0)))</f>
        <v>10</v>
      </c>
      <c r="AD396" s="22" t="n">
        <f aca="false">IF(T396="Y",0,IF(ISNUMBER(X396),IF(X396&gt;0.7,Scoring!$C$25,IF(X396&gt;=0.5,Scoring!$C$26,IF(X396&gt;=0.3,Scoring!$C$27,Scoring!$C$28))),Scoring!$C$29))</f>
        <v>10</v>
      </c>
      <c r="AE396" s="22" t="n">
        <f aca="false">IF(D396="Expiring: notice window (verified)",Scoring!$C$30,IF(OR(D396="Expired (verified)",D396="30-yr mark: notice window (est.)",D396="Year-15 window"),Scoring!$C$31,IF(D396="Expiring: 10-yr horizon (verified)",Scoring!$C$32,IF(D396="Past 30-yr mark (verify)",Scoring!$C$33,IF(OR(D396="Credit period",D396="Superseded record"),Scoring!$C$35,Scoring!$C$34)))))</f>
        <v>4</v>
      </c>
      <c r="AF396" s="22" t="n">
        <f aca="false">IF(T396="Y",0,IF(ISNUMBER(V396),IF(Scoring!$B$4-V396&gt;15,Scoring!$C$36,IF(Scoring!$B$4-V396&gt;=10,Scoring!$C$37,IF(Scoring!$B$4-V396&gt;=5,Scoring!$C$38,Scoring!$C$39))),IF(OR(N396="",D396="Out of program"),Scoring!$C$40,IF(O396&gt;15,Scoring!$C$36,IF(O396&gt;=10,Scoring!$C$37,IF(O396&gt;=5,Scoring!$C$38,Scoring!$C$39))))))</f>
        <v>15</v>
      </c>
      <c r="AG396" s="22" t="n">
        <f aca="false">IF(T396="Y",0,IF(Y396="Y",Scoring!$C$41,IF(ISNUMBER(O396),IF(O396&gt;=25,Scoring!$C$42,IF(O396&gt;=15,Scoring!$C$43,Scoring!$C$44)),Scoring!$C$44)))</f>
        <v>5</v>
      </c>
      <c r="AH396" s="22" t="n">
        <f aca="false">IF(T396="Y",0,IF(W396="",Scoring!$C$49,IFERROR(VLOOKUP(W396,Scoring!$B$45:$C$48,2,FALSE()),Scoring!$C$49)))</f>
        <v>5</v>
      </c>
      <c r="AI396" s="23" t="n">
        <f aca="false">C396+IF(ISNUMBER(J396),J396,0)/100000+(10000-ROW())/1000000000</f>
        <v>49.000769604</v>
      </c>
      <c r="AJ396" s="18"/>
      <c r="AK396" s="18"/>
      <c r="AL396" s="18"/>
      <c r="AM396" s="18"/>
    </row>
    <row r="397" customFormat="false" ht="15" hidden="false" customHeight="false" outlineLevel="0" collapsed="false">
      <c r="A397" s="15" t="n">
        <f aca="false">RANK(AI397,$AI$2:$AI$755)</f>
        <v>396</v>
      </c>
      <c r="B397" s="16" t="str">
        <f aca="false">IF(T397="Y","Superseded",IF(C397&gt;=Scoring!$B$16,"Immediate",IF(C397&gt;=Scoring!$B$17,"This week",IF(C397&gt;=Scoring!$B$18,"Nurture","Low"))))</f>
        <v>Nurture</v>
      </c>
      <c r="C397" s="3" t="n">
        <f aca="false">SUM(AC397:AH397)</f>
        <v>49</v>
      </c>
      <c r="D397" s="15" t="str">
        <f aca="false">IF(T397="Y","Superseded record",IF(AND(U397&lt;&gt;"",AA397&lt;0),"Expired (verified)",IF(AND(U397&lt;&gt;"",AA397&lt;=Scoring!$B$5),"Expiring: notice window (verified)",IF(AND(U397&lt;&gt;"",AA397&lt;=Scoring!$B$6),"Expiring: 10-yr horizon (verified)",IF(M397="No Longer Monitored","Out of program",IF(N397="","Unknown vintage",IF(N397&lt;Scoring!$B$12,"Pre-1990, still listed",IF(AND(U397="",AA397&lt;0),"Past 30-yr mark (verify)",IF(AND(U397="",AA397&lt;=Scoring!$B$5),"30-yr mark: notice window (est.)",IF(AND(O397&gt;=Scoring!$B$7,O397&lt;=Scoring!$B$8),"Year-15 window",IF(O397&gt;=Scoring!$B$9,"Recap window",IF(O397&gt;=11,"Late compliance","Credit period"))))))))))))</f>
        <v>Recap window</v>
      </c>
      <c r="E397" s="15" t="s">
        <v>1501</v>
      </c>
      <c r="F397" s="15" t="s">
        <v>1502</v>
      </c>
      <c r="G397" s="15" t="s">
        <v>1503</v>
      </c>
      <c r="H397" s="15" t="s">
        <v>97</v>
      </c>
      <c r="I397" s="15" t="s">
        <v>399</v>
      </c>
      <c r="J397" s="15" t="n">
        <v>71</v>
      </c>
      <c r="K397" s="15" t="n">
        <v>71</v>
      </c>
      <c r="L397" s="15" t="n">
        <f aca="false">IF(OR(J397="",K397=""),"",MAX(J397-K397,0))</f>
        <v>0</v>
      </c>
      <c r="M397" s="15" t="s">
        <v>99</v>
      </c>
      <c r="N397" s="17" t="n">
        <v>2004</v>
      </c>
      <c r="O397" s="15" t="n">
        <f aca="false">IF(N397="","",Scoring!$B$4-N397)</f>
        <v>22</v>
      </c>
      <c r="P397" s="15" t="n">
        <f aca="false">IF(N397="","",N397+14)</f>
        <v>2018</v>
      </c>
      <c r="Q397" s="15" t="n">
        <f aca="false">IF(N397="","",IF(N397&lt;Scoring!$B$12,"n/a (pre-1990)",N397+Scoring!$B$13))</f>
        <v>2033</v>
      </c>
      <c r="R397" s="15" t="str">
        <f aca="false">IF(J397="","Unknown",IF(J397&gt;=5,"Yes","No (under 5 units)"))</f>
        <v>Yes</v>
      </c>
      <c r="S397" s="15"/>
      <c r="T397" s="18"/>
      <c r="U397" s="19"/>
      <c r="V397" s="18"/>
      <c r="W397" s="18"/>
      <c r="X397" s="20"/>
      <c r="Y397" s="18"/>
      <c r="Z397" s="18"/>
      <c r="AA397" s="21" t="n">
        <f aca="false">IF(U397&lt;&gt;"",(U397-Scoring!$B$3)/365.25,IF(N397="","",IF(N397&lt;Scoring!$B$12,"",(DATE(N397+Scoring!$B$13,12,31)-Scoring!$B$3)/365.25)))</f>
        <v>7.24709103353867</v>
      </c>
      <c r="AB397" s="22" t="n">
        <f aca="false">IF(T397="Y",0,IF(OR(D397="Expired (verified)",D397="Expiring: notice window (verified)",D397="Expiring: 10-yr horizon (verified)",D397="Past 30-yr mark (verify)",D397="30-yr mark: notice window (est.)",D397="Year-15 window"),1,0)+IF(ISNUMBER(O397),IF(O397&gt;=Scoring!$B$10,1,0),0)+IF(AND(ISNUMBER(L397),ISNUMBER(J397)),IF(J397&gt;0,IF(L397/J397&gt;=Scoring!$B$11,1,0),0),0)+IF(ISNUMBER(Z397),MIN(Z397,3),0))</f>
        <v>1</v>
      </c>
      <c r="AC397" s="22" t="n">
        <f aca="false">IF(AB397&gt;=3,Scoring!$C$24,IF(AB397=2,Scoring!$C$23,IF(AB397=1,Scoring!$C$22,0)))</f>
        <v>10</v>
      </c>
      <c r="AD397" s="22" t="n">
        <f aca="false">IF(T397="Y",0,IF(ISNUMBER(X397),IF(X397&gt;0.7,Scoring!$C$25,IF(X397&gt;=0.5,Scoring!$C$26,IF(X397&gt;=0.3,Scoring!$C$27,Scoring!$C$28))),Scoring!$C$29))</f>
        <v>10</v>
      </c>
      <c r="AE397" s="22" t="n">
        <f aca="false">IF(D397="Expiring: notice window (verified)",Scoring!$C$30,IF(OR(D397="Expired (verified)",D397="30-yr mark: notice window (est.)",D397="Year-15 window"),Scoring!$C$31,IF(D397="Expiring: 10-yr horizon (verified)",Scoring!$C$32,IF(D397="Past 30-yr mark (verify)",Scoring!$C$33,IF(OR(D397="Credit period",D397="Superseded record"),Scoring!$C$35,Scoring!$C$34)))))</f>
        <v>4</v>
      </c>
      <c r="AF397" s="22" t="n">
        <f aca="false">IF(T397="Y",0,IF(ISNUMBER(V397),IF(Scoring!$B$4-V397&gt;15,Scoring!$C$36,IF(Scoring!$B$4-V397&gt;=10,Scoring!$C$37,IF(Scoring!$B$4-V397&gt;=5,Scoring!$C$38,Scoring!$C$39))),IF(OR(N397="",D397="Out of program"),Scoring!$C$40,IF(O397&gt;15,Scoring!$C$36,IF(O397&gt;=10,Scoring!$C$37,IF(O397&gt;=5,Scoring!$C$38,Scoring!$C$39))))))</f>
        <v>15</v>
      </c>
      <c r="AG397" s="22" t="n">
        <f aca="false">IF(T397="Y",0,IF(Y397="Y",Scoring!$C$41,IF(ISNUMBER(O397),IF(O397&gt;=25,Scoring!$C$42,IF(O397&gt;=15,Scoring!$C$43,Scoring!$C$44)),Scoring!$C$44)))</f>
        <v>5</v>
      </c>
      <c r="AH397" s="22" t="n">
        <f aca="false">IF(T397="Y",0,IF(W397="",Scoring!$C$49,IFERROR(VLOOKUP(W397,Scoring!$B$45:$C$48,2,FALSE()),Scoring!$C$49)))</f>
        <v>5</v>
      </c>
      <c r="AI397" s="23" t="n">
        <f aca="false">C397+IF(ISNUMBER(J397),J397,0)/100000+(10000-ROW())/1000000000</f>
        <v>49.000719603</v>
      </c>
      <c r="AJ397" s="18"/>
      <c r="AK397" s="18"/>
      <c r="AL397" s="18"/>
      <c r="AM397" s="18"/>
    </row>
    <row r="398" customFormat="false" ht="15" hidden="false" customHeight="false" outlineLevel="0" collapsed="false">
      <c r="A398" s="15" t="n">
        <f aca="false">RANK(AI398,$AI$2:$AI$755)</f>
        <v>397</v>
      </c>
      <c r="B398" s="16" t="str">
        <f aca="false">IF(T398="Y","Superseded",IF(C398&gt;=Scoring!$B$16,"Immediate",IF(C398&gt;=Scoring!$B$17,"This week",IF(C398&gt;=Scoring!$B$18,"Nurture","Low"))))</f>
        <v>Nurture</v>
      </c>
      <c r="C398" s="3" t="n">
        <f aca="false">SUM(AC398:AH398)</f>
        <v>49</v>
      </c>
      <c r="D398" s="15" t="str">
        <f aca="false">IF(T398="Y","Superseded record",IF(AND(U398&lt;&gt;"",AA398&lt;0),"Expired (verified)",IF(AND(U398&lt;&gt;"",AA398&lt;=Scoring!$B$5),"Expiring: notice window (verified)",IF(AND(U398&lt;&gt;"",AA398&lt;=Scoring!$B$6),"Expiring: 10-yr horizon (verified)",IF(M398="No Longer Monitored","Out of program",IF(N398="","Unknown vintage",IF(N398&lt;Scoring!$B$12,"Pre-1990, still listed",IF(AND(U398="",AA398&lt;0),"Past 30-yr mark (verify)",IF(AND(U398="",AA398&lt;=Scoring!$B$5),"30-yr mark: notice window (est.)",IF(AND(O398&gt;=Scoring!$B$7,O398&lt;=Scoring!$B$8),"Year-15 window",IF(O398&gt;=Scoring!$B$9,"Recap window",IF(O398&gt;=11,"Late compliance","Credit period"))))))))))))</f>
        <v>Recap window</v>
      </c>
      <c r="E398" s="15" t="s">
        <v>1504</v>
      </c>
      <c r="F398" s="15" t="s">
        <v>1505</v>
      </c>
      <c r="G398" s="15" t="s">
        <v>1506</v>
      </c>
      <c r="H398" s="15" t="s">
        <v>97</v>
      </c>
      <c r="I398" s="15" t="s">
        <v>362</v>
      </c>
      <c r="J398" s="15" t="n">
        <v>70</v>
      </c>
      <c r="K398" s="15" t="n">
        <v>70</v>
      </c>
      <c r="L398" s="15" t="n">
        <f aca="false">IF(OR(J398="",K398=""),"",MAX(J398-K398,0))</f>
        <v>0</v>
      </c>
      <c r="M398" s="15" t="s">
        <v>99</v>
      </c>
      <c r="N398" s="17" t="n">
        <v>2006</v>
      </c>
      <c r="O398" s="15" t="n">
        <f aca="false">IF(N398="","",Scoring!$B$4-N398)</f>
        <v>20</v>
      </c>
      <c r="P398" s="15" t="n">
        <f aca="false">IF(N398="","",N398+14)</f>
        <v>2020</v>
      </c>
      <c r="Q398" s="15" t="n">
        <f aca="false">IF(N398="","",IF(N398&lt;Scoring!$B$12,"n/a (pre-1990)",N398+Scoring!$B$13))</f>
        <v>2035</v>
      </c>
      <c r="R398" s="15" t="str">
        <f aca="false">IF(J398="","Unknown",IF(J398&gt;=5,"Yes","No (under 5 units)"))</f>
        <v>Yes</v>
      </c>
      <c r="S398" s="15"/>
      <c r="T398" s="18"/>
      <c r="U398" s="19"/>
      <c r="V398" s="18"/>
      <c r="W398" s="18"/>
      <c r="X398" s="20"/>
      <c r="Y398" s="18"/>
      <c r="Z398" s="18"/>
      <c r="AA398" s="21" t="n">
        <f aca="false">IF(U398&lt;&gt;"",(U398-Scoring!$B$3)/365.25,IF(N398="","",IF(N398&lt;Scoring!$B$12,"",(DATE(N398+Scoring!$B$13,12,31)-Scoring!$B$3)/365.25)))</f>
        <v>9.24572210814511</v>
      </c>
      <c r="AB398" s="22" t="n">
        <f aca="false">IF(T398="Y",0,IF(OR(D398="Expired (verified)",D398="Expiring: notice window (verified)",D398="Expiring: 10-yr horizon (verified)",D398="Past 30-yr mark (verify)",D398="30-yr mark: notice window (est.)",D398="Year-15 window"),1,0)+IF(ISNUMBER(O398),IF(O398&gt;=Scoring!$B$10,1,0),0)+IF(AND(ISNUMBER(L398),ISNUMBER(J398)),IF(J398&gt;0,IF(L398/J398&gt;=Scoring!$B$11,1,0),0),0)+IF(ISNUMBER(Z398),MIN(Z398,3),0))</f>
        <v>1</v>
      </c>
      <c r="AC398" s="22" t="n">
        <f aca="false">IF(AB398&gt;=3,Scoring!$C$24,IF(AB398=2,Scoring!$C$23,IF(AB398=1,Scoring!$C$22,0)))</f>
        <v>10</v>
      </c>
      <c r="AD398" s="22" t="n">
        <f aca="false">IF(T398="Y",0,IF(ISNUMBER(X398),IF(X398&gt;0.7,Scoring!$C$25,IF(X398&gt;=0.5,Scoring!$C$26,IF(X398&gt;=0.3,Scoring!$C$27,Scoring!$C$28))),Scoring!$C$29))</f>
        <v>10</v>
      </c>
      <c r="AE398" s="22" t="n">
        <f aca="false">IF(D398="Expiring: notice window (verified)",Scoring!$C$30,IF(OR(D398="Expired (verified)",D398="30-yr mark: notice window (est.)",D398="Year-15 window"),Scoring!$C$31,IF(D398="Expiring: 10-yr horizon (verified)",Scoring!$C$32,IF(D398="Past 30-yr mark (verify)",Scoring!$C$33,IF(OR(D398="Credit period",D398="Superseded record"),Scoring!$C$35,Scoring!$C$34)))))</f>
        <v>4</v>
      </c>
      <c r="AF398" s="22" t="n">
        <f aca="false">IF(T398="Y",0,IF(ISNUMBER(V398),IF(Scoring!$B$4-V398&gt;15,Scoring!$C$36,IF(Scoring!$B$4-V398&gt;=10,Scoring!$C$37,IF(Scoring!$B$4-V398&gt;=5,Scoring!$C$38,Scoring!$C$39))),IF(OR(N398="",D398="Out of program"),Scoring!$C$40,IF(O398&gt;15,Scoring!$C$36,IF(O398&gt;=10,Scoring!$C$37,IF(O398&gt;=5,Scoring!$C$38,Scoring!$C$39))))))</f>
        <v>15</v>
      </c>
      <c r="AG398" s="22" t="n">
        <f aca="false">IF(T398="Y",0,IF(Y398="Y",Scoring!$C$41,IF(ISNUMBER(O398),IF(O398&gt;=25,Scoring!$C$42,IF(O398&gt;=15,Scoring!$C$43,Scoring!$C$44)),Scoring!$C$44)))</f>
        <v>5</v>
      </c>
      <c r="AH398" s="22" t="n">
        <f aca="false">IF(T398="Y",0,IF(W398="",Scoring!$C$49,IFERROR(VLOOKUP(W398,Scoring!$B$45:$C$48,2,FALSE()),Scoring!$C$49)))</f>
        <v>5</v>
      </c>
      <c r="AI398" s="23" t="n">
        <f aca="false">C398+IF(ISNUMBER(J398),J398,0)/100000+(10000-ROW())/1000000000</f>
        <v>49.000709602</v>
      </c>
      <c r="AJ398" s="18"/>
      <c r="AK398" s="18"/>
      <c r="AL398" s="18"/>
      <c r="AM398" s="18"/>
    </row>
    <row r="399" customFormat="false" ht="15" hidden="false" customHeight="false" outlineLevel="0" collapsed="false">
      <c r="A399" s="15" t="n">
        <f aca="false">RANK(AI399,$AI$2:$AI$755)</f>
        <v>398</v>
      </c>
      <c r="B399" s="16" t="str">
        <f aca="false">IF(T399="Y","Superseded",IF(C399&gt;=Scoring!$B$16,"Immediate",IF(C399&gt;=Scoring!$B$17,"This week",IF(C399&gt;=Scoring!$B$18,"Nurture","Low"))))</f>
        <v>Nurture</v>
      </c>
      <c r="C399" s="3" t="n">
        <f aca="false">SUM(AC399:AH399)</f>
        <v>49</v>
      </c>
      <c r="D399" s="15" t="str">
        <f aca="false">IF(T399="Y","Superseded record",IF(AND(U399&lt;&gt;"",AA399&lt;0),"Expired (verified)",IF(AND(U399&lt;&gt;"",AA399&lt;=Scoring!$B$5),"Expiring: notice window (verified)",IF(AND(U399&lt;&gt;"",AA399&lt;=Scoring!$B$6),"Expiring: 10-yr horizon (verified)",IF(M399="No Longer Monitored","Out of program",IF(N399="","Unknown vintage",IF(N399&lt;Scoring!$B$12,"Pre-1990, still listed",IF(AND(U399="",AA399&lt;0),"Past 30-yr mark (verify)",IF(AND(U399="",AA399&lt;=Scoring!$B$5),"30-yr mark: notice window (est.)",IF(AND(O399&gt;=Scoring!$B$7,O399&lt;=Scoring!$B$8),"Year-15 window",IF(O399&gt;=Scoring!$B$9,"Recap window",IF(O399&gt;=11,"Late compliance","Credit period"))))))))))))</f>
        <v>Recap window</v>
      </c>
      <c r="E399" s="15" t="s">
        <v>1507</v>
      </c>
      <c r="F399" s="15" t="s">
        <v>1508</v>
      </c>
      <c r="G399" s="15" t="s">
        <v>248</v>
      </c>
      <c r="H399" s="15" t="s">
        <v>249</v>
      </c>
      <c r="I399" s="15" t="s">
        <v>250</v>
      </c>
      <c r="J399" s="15" t="n">
        <v>66</v>
      </c>
      <c r="K399" s="15" t="n">
        <v>66</v>
      </c>
      <c r="L399" s="15" t="n">
        <f aca="false">IF(OR(J399="",K399=""),"",MAX(J399-K399,0))</f>
        <v>0</v>
      </c>
      <c r="M399" s="15" t="s">
        <v>99</v>
      </c>
      <c r="N399" s="17" t="n">
        <v>2004</v>
      </c>
      <c r="O399" s="15" t="n">
        <f aca="false">IF(N399="","",Scoring!$B$4-N399)</f>
        <v>22</v>
      </c>
      <c r="P399" s="15" t="n">
        <f aca="false">IF(N399="","",N399+14)</f>
        <v>2018</v>
      </c>
      <c r="Q399" s="15" t="n">
        <f aca="false">IF(N399="","",IF(N399&lt;Scoring!$B$12,"n/a (pre-1990)",N399+Scoring!$B$13))</f>
        <v>2033</v>
      </c>
      <c r="R399" s="15" t="str">
        <f aca="false">IF(J399="","Unknown",IF(J399&gt;=5,"Yes","No (under 5 units)"))</f>
        <v>Yes</v>
      </c>
      <c r="S399" s="15" t="s">
        <v>1509</v>
      </c>
      <c r="T399" s="18"/>
      <c r="U399" s="19"/>
      <c r="V399" s="18"/>
      <c r="W399" s="18"/>
      <c r="X399" s="20"/>
      <c r="Y399" s="18"/>
      <c r="Z399" s="18"/>
      <c r="AA399" s="21" t="n">
        <f aca="false">IF(U399&lt;&gt;"",(U399-Scoring!$B$3)/365.25,IF(N399="","",IF(N399&lt;Scoring!$B$12,"",(DATE(N399+Scoring!$B$13,12,31)-Scoring!$B$3)/365.25)))</f>
        <v>7.24709103353867</v>
      </c>
      <c r="AB399" s="22" t="n">
        <f aca="false">IF(T399="Y",0,IF(OR(D399="Expired (verified)",D399="Expiring: notice window (verified)",D399="Expiring: 10-yr horizon (verified)",D399="Past 30-yr mark (verify)",D399="30-yr mark: notice window (est.)",D399="Year-15 window"),1,0)+IF(ISNUMBER(O399),IF(O399&gt;=Scoring!$B$10,1,0),0)+IF(AND(ISNUMBER(L399),ISNUMBER(J399)),IF(J399&gt;0,IF(L399/J399&gt;=Scoring!$B$11,1,0),0),0)+IF(ISNUMBER(Z399),MIN(Z399,3),0))</f>
        <v>1</v>
      </c>
      <c r="AC399" s="22" t="n">
        <f aca="false">IF(AB399&gt;=3,Scoring!$C$24,IF(AB399=2,Scoring!$C$23,IF(AB399=1,Scoring!$C$22,0)))</f>
        <v>10</v>
      </c>
      <c r="AD399" s="22" t="n">
        <f aca="false">IF(T399="Y",0,IF(ISNUMBER(X399),IF(X399&gt;0.7,Scoring!$C$25,IF(X399&gt;=0.5,Scoring!$C$26,IF(X399&gt;=0.3,Scoring!$C$27,Scoring!$C$28))),Scoring!$C$29))</f>
        <v>10</v>
      </c>
      <c r="AE399" s="22" t="n">
        <f aca="false">IF(D399="Expiring: notice window (verified)",Scoring!$C$30,IF(OR(D399="Expired (verified)",D399="30-yr mark: notice window (est.)",D399="Year-15 window"),Scoring!$C$31,IF(D399="Expiring: 10-yr horizon (verified)",Scoring!$C$32,IF(D399="Past 30-yr mark (verify)",Scoring!$C$33,IF(OR(D399="Credit period",D399="Superseded record"),Scoring!$C$35,Scoring!$C$34)))))</f>
        <v>4</v>
      </c>
      <c r="AF399" s="22" t="n">
        <f aca="false">IF(T399="Y",0,IF(ISNUMBER(V399),IF(Scoring!$B$4-V399&gt;15,Scoring!$C$36,IF(Scoring!$B$4-V399&gt;=10,Scoring!$C$37,IF(Scoring!$B$4-V399&gt;=5,Scoring!$C$38,Scoring!$C$39))),IF(OR(N399="",D399="Out of program"),Scoring!$C$40,IF(O399&gt;15,Scoring!$C$36,IF(O399&gt;=10,Scoring!$C$37,IF(O399&gt;=5,Scoring!$C$38,Scoring!$C$39))))))</f>
        <v>15</v>
      </c>
      <c r="AG399" s="22" t="n">
        <f aca="false">IF(T399="Y",0,IF(Y399="Y",Scoring!$C$41,IF(ISNUMBER(O399),IF(O399&gt;=25,Scoring!$C$42,IF(O399&gt;=15,Scoring!$C$43,Scoring!$C$44)),Scoring!$C$44)))</f>
        <v>5</v>
      </c>
      <c r="AH399" s="22" t="n">
        <f aca="false">IF(T399="Y",0,IF(W399="",Scoring!$C$49,IFERROR(VLOOKUP(W399,Scoring!$B$45:$C$48,2,FALSE()),Scoring!$C$49)))</f>
        <v>5</v>
      </c>
      <c r="AI399" s="23" t="n">
        <f aca="false">C399+IF(ISNUMBER(J399),J399,0)/100000+(10000-ROW())/1000000000</f>
        <v>49.000669601</v>
      </c>
      <c r="AJ399" s="18"/>
      <c r="AK399" s="18"/>
      <c r="AL399" s="18"/>
      <c r="AM399" s="18"/>
    </row>
    <row r="400" customFormat="false" ht="15" hidden="false" customHeight="false" outlineLevel="0" collapsed="false">
      <c r="A400" s="15" t="n">
        <f aca="false">RANK(AI400,$AI$2:$AI$755)</f>
        <v>399</v>
      </c>
      <c r="B400" s="16" t="str">
        <f aca="false">IF(T400="Y","Superseded",IF(C400&gt;=Scoring!$B$16,"Immediate",IF(C400&gt;=Scoring!$B$17,"This week",IF(C400&gt;=Scoring!$B$18,"Nurture","Low"))))</f>
        <v>Nurture</v>
      </c>
      <c r="C400" s="3" t="n">
        <f aca="false">SUM(AC400:AH400)</f>
        <v>49</v>
      </c>
      <c r="D400" s="15" t="str">
        <f aca="false">IF(T400="Y","Superseded record",IF(AND(U400&lt;&gt;"",AA400&lt;0),"Expired (verified)",IF(AND(U400&lt;&gt;"",AA400&lt;=Scoring!$B$5),"Expiring: notice window (verified)",IF(AND(U400&lt;&gt;"",AA400&lt;=Scoring!$B$6),"Expiring: 10-yr horizon (verified)",IF(M400="No Longer Monitored","Out of program",IF(N400="","Unknown vintage",IF(N400&lt;Scoring!$B$12,"Pre-1990, still listed",IF(AND(U400="",AA400&lt;0),"Past 30-yr mark (verify)",IF(AND(U400="",AA400&lt;=Scoring!$B$5),"30-yr mark: notice window (est.)",IF(AND(O400&gt;=Scoring!$B$7,O400&lt;=Scoring!$B$8),"Year-15 window",IF(O400&gt;=Scoring!$B$9,"Recap window",IF(O400&gt;=11,"Late compliance","Credit period"))))))))))))</f>
        <v>Recap window</v>
      </c>
      <c r="E400" s="15" t="s">
        <v>1510</v>
      </c>
      <c r="F400" s="15" t="s">
        <v>1511</v>
      </c>
      <c r="G400" s="15" t="s">
        <v>1512</v>
      </c>
      <c r="H400" s="15" t="s">
        <v>565</v>
      </c>
      <c r="I400" s="15" t="s">
        <v>566</v>
      </c>
      <c r="J400" s="15" t="n">
        <v>64</v>
      </c>
      <c r="K400" s="15" t="n">
        <v>64</v>
      </c>
      <c r="L400" s="15" t="n">
        <f aca="false">IF(OR(J400="",K400=""),"",MAX(J400-K400,0))</f>
        <v>0</v>
      </c>
      <c r="M400" s="15" t="s">
        <v>99</v>
      </c>
      <c r="N400" s="17" t="n">
        <v>2003</v>
      </c>
      <c r="O400" s="15" t="n">
        <f aca="false">IF(N400="","",Scoring!$B$4-N400)</f>
        <v>23</v>
      </c>
      <c r="P400" s="15" t="n">
        <f aca="false">IF(N400="","",N400+14)</f>
        <v>2017</v>
      </c>
      <c r="Q400" s="15" t="n">
        <f aca="false">IF(N400="","",IF(N400&lt;Scoring!$B$12,"n/a (pre-1990)",N400+Scoring!$B$13))</f>
        <v>2032</v>
      </c>
      <c r="R400" s="15" t="str">
        <f aca="false">IF(J400="","Unknown",IF(J400&gt;=5,"Yes","No (under 5 units)"))</f>
        <v>Yes</v>
      </c>
      <c r="S400" s="15"/>
      <c r="T400" s="18"/>
      <c r="U400" s="19"/>
      <c r="V400" s="18"/>
      <c r="W400" s="18"/>
      <c r="X400" s="20"/>
      <c r="Y400" s="18"/>
      <c r="Z400" s="18"/>
      <c r="AA400" s="21" t="n">
        <f aca="false">IF(U400&lt;&gt;"",(U400-Scoring!$B$3)/365.25,IF(N400="","",IF(N400&lt;Scoring!$B$12,"",(DATE(N400+Scoring!$B$13,12,31)-Scoring!$B$3)/365.25)))</f>
        <v>6.24777549623546</v>
      </c>
      <c r="AB400" s="22" t="n">
        <f aca="false">IF(T400="Y",0,IF(OR(D400="Expired (verified)",D400="Expiring: notice window (verified)",D400="Expiring: 10-yr horizon (verified)",D400="Past 30-yr mark (verify)",D400="30-yr mark: notice window (est.)",D400="Year-15 window"),1,0)+IF(ISNUMBER(O400),IF(O400&gt;=Scoring!$B$10,1,0),0)+IF(AND(ISNUMBER(L400),ISNUMBER(J400)),IF(J400&gt;0,IF(L400/J400&gt;=Scoring!$B$11,1,0),0),0)+IF(ISNUMBER(Z400),MIN(Z400,3),0))</f>
        <v>1</v>
      </c>
      <c r="AC400" s="22" t="n">
        <f aca="false">IF(AB400&gt;=3,Scoring!$C$24,IF(AB400=2,Scoring!$C$23,IF(AB400=1,Scoring!$C$22,0)))</f>
        <v>10</v>
      </c>
      <c r="AD400" s="22" t="n">
        <f aca="false">IF(T400="Y",0,IF(ISNUMBER(X400),IF(X400&gt;0.7,Scoring!$C$25,IF(X400&gt;=0.5,Scoring!$C$26,IF(X400&gt;=0.3,Scoring!$C$27,Scoring!$C$28))),Scoring!$C$29))</f>
        <v>10</v>
      </c>
      <c r="AE400" s="22" t="n">
        <f aca="false">IF(D400="Expiring: notice window (verified)",Scoring!$C$30,IF(OR(D400="Expired (verified)",D400="30-yr mark: notice window (est.)",D400="Year-15 window"),Scoring!$C$31,IF(D400="Expiring: 10-yr horizon (verified)",Scoring!$C$32,IF(D400="Past 30-yr mark (verify)",Scoring!$C$33,IF(OR(D400="Credit period",D400="Superseded record"),Scoring!$C$35,Scoring!$C$34)))))</f>
        <v>4</v>
      </c>
      <c r="AF400" s="22" t="n">
        <f aca="false">IF(T400="Y",0,IF(ISNUMBER(V400),IF(Scoring!$B$4-V400&gt;15,Scoring!$C$36,IF(Scoring!$B$4-V400&gt;=10,Scoring!$C$37,IF(Scoring!$B$4-V400&gt;=5,Scoring!$C$38,Scoring!$C$39))),IF(OR(N400="",D400="Out of program"),Scoring!$C$40,IF(O400&gt;15,Scoring!$C$36,IF(O400&gt;=10,Scoring!$C$37,IF(O400&gt;=5,Scoring!$C$38,Scoring!$C$39))))))</f>
        <v>15</v>
      </c>
      <c r="AG400" s="22" t="n">
        <f aca="false">IF(T400="Y",0,IF(Y400="Y",Scoring!$C$41,IF(ISNUMBER(O400),IF(O400&gt;=25,Scoring!$C$42,IF(O400&gt;=15,Scoring!$C$43,Scoring!$C$44)),Scoring!$C$44)))</f>
        <v>5</v>
      </c>
      <c r="AH400" s="22" t="n">
        <f aca="false">IF(T400="Y",0,IF(W400="",Scoring!$C$49,IFERROR(VLOOKUP(W400,Scoring!$B$45:$C$48,2,FALSE()),Scoring!$C$49)))</f>
        <v>5</v>
      </c>
      <c r="AI400" s="23" t="n">
        <f aca="false">C400+IF(ISNUMBER(J400),J400,0)/100000+(10000-ROW())/1000000000</f>
        <v>49.0006496</v>
      </c>
      <c r="AJ400" s="18"/>
      <c r="AK400" s="18"/>
      <c r="AL400" s="18"/>
      <c r="AM400" s="18"/>
    </row>
    <row r="401" customFormat="false" ht="15" hidden="false" customHeight="false" outlineLevel="0" collapsed="false">
      <c r="A401" s="15" t="n">
        <f aca="false">RANK(AI401,$AI$2:$AI$755)</f>
        <v>400</v>
      </c>
      <c r="B401" s="16" t="str">
        <f aca="false">IF(T401="Y","Superseded",IF(C401&gt;=Scoring!$B$16,"Immediate",IF(C401&gt;=Scoring!$B$17,"This week",IF(C401&gt;=Scoring!$B$18,"Nurture","Low"))))</f>
        <v>Nurture</v>
      </c>
      <c r="C401" s="3" t="n">
        <f aca="false">SUM(AC401:AH401)</f>
        <v>49</v>
      </c>
      <c r="D401" s="15" t="str">
        <f aca="false">IF(T401="Y","Superseded record",IF(AND(U401&lt;&gt;"",AA401&lt;0),"Expired (verified)",IF(AND(U401&lt;&gt;"",AA401&lt;=Scoring!$B$5),"Expiring: notice window (verified)",IF(AND(U401&lt;&gt;"",AA401&lt;=Scoring!$B$6),"Expiring: 10-yr horizon (verified)",IF(M401="No Longer Monitored","Out of program",IF(N401="","Unknown vintage",IF(N401&lt;Scoring!$B$12,"Pre-1990, still listed",IF(AND(U401="",AA401&lt;0),"Past 30-yr mark (verify)",IF(AND(U401="",AA401&lt;=Scoring!$B$5),"30-yr mark: notice window (est.)",IF(AND(O401&gt;=Scoring!$B$7,O401&lt;=Scoring!$B$8),"Year-15 window",IF(O401&gt;=Scoring!$B$9,"Recap window",IF(O401&gt;=11,"Late compliance","Credit period"))))))))))))</f>
        <v>Recap window</v>
      </c>
      <c r="E401" s="15" t="s">
        <v>1513</v>
      </c>
      <c r="F401" s="15" t="s">
        <v>1514</v>
      </c>
      <c r="G401" s="15" t="s">
        <v>1515</v>
      </c>
      <c r="H401" s="15" t="s">
        <v>598</v>
      </c>
      <c r="I401" s="15" t="s">
        <v>599</v>
      </c>
      <c r="J401" s="15" t="n">
        <v>64</v>
      </c>
      <c r="K401" s="15" t="n">
        <v>63</v>
      </c>
      <c r="L401" s="15" t="n">
        <f aca="false">IF(OR(J401="",K401=""),"",MAX(J401-K401,0))</f>
        <v>1</v>
      </c>
      <c r="M401" s="15" t="s">
        <v>99</v>
      </c>
      <c r="N401" s="17" t="n">
        <v>2004</v>
      </c>
      <c r="O401" s="15" t="n">
        <f aca="false">IF(N401="","",Scoring!$B$4-N401)</f>
        <v>22</v>
      </c>
      <c r="P401" s="15" t="n">
        <f aca="false">IF(N401="","",N401+14)</f>
        <v>2018</v>
      </c>
      <c r="Q401" s="15" t="n">
        <f aca="false">IF(N401="","",IF(N401&lt;Scoring!$B$12,"n/a (pre-1990)",N401+Scoring!$B$13))</f>
        <v>2033</v>
      </c>
      <c r="R401" s="15" t="str">
        <f aca="false">IF(J401="","Unknown",IF(J401&gt;=5,"Yes","No (under 5 units)"))</f>
        <v>Yes</v>
      </c>
      <c r="S401" s="15"/>
      <c r="T401" s="18"/>
      <c r="U401" s="19"/>
      <c r="V401" s="18"/>
      <c r="W401" s="18"/>
      <c r="X401" s="20"/>
      <c r="Y401" s="18"/>
      <c r="Z401" s="18"/>
      <c r="AA401" s="21" t="n">
        <f aca="false">IF(U401&lt;&gt;"",(U401-Scoring!$B$3)/365.25,IF(N401="","",IF(N401&lt;Scoring!$B$12,"",(DATE(N401+Scoring!$B$13,12,31)-Scoring!$B$3)/365.25)))</f>
        <v>7.24709103353867</v>
      </c>
      <c r="AB401" s="22" t="n">
        <f aca="false">IF(T401="Y",0,IF(OR(D401="Expired (verified)",D401="Expiring: notice window (verified)",D401="Expiring: 10-yr horizon (verified)",D401="Past 30-yr mark (verify)",D401="30-yr mark: notice window (est.)",D401="Year-15 window"),1,0)+IF(ISNUMBER(O401),IF(O401&gt;=Scoring!$B$10,1,0),0)+IF(AND(ISNUMBER(L401),ISNUMBER(J401)),IF(J401&gt;0,IF(L401/J401&gt;=Scoring!$B$11,1,0),0),0)+IF(ISNUMBER(Z401),MIN(Z401,3),0))</f>
        <v>1</v>
      </c>
      <c r="AC401" s="22" t="n">
        <f aca="false">IF(AB401&gt;=3,Scoring!$C$24,IF(AB401=2,Scoring!$C$23,IF(AB401=1,Scoring!$C$22,0)))</f>
        <v>10</v>
      </c>
      <c r="AD401" s="22" t="n">
        <f aca="false">IF(T401="Y",0,IF(ISNUMBER(X401),IF(X401&gt;0.7,Scoring!$C$25,IF(X401&gt;=0.5,Scoring!$C$26,IF(X401&gt;=0.3,Scoring!$C$27,Scoring!$C$28))),Scoring!$C$29))</f>
        <v>10</v>
      </c>
      <c r="AE401" s="22" t="n">
        <f aca="false">IF(D401="Expiring: notice window (verified)",Scoring!$C$30,IF(OR(D401="Expired (verified)",D401="30-yr mark: notice window (est.)",D401="Year-15 window"),Scoring!$C$31,IF(D401="Expiring: 10-yr horizon (verified)",Scoring!$C$32,IF(D401="Past 30-yr mark (verify)",Scoring!$C$33,IF(OR(D401="Credit period",D401="Superseded record"),Scoring!$C$35,Scoring!$C$34)))))</f>
        <v>4</v>
      </c>
      <c r="AF401" s="22" t="n">
        <f aca="false">IF(T401="Y",0,IF(ISNUMBER(V401),IF(Scoring!$B$4-V401&gt;15,Scoring!$C$36,IF(Scoring!$B$4-V401&gt;=10,Scoring!$C$37,IF(Scoring!$B$4-V401&gt;=5,Scoring!$C$38,Scoring!$C$39))),IF(OR(N401="",D401="Out of program"),Scoring!$C$40,IF(O401&gt;15,Scoring!$C$36,IF(O401&gt;=10,Scoring!$C$37,IF(O401&gt;=5,Scoring!$C$38,Scoring!$C$39))))))</f>
        <v>15</v>
      </c>
      <c r="AG401" s="22" t="n">
        <f aca="false">IF(T401="Y",0,IF(Y401="Y",Scoring!$C$41,IF(ISNUMBER(O401),IF(O401&gt;=25,Scoring!$C$42,IF(O401&gt;=15,Scoring!$C$43,Scoring!$C$44)),Scoring!$C$44)))</f>
        <v>5</v>
      </c>
      <c r="AH401" s="22" t="n">
        <f aca="false">IF(T401="Y",0,IF(W401="",Scoring!$C$49,IFERROR(VLOOKUP(W401,Scoring!$B$45:$C$48,2,FALSE()),Scoring!$C$49)))</f>
        <v>5</v>
      </c>
      <c r="AI401" s="23" t="n">
        <f aca="false">C401+IF(ISNUMBER(J401),J401,0)/100000+(10000-ROW())/1000000000</f>
        <v>49.000649599</v>
      </c>
      <c r="AJ401" s="18"/>
      <c r="AK401" s="18"/>
      <c r="AL401" s="18"/>
      <c r="AM401" s="18"/>
    </row>
    <row r="402" customFormat="false" ht="15" hidden="false" customHeight="false" outlineLevel="0" collapsed="false">
      <c r="A402" s="15" t="n">
        <f aca="false">RANK(AI402,$AI$2:$AI$755)</f>
        <v>401</v>
      </c>
      <c r="B402" s="16" t="str">
        <f aca="false">IF(T402="Y","Superseded",IF(C402&gt;=Scoring!$B$16,"Immediate",IF(C402&gt;=Scoring!$B$17,"This week",IF(C402&gt;=Scoring!$B$18,"Nurture","Low"))))</f>
        <v>Nurture</v>
      </c>
      <c r="C402" s="3" t="n">
        <f aca="false">SUM(AC402:AH402)</f>
        <v>49</v>
      </c>
      <c r="D402" s="15" t="str">
        <f aca="false">IF(T402="Y","Superseded record",IF(AND(U402&lt;&gt;"",AA402&lt;0),"Expired (verified)",IF(AND(U402&lt;&gt;"",AA402&lt;=Scoring!$B$5),"Expiring: notice window (verified)",IF(AND(U402&lt;&gt;"",AA402&lt;=Scoring!$B$6),"Expiring: 10-yr horizon (verified)",IF(M402="No Longer Monitored","Out of program",IF(N402="","Unknown vintage",IF(N402&lt;Scoring!$B$12,"Pre-1990, still listed",IF(AND(U402="",AA402&lt;0),"Past 30-yr mark (verify)",IF(AND(U402="",AA402&lt;=Scoring!$B$5),"30-yr mark: notice window (est.)",IF(AND(O402&gt;=Scoring!$B$7,O402&lt;=Scoring!$B$8),"Year-15 window",IF(O402&gt;=Scoring!$B$9,"Recap window",IF(O402&gt;=11,"Late compliance","Credit period"))))))))))))</f>
        <v>Recap window</v>
      </c>
      <c r="E402" s="15" t="s">
        <v>1516</v>
      </c>
      <c r="F402" s="15" t="s">
        <v>1517</v>
      </c>
      <c r="G402" s="15" t="s">
        <v>1518</v>
      </c>
      <c r="H402" s="15" t="s">
        <v>97</v>
      </c>
      <c r="I402" s="15" t="s">
        <v>330</v>
      </c>
      <c r="J402" s="15" t="n">
        <v>63</v>
      </c>
      <c r="K402" s="15" t="n">
        <v>63</v>
      </c>
      <c r="L402" s="15" t="n">
        <f aca="false">IF(OR(J402="",K402=""),"",MAX(J402-K402,0))</f>
        <v>0</v>
      </c>
      <c r="M402" s="15" t="s">
        <v>99</v>
      </c>
      <c r="N402" s="17" t="n">
        <v>2002</v>
      </c>
      <c r="O402" s="15" t="n">
        <f aca="false">IF(N402="","",Scoring!$B$4-N402)</f>
        <v>24</v>
      </c>
      <c r="P402" s="15" t="n">
        <f aca="false">IF(N402="","",N402+14)</f>
        <v>2016</v>
      </c>
      <c r="Q402" s="15" t="n">
        <f aca="false">IF(N402="","",IF(N402&lt;Scoring!$B$12,"n/a (pre-1990)",N402+Scoring!$B$13))</f>
        <v>2031</v>
      </c>
      <c r="R402" s="15" t="str">
        <f aca="false">IF(J402="","Unknown",IF(J402&gt;=5,"Yes","No (under 5 units)"))</f>
        <v>Yes</v>
      </c>
      <c r="S402" s="15"/>
      <c r="T402" s="18"/>
      <c r="U402" s="19"/>
      <c r="V402" s="18"/>
      <c r="W402" s="18"/>
      <c r="X402" s="20"/>
      <c r="Y402" s="18"/>
      <c r="Z402" s="18"/>
      <c r="AA402" s="21" t="n">
        <f aca="false">IF(U402&lt;&gt;"",(U402-Scoring!$B$3)/365.25,IF(N402="","",IF(N402&lt;Scoring!$B$12,"",(DATE(N402+Scoring!$B$13,12,31)-Scoring!$B$3)/365.25)))</f>
        <v>5.24572210814511</v>
      </c>
      <c r="AB402" s="22" t="n">
        <f aca="false">IF(T402="Y",0,IF(OR(D402="Expired (verified)",D402="Expiring: notice window (verified)",D402="Expiring: 10-yr horizon (verified)",D402="Past 30-yr mark (verify)",D402="30-yr mark: notice window (est.)",D402="Year-15 window"),1,0)+IF(ISNUMBER(O402),IF(O402&gt;=Scoring!$B$10,1,0),0)+IF(AND(ISNUMBER(L402),ISNUMBER(J402)),IF(J402&gt;0,IF(L402/J402&gt;=Scoring!$B$11,1,0),0),0)+IF(ISNUMBER(Z402),MIN(Z402,3),0))</f>
        <v>1</v>
      </c>
      <c r="AC402" s="22" t="n">
        <f aca="false">IF(AB402&gt;=3,Scoring!$C$24,IF(AB402=2,Scoring!$C$23,IF(AB402=1,Scoring!$C$22,0)))</f>
        <v>10</v>
      </c>
      <c r="AD402" s="22" t="n">
        <f aca="false">IF(T402="Y",0,IF(ISNUMBER(X402),IF(X402&gt;0.7,Scoring!$C$25,IF(X402&gt;=0.5,Scoring!$C$26,IF(X402&gt;=0.3,Scoring!$C$27,Scoring!$C$28))),Scoring!$C$29))</f>
        <v>10</v>
      </c>
      <c r="AE402" s="22" t="n">
        <f aca="false">IF(D402="Expiring: notice window (verified)",Scoring!$C$30,IF(OR(D402="Expired (verified)",D402="30-yr mark: notice window (est.)",D402="Year-15 window"),Scoring!$C$31,IF(D402="Expiring: 10-yr horizon (verified)",Scoring!$C$32,IF(D402="Past 30-yr mark (verify)",Scoring!$C$33,IF(OR(D402="Credit period",D402="Superseded record"),Scoring!$C$35,Scoring!$C$34)))))</f>
        <v>4</v>
      </c>
      <c r="AF402" s="22" t="n">
        <f aca="false">IF(T402="Y",0,IF(ISNUMBER(V402),IF(Scoring!$B$4-V402&gt;15,Scoring!$C$36,IF(Scoring!$B$4-V402&gt;=10,Scoring!$C$37,IF(Scoring!$B$4-V402&gt;=5,Scoring!$C$38,Scoring!$C$39))),IF(OR(N402="",D402="Out of program"),Scoring!$C$40,IF(O402&gt;15,Scoring!$C$36,IF(O402&gt;=10,Scoring!$C$37,IF(O402&gt;=5,Scoring!$C$38,Scoring!$C$39))))))</f>
        <v>15</v>
      </c>
      <c r="AG402" s="22" t="n">
        <f aca="false">IF(T402="Y",0,IF(Y402="Y",Scoring!$C$41,IF(ISNUMBER(O402),IF(O402&gt;=25,Scoring!$C$42,IF(O402&gt;=15,Scoring!$C$43,Scoring!$C$44)),Scoring!$C$44)))</f>
        <v>5</v>
      </c>
      <c r="AH402" s="22" t="n">
        <f aca="false">IF(T402="Y",0,IF(W402="",Scoring!$C$49,IFERROR(VLOOKUP(W402,Scoring!$B$45:$C$48,2,FALSE()),Scoring!$C$49)))</f>
        <v>5</v>
      </c>
      <c r="AI402" s="23" t="n">
        <f aca="false">C402+IF(ISNUMBER(J402),J402,0)/100000+(10000-ROW())/1000000000</f>
        <v>49.000639598</v>
      </c>
      <c r="AJ402" s="18"/>
      <c r="AK402" s="18"/>
      <c r="AL402" s="18"/>
      <c r="AM402" s="18"/>
    </row>
    <row r="403" customFormat="false" ht="15" hidden="false" customHeight="false" outlineLevel="0" collapsed="false">
      <c r="A403" s="15" t="n">
        <f aca="false">RANK(AI403,$AI$2:$AI$755)</f>
        <v>402</v>
      </c>
      <c r="B403" s="16" t="str">
        <f aca="false">IF(T403="Y","Superseded",IF(C403&gt;=Scoring!$B$16,"Immediate",IF(C403&gt;=Scoring!$B$17,"This week",IF(C403&gt;=Scoring!$B$18,"Nurture","Low"))))</f>
        <v>Nurture</v>
      </c>
      <c r="C403" s="3" t="n">
        <f aca="false">SUM(AC403:AH403)</f>
        <v>49</v>
      </c>
      <c r="D403" s="15" t="str">
        <f aca="false">IF(T403="Y","Superseded record",IF(AND(U403&lt;&gt;"",AA403&lt;0),"Expired (verified)",IF(AND(U403&lt;&gt;"",AA403&lt;=Scoring!$B$5),"Expiring: notice window (verified)",IF(AND(U403&lt;&gt;"",AA403&lt;=Scoring!$B$6),"Expiring: 10-yr horizon (verified)",IF(M403="No Longer Monitored","Out of program",IF(N403="","Unknown vintage",IF(N403&lt;Scoring!$B$12,"Pre-1990, still listed",IF(AND(U403="",AA403&lt;0),"Past 30-yr mark (verify)",IF(AND(U403="",AA403&lt;=Scoring!$B$5),"30-yr mark: notice window (est.)",IF(AND(O403&gt;=Scoring!$B$7,O403&lt;=Scoring!$B$8),"Year-15 window",IF(O403&gt;=Scoring!$B$9,"Recap window",IF(O403&gt;=11,"Late compliance","Credit period"))))))))))))</f>
        <v>Recap window</v>
      </c>
      <c r="E403" s="15" t="s">
        <v>1519</v>
      </c>
      <c r="F403" s="15" t="s">
        <v>1520</v>
      </c>
      <c r="G403" s="15" t="s">
        <v>1521</v>
      </c>
      <c r="H403" s="15" t="s">
        <v>151</v>
      </c>
      <c r="I403" s="15" t="s">
        <v>280</v>
      </c>
      <c r="J403" s="15" t="n">
        <v>63</v>
      </c>
      <c r="K403" s="15" t="n">
        <v>63</v>
      </c>
      <c r="L403" s="15" t="n">
        <f aca="false">IF(OR(J403="",K403=""),"",MAX(J403-K403,0))</f>
        <v>0</v>
      </c>
      <c r="M403" s="15" t="s">
        <v>99</v>
      </c>
      <c r="N403" s="17" t="n">
        <v>2003</v>
      </c>
      <c r="O403" s="15" t="n">
        <f aca="false">IF(N403="","",Scoring!$B$4-N403)</f>
        <v>23</v>
      </c>
      <c r="P403" s="15" t="n">
        <f aca="false">IF(N403="","",N403+14)</f>
        <v>2017</v>
      </c>
      <c r="Q403" s="15" t="n">
        <f aca="false">IF(N403="","",IF(N403&lt;Scoring!$B$12,"n/a (pre-1990)",N403+Scoring!$B$13))</f>
        <v>2032</v>
      </c>
      <c r="R403" s="15" t="str">
        <f aca="false">IF(J403="","Unknown",IF(J403&gt;=5,"Yes","No (under 5 units)"))</f>
        <v>Yes</v>
      </c>
      <c r="S403" s="15"/>
      <c r="T403" s="18"/>
      <c r="U403" s="19"/>
      <c r="V403" s="18"/>
      <c r="W403" s="18"/>
      <c r="X403" s="20"/>
      <c r="Y403" s="18"/>
      <c r="Z403" s="18"/>
      <c r="AA403" s="21" t="n">
        <f aca="false">IF(U403&lt;&gt;"",(U403-Scoring!$B$3)/365.25,IF(N403="","",IF(N403&lt;Scoring!$B$12,"",(DATE(N403+Scoring!$B$13,12,31)-Scoring!$B$3)/365.25)))</f>
        <v>6.24777549623546</v>
      </c>
      <c r="AB403" s="22" t="n">
        <f aca="false">IF(T403="Y",0,IF(OR(D403="Expired (verified)",D403="Expiring: notice window (verified)",D403="Expiring: 10-yr horizon (verified)",D403="Past 30-yr mark (verify)",D403="30-yr mark: notice window (est.)",D403="Year-15 window"),1,0)+IF(ISNUMBER(O403),IF(O403&gt;=Scoring!$B$10,1,0),0)+IF(AND(ISNUMBER(L403),ISNUMBER(J403)),IF(J403&gt;0,IF(L403/J403&gt;=Scoring!$B$11,1,0),0),0)+IF(ISNUMBER(Z403),MIN(Z403,3),0))</f>
        <v>1</v>
      </c>
      <c r="AC403" s="22" t="n">
        <f aca="false">IF(AB403&gt;=3,Scoring!$C$24,IF(AB403=2,Scoring!$C$23,IF(AB403=1,Scoring!$C$22,0)))</f>
        <v>10</v>
      </c>
      <c r="AD403" s="22" t="n">
        <f aca="false">IF(T403="Y",0,IF(ISNUMBER(X403),IF(X403&gt;0.7,Scoring!$C$25,IF(X403&gt;=0.5,Scoring!$C$26,IF(X403&gt;=0.3,Scoring!$C$27,Scoring!$C$28))),Scoring!$C$29))</f>
        <v>10</v>
      </c>
      <c r="AE403" s="22" t="n">
        <f aca="false">IF(D403="Expiring: notice window (verified)",Scoring!$C$30,IF(OR(D403="Expired (verified)",D403="30-yr mark: notice window (est.)",D403="Year-15 window"),Scoring!$C$31,IF(D403="Expiring: 10-yr horizon (verified)",Scoring!$C$32,IF(D403="Past 30-yr mark (verify)",Scoring!$C$33,IF(OR(D403="Credit period",D403="Superseded record"),Scoring!$C$35,Scoring!$C$34)))))</f>
        <v>4</v>
      </c>
      <c r="AF403" s="22" t="n">
        <f aca="false">IF(T403="Y",0,IF(ISNUMBER(V403),IF(Scoring!$B$4-V403&gt;15,Scoring!$C$36,IF(Scoring!$B$4-V403&gt;=10,Scoring!$C$37,IF(Scoring!$B$4-V403&gt;=5,Scoring!$C$38,Scoring!$C$39))),IF(OR(N403="",D403="Out of program"),Scoring!$C$40,IF(O403&gt;15,Scoring!$C$36,IF(O403&gt;=10,Scoring!$C$37,IF(O403&gt;=5,Scoring!$C$38,Scoring!$C$39))))))</f>
        <v>15</v>
      </c>
      <c r="AG403" s="22" t="n">
        <f aca="false">IF(T403="Y",0,IF(Y403="Y",Scoring!$C$41,IF(ISNUMBER(O403),IF(O403&gt;=25,Scoring!$C$42,IF(O403&gt;=15,Scoring!$C$43,Scoring!$C$44)),Scoring!$C$44)))</f>
        <v>5</v>
      </c>
      <c r="AH403" s="22" t="n">
        <f aca="false">IF(T403="Y",0,IF(W403="",Scoring!$C$49,IFERROR(VLOOKUP(W403,Scoring!$B$45:$C$48,2,FALSE()),Scoring!$C$49)))</f>
        <v>5</v>
      </c>
      <c r="AI403" s="23" t="n">
        <f aca="false">C403+IF(ISNUMBER(J403),J403,0)/100000+(10000-ROW())/1000000000</f>
        <v>49.000639597</v>
      </c>
      <c r="AJ403" s="18"/>
      <c r="AK403" s="18"/>
      <c r="AL403" s="18"/>
      <c r="AM403" s="18"/>
    </row>
    <row r="404" customFormat="false" ht="15" hidden="false" customHeight="false" outlineLevel="0" collapsed="false">
      <c r="A404" s="15" t="n">
        <f aca="false">RANK(AI404,$AI$2:$AI$755)</f>
        <v>403</v>
      </c>
      <c r="B404" s="16" t="str">
        <f aca="false">IF(T404="Y","Superseded",IF(C404&gt;=Scoring!$B$16,"Immediate",IF(C404&gt;=Scoring!$B$17,"This week",IF(C404&gt;=Scoring!$B$18,"Nurture","Low"))))</f>
        <v>Nurture</v>
      </c>
      <c r="C404" s="3" t="n">
        <f aca="false">SUM(AC404:AH404)</f>
        <v>49</v>
      </c>
      <c r="D404" s="15" t="str">
        <f aca="false">IF(T404="Y","Superseded record",IF(AND(U404&lt;&gt;"",AA404&lt;0),"Expired (verified)",IF(AND(U404&lt;&gt;"",AA404&lt;=Scoring!$B$5),"Expiring: notice window (verified)",IF(AND(U404&lt;&gt;"",AA404&lt;=Scoring!$B$6),"Expiring: 10-yr horizon (verified)",IF(M404="No Longer Monitored","Out of program",IF(N404="","Unknown vintage",IF(N404&lt;Scoring!$B$12,"Pre-1990, still listed",IF(AND(U404="",AA404&lt;0),"Past 30-yr mark (verify)",IF(AND(U404="",AA404&lt;=Scoring!$B$5),"30-yr mark: notice window (est.)",IF(AND(O404&gt;=Scoring!$B$7,O404&lt;=Scoring!$B$8),"Year-15 window",IF(O404&gt;=Scoring!$B$9,"Recap window",IF(O404&gt;=11,"Late compliance","Credit period"))))))))))))</f>
        <v>Recap window</v>
      </c>
      <c r="E404" s="15" t="s">
        <v>1522</v>
      </c>
      <c r="F404" s="15" t="s">
        <v>1523</v>
      </c>
      <c r="G404" s="15" t="s">
        <v>1524</v>
      </c>
      <c r="H404" s="15" t="s">
        <v>536</v>
      </c>
      <c r="I404" s="15" t="s">
        <v>549</v>
      </c>
      <c r="J404" s="15" t="n">
        <v>63</v>
      </c>
      <c r="K404" s="15" t="n">
        <v>63</v>
      </c>
      <c r="L404" s="15" t="n">
        <f aca="false">IF(OR(J404="",K404=""),"",MAX(J404-K404,0))</f>
        <v>0</v>
      </c>
      <c r="M404" s="15" t="s">
        <v>99</v>
      </c>
      <c r="N404" s="17" t="n">
        <v>2006</v>
      </c>
      <c r="O404" s="15" t="n">
        <f aca="false">IF(N404="","",Scoring!$B$4-N404)</f>
        <v>20</v>
      </c>
      <c r="P404" s="15" t="n">
        <f aca="false">IF(N404="","",N404+14)</f>
        <v>2020</v>
      </c>
      <c r="Q404" s="15" t="n">
        <f aca="false">IF(N404="","",IF(N404&lt;Scoring!$B$12,"n/a (pre-1990)",N404+Scoring!$B$13))</f>
        <v>2035</v>
      </c>
      <c r="R404" s="15" t="str">
        <f aca="false">IF(J404="","Unknown",IF(J404&gt;=5,"Yes","No (under 5 units)"))</f>
        <v>Yes</v>
      </c>
      <c r="S404" s="15"/>
      <c r="T404" s="18"/>
      <c r="U404" s="19"/>
      <c r="V404" s="18"/>
      <c r="W404" s="18"/>
      <c r="X404" s="20"/>
      <c r="Y404" s="18"/>
      <c r="Z404" s="18"/>
      <c r="AA404" s="21" t="n">
        <f aca="false">IF(U404&lt;&gt;"",(U404-Scoring!$B$3)/365.25,IF(N404="","",IF(N404&lt;Scoring!$B$12,"",(DATE(N404+Scoring!$B$13,12,31)-Scoring!$B$3)/365.25)))</f>
        <v>9.24572210814511</v>
      </c>
      <c r="AB404" s="22" t="n">
        <f aca="false">IF(T404="Y",0,IF(OR(D404="Expired (verified)",D404="Expiring: notice window (verified)",D404="Expiring: 10-yr horizon (verified)",D404="Past 30-yr mark (verify)",D404="30-yr mark: notice window (est.)",D404="Year-15 window"),1,0)+IF(ISNUMBER(O404),IF(O404&gt;=Scoring!$B$10,1,0),0)+IF(AND(ISNUMBER(L404),ISNUMBER(J404)),IF(J404&gt;0,IF(L404/J404&gt;=Scoring!$B$11,1,0),0),0)+IF(ISNUMBER(Z404),MIN(Z404,3),0))</f>
        <v>1</v>
      </c>
      <c r="AC404" s="22" t="n">
        <f aca="false">IF(AB404&gt;=3,Scoring!$C$24,IF(AB404=2,Scoring!$C$23,IF(AB404=1,Scoring!$C$22,0)))</f>
        <v>10</v>
      </c>
      <c r="AD404" s="22" t="n">
        <f aca="false">IF(T404="Y",0,IF(ISNUMBER(X404),IF(X404&gt;0.7,Scoring!$C$25,IF(X404&gt;=0.5,Scoring!$C$26,IF(X404&gt;=0.3,Scoring!$C$27,Scoring!$C$28))),Scoring!$C$29))</f>
        <v>10</v>
      </c>
      <c r="AE404" s="22" t="n">
        <f aca="false">IF(D404="Expiring: notice window (verified)",Scoring!$C$30,IF(OR(D404="Expired (verified)",D404="30-yr mark: notice window (est.)",D404="Year-15 window"),Scoring!$C$31,IF(D404="Expiring: 10-yr horizon (verified)",Scoring!$C$32,IF(D404="Past 30-yr mark (verify)",Scoring!$C$33,IF(OR(D404="Credit period",D404="Superseded record"),Scoring!$C$35,Scoring!$C$34)))))</f>
        <v>4</v>
      </c>
      <c r="AF404" s="22" t="n">
        <f aca="false">IF(T404="Y",0,IF(ISNUMBER(V404),IF(Scoring!$B$4-V404&gt;15,Scoring!$C$36,IF(Scoring!$B$4-V404&gt;=10,Scoring!$C$37,IF(Scoring!$B$4-V404&gt;=5,Scoring!$C$38,Scoring!$C$39))),IF(OR(N404="",D404="Out of program"),Scoring!$C$40,IF(O404&gt;15,Scoring!$C$36,IF(O404&gt;=10,Scoring!$C$37,IF(O404&gt;=5,Scoring!$C$38,Scoring!$C$39))))))</f>
        <v>15</v>
      </c>
      <c r="AG404" s="22" t="n">
        <f aca="false">IF(T404="Y",0,IF(Y404="Y",Scoring!$C$41,IF(ISNUMBER(O404),IF(O404&gt;=25,Scoring!$C$42,IF(O404&gt;=15,Scoring!$C$43,Scoring!$C$44)),Scoring!$C$44)))</f>
        <v>5</v>
      </c>
      <c r="AH404" s="22" t="n">
        <f aca="false">IF(T404="Y",0,IF(W404="",Scoring!$C$49,IFERROR(VLOOKUP(W404,Scoring!$B$45:$C$48,2,FALSE()),Scoring!$C$49)))</f>
        <v>5</v>
      </c>
      <c r="AI404" s="23" t="n">
        <f aca="false">C404+IF(ISNUMBER(J404),J404,0)/100000+(10000-ROW())/1000000000</f>
        <v>49.000639596</v>
      </c>
      <c r="AJ404" s="18"/>
      <c r="AK404" s="18"/>
      <c r="AL404" s="18"/>
      <c r="AM404" s="18"/>
    </row>
    <row r="405" customFormat="false" ht="15" hidden="false" customHeight="false" outlineLevel="0" collapsed="false">
      <c r="A405" s="15" t="n">
        <f aca="false">RANK(AI405,$AI$2:$AI$755)</f>
        <v>404</v>
      </c>
      <c r="B405" s="16" t="str">
        <f aca="false">IF(T405="Y","Superseded",IF(C405&gt;=Scoring!$B$16,"Immediate",IF(C405&gt;=Scoring!$B$17,"This week",IF(C405&gt;=Scoring!$B$18,"Nurture","Low"))))</f>
        <v>Nurture</v>
      </c>
      <c r="C405" s="3" t="n">
        <f aca="false">SUM(AC405:AH405)</f>
        <v>49</v>
      </c>
      <c r="D405" s="15" t="str">
        <f aca="false">IF(T405="Y","Superseded record",IF(AND(U405&lt;&gt;"",AA405&lt;0),"Expired (verified)",IF(AND(U405&lt;&gt;"",AA405&lt;=Scoring!$B$5),"Expiring: notice window (verified)",IF(AND(U405&lt;&gt;"",AA405&lt;=Scoring!$B$6),"Expiring: 10-yr horizon (verified)",IF(M405="No Longer Monitored","Out of program",IF(N405="","Unknown vintage",IF(N405&lt;Scoring!$B$12,"Pre-1990, still listed",IF(AND(U405="",AA405&lt;0),"Past 30-yr mark (verify)",IF(AND(U405="",AA405&lt;=Scoring!$B$5),"30-yr mark: notice window (est.)",IF(AND(O405&gt;=Scoring!$B$7,O405&lt;=Scoring!$B$8),"Year-15 window",IF(O405&gt;=Scoring!$B$9,"Recap window",IF(O405&gt;=11,"Late compliance","Credit period"))))))))))))</f>
        <v>Recap window</v>
      </c>
      <c r="E405" s="15" t="s">
        <v>1525</v>
      </c>
      <c r="F405" s="15" t="s">
        <v>1526</v>
      </c>
      <c r="G405" s="15" t="s">
        <v>1527</v>
      </c>
      <c r="H405" s="15" t="s">
        <v>97</v>
      </c>
      <c r="I405" s="15" t="s">
        <v>271</v>
      </c>
      <c r="J405" s="15" t="n">
        <v>60</v>
      </c>
      <c r="K405" s="15" t="n">
        <v>60</v>
      </c>
      <c r="L405" s="15" t="n">
        <f aca="false">IF(OR(J405="",K405=""),"",MAX(J405-K405,0))</f>
        <v>0</v>
      </c>
      <c r="M405" s="15" t="s">
        <v>99</v>
      </c>
      <c r="N405" s="17" t="n">
        <v>2004</v>
      </c>
      <c r="O405" s="15" t="n">
        <f aca="false">IF(N405="","",Scoring!$B$4-N405)</f>
        <v>22</v>
      </c>
      <c r="P405" s="15" t="n">
        <f aca="false">IF(N405="","",N405+14)</f>
        <v>2018</v>
      </c>
      <c r="Q405" s="15" t="n">
        <f aca="false">IF(N405="","",IF(N405&lt;Scoring!$B$12,"n/a (pre-1990)",N405+Scoring!$B$13))</f>
        <v>2033</v>
      </c>
      <c r="R405" s="15" t="str">
        <f aca="false">IF(J405="","Unknown",IF(J405&gt;=5,"Yes","No (under 5 units)"))</f>
        <v>Yes</v>
      </c>
      <c r="S405" s="15"/>
      <c r="T405" s="18"/>
      <c r="U405" s="19"/>
      <c r="V405" s="18"/>
      <c r="W405" s="18"/>
      <c r="X405" s="20"/>
      <c r="Y405" s="18"/>
      <c r="Z405" s="18"/>
      <c r="AA405" s="21" t="n">
        <f aca="false">IF(U405&lt;&gt;"",(U405-Scoring!$B$3)/365.25,IF(N405="","",IF(N405&lt;Scoring!$B$12,"",(DATE(N405+Scoring!$B$13,12,31)-Scoring!$B$3)/365.25)))</f>
        <v>7.24709103353867</v>
      </c>
      <c r="AB405" s="22" t="n">
        <f aca="false">IF(T405="Y",0,IF(OR(D405="Expired (verified)",D405="Expiring: notice window (verified)",D405="Expiring: 10-yr horizon (verified)",D405="Past 30-yr mark (verify)",D405="30-yr mark: notice window (est.)",D405="Year-15 window"),1,0)+IF(ISNUMBER(O405),IF(O405&gt;=Scoring!$B$10,1,0),0)+IF(AND(ISNUMBER(L405),ISNUMBER(J405)),IF(J405&gt;0,IF(L405/J405&gt;=Scoring!$B$11,1,0),0),0)+IF(ISNUMBER(Z405),MIN(Z405,3),0))</f>
        <v>1</v>
      </c>
      <c r="AC405" s="22" t="n">
        <f aca="false">IF(AB405&gt;=3,Scoring!$C$24,IF(AB405=2,Scoring!$C$23,IF(AB405=1,Scoring!$C$22,0)))</f>
        <v>10</v>
      </c>
      <c r="AD405" s="22" t="n">
        <f aca="false">IF(T405="Y",0,IF(ISNUMBER(X405),IF(X405&gt;0.7,Scoring!$C$25,IF(X405&gt;=0.5,Scoring!$C$26,IF(X405&gt;=0.3,Scoring!$C$27,Scoring!$C$28))),Scoring!$C$29))</f>
        <v>10</v>
      </c>
      <c r="AE405" s="22" t="n">
        <f aca="false">IF(D405="Expiring: notice window (verified)",Scoring!$C$30,IF(OR(D405="Expired (verified)",D405="30-yr mark: notice window (est.)",D405="Year-15 window"),Scoring!$C$31,IF(D405="Expiring: 10-yr horizon (verified)",Scoring!$C$32,IF(D405="Past 30-yr mark (verify)",Scoring!$C$33,IF(OR(D405="Credit period",D405="Superseded record"),Scoring!$C$35,Scoring!$C$34)))))</f>
        <v>4</v>
      </c>
      <c r="AF405" s="22" t="n">
        <f aca="false">IF(T405="Y",0,IF(ISNUMBER(V405),IF(Scoring!$B$4-V405&gt;15,Scoring!$C$36,IF(Scoring!$B$4-V405&gt;=10,Scoring!$C$37,IF(Scoring!$B$4-V405&gt;=5,Scoring!$C$38,Scoring!$C$39))),IF(OR(N405="",D405="Out of program"),Scoring!$C$40,IF(O405&gt;15,Scoring!$C$36,IF(O405&gt;=10,Scoring!$C$37,IF(O405&gt;=5,Scoring!$C$38,Scoring!$C$39))))))</f>
        <v>15</v>
      </c>
      <c r="AG405" s="22" t="n">
        <f aca="false">IF(T405="Y",0,IF(Y405="Y",Scoring!$C$41,IF(ISNUMBER(O405),IF(O405&gt;=25,Scoring!$C$42,IF(O405&gt;=15,Scoring!$C$43,Scoring!$C$44)),Scoring!$C$44)))</f>
        <v>5</v>
      </c>
      <c r="AH405" s="22" t="n">
        <f aca="false">IF(T405="Y",0,IF(W405="",Scoring!$C$49,IFERROR(VLOOKUP(W405,Scoring!$B$45:$C$48,2,FALSE()),Scoring!$C$49)))</f>
        <v>5</v>
      </c>
      <c r="AI405" s="23" t="n">
        <f aca="false">C405+IF(ISNUMBER(J405),J405,0)/100000+(10000-ROW())/1000000000</f>
        <v>49.000609595</v>
      </c>
      <c r="AJ405" s="18"/>
      <c r="AK405" s="18"/>
      <c r="AL405" s="18"/>
      <c r="AM405" s="18"/>
    </row>
    <row r="406" customFormat="false" ht="15" hidden="false" customHeight="false" outlineLevel="0" collapsed="false">
      <c r="A406" s="15" t="n">
        <f aca="false">RANK(AI406,$AI$2:$AI$755)</f>
        <v>405</v>
      </c>
      <c r="B406" s="16" t="str">
        <f aca="false">IF(T406="Y","Superseded",IF(C406&gt;=Scoring!$B$16,"Immediate",IF(C406&gt;=Scoring!$B$17,"This week",IF(C406&gt;=Scoring!$B$18,"Nurture","Low"))))</f>
        <v>Nurture</v>
      </c>
      <c r="C406" s="3" t="n">
        <f aca="false">SUM(AC406:AH406)</f>
        <v>49</v>
      </c>
      <c r="D406" s="15" t="str">
        <f aca="false">IF(T406="Y","Superseded record",IF(AND(U406&lt;&gt;"",AA406&lt;0),"Expired (verified)",IF(AND(U406&lt;&gt;"",AA406&lt;=Scoring!$B$5),"Expiring: notice window (verified)",IF(AND(U406&lt;&gt;"",AA406&lt;=Scoring!$B$6),"Expiring: 10-yr horizon (verified)",IF(M406="No Longer Monitored","Out of program",IF(N406="","Unknown vintage",IF(N406&lt;Scoring!$B$12,"Pre-1990, still listed",IF(AND(U406="",AA406&lt;0),"Past 30-yr mark (verify)",IF(AND(U406="",AA406&lt;=Scoring!$B$5),"30-yr mark: notice window (est.)",IF(AND(O406&gt;=Scoring!$B$7,O406&lt;=Scoring!$B$8),"Year-15 window",IF(O406&gt;=Scoring!$B$9,"Recap window",IF(O406&gt;=11,"Late compliance","Credit period"))))))))))))</f>
        <v>Recap window</v>
      </c>
      <c r="E406" s="15" t="s">
        <v>1528</v>
      </c>
      <c r="F406" s="15" t="s">
        <v>1529</v>
      </c>
      <c r="G406" s="15" t="s">
        <v>1530</v>
      </c>
      <c r="H406" s="15" t="s">
        <v>565</v>
      </c>
      <c r="I406" s="15" t="s">
        <v>566</v>
      </c>
      <c r="J406" s="15" t="n">
        <v>60</v>
      </c>
      <c r="K406" s="15" t="n">
        <v>60</v>
      </c>
      <c r="L406" s="15" t="n">
        <f aca="false">IF(OR(J406="",K406=""),"",MAX(J406-K406,0))</f>
        <v>0</v>
      </c>
      <c r="M406" s="15" t="s">
        <v>99</v>
      </c>
      <c r="N406" s="17" t="n">
        <v>2005</v>
      </c>
      <c r="O406" s="15" t="n">
        <f aca="false">IF(N406="","",Scoring!$B$4-N406)</f>
        <v>21</v>
      </c>
      <c r="P406" s="15" t="n">
        <f aca="false">IF(N406="","",N406+14)</f>
        <v>2019</v>
      </c>
      <c r="Q406" s="15" t="n">
        <f aca="false">IF(N406="","",IF(N406&lt;Scoring!$B$12,"n/a (pre-1990)",N406+Scoring!$B$13))</f>
        <v>2034</v>
      </c>
      <c r="R406" s="15" t="str">
        <f aca="false">IF(J406="","Unknown",IF(J406&gt;=5,"Yes","No (under 5 units)"))</f>
        <v>Yes</v>
      </c>
      <c r="S406" s="15"/>
      <c r="T406" s="18"/>
      <c r="U406" s="19"/>
      <c r="V406" s="18"/>
      <c r="W406" s="18"/>
      <c r="X406" s="20"/>
      <c r="Y406" s="18"/>
      <c r="Z406" s="18"/>
      <c r="AA406" s="21" t="n">
        <f aca="false">IF(U406&lt;&gt;"",(U406-Scoring!$B$3)/365.25,IF(N406="","",IF(N406&lt;Scoring!$B$12,"",(DATE(N406+Scoring!$B$13,12,31)-Scoring!$B$3)/365.25)))</f>
        <v>8.24640657084189</v>
      </c>
      <c r="AB406" s="22" t="n">
        <f aca="false">IF(T406="Y",0,IF(OR(D406="Expired (verified)",D406="Expiring: notice window (verified)",D406="Expiring: 10-yr horizon (verified)",D406="Past 30-yr mark (verify)",D406="30-yr mark: notice window (est.)",D406="Year-15 window"),1,0)+IF(ISNUMBER(O406),IF(O406&gt;=Scoring!$B$10,1,0),0)+IF(AND(ISNUMBER(L406),ISNUMBER(J406)),IF(J406&gt;0,IF(L406/J406&gt;=Scoring!$B$11,1,0),0),0)+IF(ISNUMBER(Z406),MIN(Z406,3),0))</f>
        <v>1</v>
      </c>
      <c r="AC406" s="22" t="n">
        <f aca="false">IF(AB406&gt;=3,Scoring!$C$24,IF(AB406=2,Scoring!$C$23,IF(AB406=1,Scoring!$C$22,0)))</f>
        <v>10</v>
      </c>
      <c r="AD406" s="22" t="n">
        <f aca="false">IF(T406="Y",0,IF(ISNUMBER(X406),IF(X406&gt;0.7,Scoring!$C$25,IF(X406&gt;=0.5,Scoring!$C$26,IF(X406&gt;=0.3,Scoring!$C$27,Scoring!$C$28))),Scoring!$C$29))</f>
        <v>10</v>
      </c>
      <c r="AE406" s="22" t="n">
        <f aca="false">IF(D406="Expiring: notice window (verified)",Scoring!$C$30,IF(OR(D406="Expired (verified)",D406="30-yr mark: notice window (est.)",D406="Year-15 window"),Scoring!$C$31,IF(D406="Expiring: 10-yr horizon (verified)",Scoring!$C$32,IF(D406="Past 30-yr mark (verify)",Scoring!$C$33,IF(OR(D406="Credit period",D406="Superseded record"),Scoring!$C$35,Scoring!$C$34)))))</f>
        <v>4</v>
      </c>
      <c r="AF406" s="22" t="n">
        <f aca="false">IF(T406="Y",0,IF(ISNUMBER(V406),IF(Scoring!$B$4-V406&gt;15,Scoring!$C$36,IF(Scoring!$B$4-V406&gt;=10,Scoring!$C$37,IF(Scoring!$B$4-V406&gt;=5,Scoring!$C$38,Scoring!$C$39))),IF(OR(N406="",D406="Out of program"),Scoring!$C$40,IF(O406&gt;15,Scoring!$C$36,IF(O406&gt;=10,Scoring!$C$37,IF(O406&gt;=5,Scoring!$C$38,Scoring!$C$39))))))</f>
        <v>15</v>
      </c>
      <c r="AG406" s="22" t="n">
        <f aca="false">IF(T406="Y",0,IF(Y406="Y",Scoring!$C$41,IF(ISNUMBER(O406),IF(O406&gt;=25,Scoring!$C$42,IF(O406&gt;=15,Scoring!$C$43,Scoring!$C$44)),Scoring!$C$44)))</f>
        <v>5</v>
      </c>
      <c r="AH406" s="22" t="n">
        <f aca="false">IF(T406="Y",0,IF(W406="",Scoring!$C$49,IFERROR(VLOOKUP(W406,Scoring!$B$45:$C$48,2,FALSE()),Scoring!$C$49)))</f>
        <v>5</v>
      </c>
      <c r="AI406" s="23" t="n">
        <f aca="false">C406+IF(ISNUMBER(J406),J406,0)/100000+(10000-ROW())/1000000000</f>
        <v>49.000609594</v>
      </c>
      <c r="AJ406" s="18"/>
      <c r="AK406" s="18"/>
      <c r="AL406" s="18"/>
      <c r="AM406" s="18"/>
    </row>
    <row r="407" customFormat="false" ht="15" hidden="false" customHeight="false" outlineLevel="0" collapsed="false">
      <c r="A407" s="15" t="n">
        <f aca="false">RANK(AI407,$AI$2:$AI$755)</f>
        <v>406</v>
      </c>
      <c r="B407" s="16" t="str">
        <f aca="false">IF(T407="Y","Superseded",IF(C407&gt;=Scoring!$B$16,"Immediate",IF(C407&gt;=Scoring!$B$17,"This week",IF(C407&gt;=Scoring!$B$18,"Nurture","Low"))))</f>
        <v>Nurture</v>
      </c>
      <c r="C407" s="3" t="n">
        <f aca="false">SUM(AC407:AH407)</f>
        <v>49</v>
      </c>
      <c r="D407" s="15" t="str">
        <f aca="false">IF(T407="Y","Superseded record",IF(AND(U407&lt;&gt;"",AA407&lt;0),"Expired (verified)",IF(AND(U407&lt;&gt;"",AA407&lt;=Scoring!$B$5),"Expiring: notice window (verified)",IF(AND(U407&lt;&gt;"",AA407&lt;=Scoring!$B$6),"Expiring: 10-yr horizon (verified)",IF(M407="No Longer Monitored","Out of program",IF(N407="","Unknown vintage",IF(N407&lt;Scoring!$B$12,"Pre-1990, still listed",IF(AND(U407="",AA407&lt;0),"Past 30-yr mark (verify)",IF(AND(U407="",AA407&lt;=Scoring!$B$5),"30-yr mark: notice window (est.)",IF(AND(O407&gt;=Scoring!$B$7,O407&lt;=Scoring!$B$8),"Year-15 window",IF(O407&gt;=Scoring!$B$9,"Recap window",IF(O407&gt;=11,"Late compliance","Credit period"))))))))))))</f>
        <v>Recap window</v>
      </c>
      <c r="E407" s="15" t="s">
        <v>1531</v>
      </c>
      <c r="F407" s="15" t="s">
        <v>1532</v>
      </c>
      <c r="G407" s="15" t="s">
        <v>1533</v>
      </c>
      <c r="H407" s="15" t="s">
        <v>232</v>
      </c>
      <c r="I407" s="15" t="s">
        <v>358</v>
      </c>
      <c r="J407" s="15" t="n">
        <v>60</v>
      </c>
      <c r="K407" s="15" t="n">
        <v>60</v>
      </c>
      <c r="L407" s="15" t="n">
        <f aca="false">IF(OR(J407="",K407=""),"",MAX(J407-K407,0))</f>
        <v>0</v>
      </c>
      <c r="M407" s="15" t="s">
        <v>99</v>
      </c>
      <c r="N407" s="17" t="n">
        <v>2005</v>
      </c>
      <c r="O407" s="15" t="n">
        <f aca="false">IF(N407="","",Scoring!$B$4-N407)</f>
        <v>21</v>
      </c>
      <c r="P407" s="15" t="n">
        <f aca="false">IF(N407="","",N407+14)</f>
        <v>2019</v>
      </c>
      <c r="Q407" s="15" t="n">
        <f aca="false">IF(N407="","",IF(N407&lt;Scoring!$B$12,"n/a (pre-1990)",N407+Scoring!$B$13))</f>
        <v>2034</v>
      </c>
      <c r="R407" s="15" t="str">
        <f aca="false">IF(J407="","Unknown",IF(J407&gt;=5,"Yes","No (under 5 units)"))</f>
        <v>Yes</v>
      </c>
      <c r="S407" s="15"/>
      <c r="T407" s="18"/>
      <c r="U407" s="19"/>
      <c r="V407" s="18"/>
      <c r="W407" s="18"/>
      <c r="X407" s="20"/>
      <c r="Y407" s="18"/>
      <c r="Z407" s="18"/>
      <c r="AA407" s="21" t="n">
        <f aca="false">IF(U407&lt;&gt;"",(U407-Scoring!$B$3)/365.25,IF(N407="","",IF(N407&lt;Scoring!$B$12,"",(DATE(N407+Scoring!$B$13,12,31)-Scoring!$B$3)/365.25)))</f>
        <v>8.24640657084189</v>
      </c>
      <c r="AB407" s="22" t="n">
        <f aca="false">IF(T407="Y",0,IF(OR(D407="Expired (verified)",D407="Expiring: notice window (verified)",D407="Expiring: 10-yr horizon (verified)",D407="Past 30-yr mark (verify)",D407="30-yr mark: notice window (est.)",D407="Year-15 window"),1,0)+IF(ISNUMBER(O407),IF(O407&gt;=Scoring!$B$10,1,0),0)+IF(AND(ISNUMBER(L407),ISNUMBER(J407)),IF(J407&gt;0,IF(L407/J407&gt;=Scoring!$B$11,1,0),0),0)+IF(ISNUMBER(Z407),MIN(Z407,3),0))</f>
        <v>1</v>
      </c>
      <c r="AC407" s="22" t="n">
        <f aca="false">IF(AB407&gt;=3,Scoring!$C$24,IF(AB407=2,Scoring!$C$23,IF(AB407=1,Scoring!$C$22,0)))</f>
        <v>10</v>
      </c>
      <c r="AD407" s="22" t="n">
        <f aca="false">IF(T407="Y",0,IF(ISNUMBER(X407),IF(X407&gt;0.7,Scoring!$C$25,IF(X407&gt;=0.5,Scoring!$C$26,IF(X407&gt;=0.3,Scoring!$C$27,Scoring!$C$28))),Scoring!$C$29))</f>
        <v>10</v>
      </c>
      <c r="AE407" s="22" t="n">
        <f aca="false">IF(D407="Expiring: notice window (verified)",Scoring!$C$30,IF(OR(D407="Expired (verified)",D407="30-yr mark: notice window (est.)",D407="Year-15 window"),Scoring!$C$31,IF(D407="Expiring: 10-yr horizon (verified)",Scoring!$C$32,IF(D407="Past 30-yr mark (verify)",Scoring!$C$33,IF(OR(D407="Credit period",D407="Superseded record"),Scoring!$C$35,Scoring!$C$34)))))</f>
        <v>4</v>
      </c>
      <c r="AF407" s="22" t="n">
        <f aca="false">IF(T407="Y",0,IF(ISNUMBER(V407),IF(Scoring!$B$4-V407&gt;15,Scoring!$C$36,IF(Scoring!$B$4-V407&gt;=10,Scoring!$C$37,IF(Scoring!$B$4-V407&gt;=5,Scoring!$C$38,Scoring!$C$39))),IF(OR(N407="",D407="Out of program"),Scoring!$C$40,IF(O407&gt;15,Scoring!$C$36,IF(O407&gt;=10,Scoring!$C$37,IF(O407&gt;=5,Scoring!$C$38,Scoring!$C$39))))))</f>
        <v>15</v>
      </c>
      <c r="AG407" s="22" t="n">
        <f aca="false">IF(T407="Y",0,IF(Y407="Y",Scoring!$C$41,IF(ISNUMBER(O407),IF(O407&gt;=25,Scoring!$C$42,IF(O407&gt;=15,Scoring!$C$43,Scoring!$C$44)),Scoring!$C$44)))</f>
        <v>5</v>
      </c>
      <c r="AH407" s="22" t="n">
        <f aca="false">IF(T407="Y",0,IF(W407="",Scoring!$C$49,IFERROR(VLOOKUP(W407,Scoring!$B$45:$C$48,2,FALSE()),Scoring!$C$49)))</f>
        <v>5</v>
      </c>
      <c r="AI407" s="23" t="n">
        <f aca="false">C407+IF(ISNUMBER(J407),J407,0)/100000+(10000-ROW())/1000000000</f>
        <v>49.000609593</v>
      </c>
      <c r="AJ407" s="18"/>
      <c r="AK407" s="18"/>
      <c r="AL407" s="18"/>
      <c r="AM407" s="18"/>
    </row>
    <row r="408" customFormat="false" ht="15" hidden="false" customHeight="false" outlineLevel="0" collapsed="false">
      <c r="A408" s="15" t="n">
        <f aca="false">RANK(AI408,$AI$2:$AI$755)</f>
        <v>407</v>
      </c>
      <c r="B408" s="16" t="str">
        <f aca="false">IF(T408="Y","Superseded",IF(C408&gt;=Scoring!$B$16,"Immediate",IF(C408&gt;=Scoring!$B$17,"This week",IF(C408&gt;=Scoring!$B$18,"Nurture","Low"))))</f>
        <v>Nurture</v>
      </c>
      <c r="C408" s="3" t="n">
        <f aca="false">SUM(AC408:AH408)</f>
        <v>49</v>
      </c>
      <c r="D408" s="15" t="str">
        <f aca="false">IF(T408="Y","Superseded record",IF(AND(U408&lt;&gt;"",AA408&lt;0),"Expired (verified)",IF(AND(U408&lt;&gt;"",AA408&lt;=Scoring!$B$5),"Expiring: notice window (verified)",IF(AND(U408&lt;&gt;"",AA408&lt;=Scoring!$B$6),"Expiring: 10-yr horizon (verified)",IF(M408="No Longer Monitored","Out of program",IF(N408="","Unknown vintage",IF(N408&lt;Scoring!$B$12,"Pre-1990, still listed",IF(AND(U408="",AA408&lt;0),"Past 30-yr mark (verify)",IF(AND(U408="",AA408&lt;=Scoring!$B$5),"30-yr mark: notice window (est.)",IF(AND(O408&gt;=Scoring!$B$7,O408&lt;=Scoring!$B$8),"Year-15 window",IF(O408&gt;=Scoring!$B$9,"Recap window",IF(O408&gt;=11,"Late compliance","Credit period"))))))))))))</f>
        <v>Recap window</v>
      </c>
      <c r="E408" s="15" t="s">
        <v>1534</v>
      </c>
      <c r="F408" s="15" t="s">
        <v>1535</v>
      </c>
      <c r="G408" s="15" t="s">
        <v>1536</v>
      </c>
      <c r="H408" s="15" t="s">
        <v>888</v>
      </c>
      <c r="I408" s="15" t="s">
        <v>889</v>
      </c>
      <c r="J408" s="15" t="n">
        <v>60</v>
      </c>
      <c r="K408" s="15" t="n">
        <v>58</v>
      </c>
      <c r="L408" s="15" t="n">
        <f aca="false">IF(OR(J408="",K408=""),"",MAX(J408-K408,0))</f>
        <v>2</v>
      </c>
      <c r="M408" s="15" t="s">
        <v>99</v>
      </c>
      <c r="N408" s="17" t="n">
        <v>2006</v>
      </c>
      <c r="O408" s="15" t="n">
        <f aca="false">IF(N408="","",Scoring!$B$4-N408)</f>
        <v>20</v>
      </c>
      <c r="P408" s="15" t="n">
        <f aca="false">IF(N408="","",N408+14)</f>
        <v>2020</v>
      </c>
      <c r="Q408" s="15" t="n">
        <f aca="false">IF(N408="","",IF(N408&lt;Scoring!$B$12,"n/a (pre-1990)",N408+Scoring!$B$13))</f>
        <v>2035</v>
      </c>
      <c r="R408" s="15" t="str">
        <f aca="false">IF(J408="","Unknown",IF(J408&gt;=5,"Yes","No (under 5 units)"))</f>
        <v>Yes</v>
      </c>
      <c r="S408" s="15"/>
      <c r="T408" s="18"/>
      <c r="U408" s="19"/>
      <c r="V408" s="18"/>
      <c r="W408" s="18"/>
      <c r="X408" s="20"/>
      <c r="Y408" s="18"/>
      <c r="Z408" s="18"/>
      <c r="AA408" s="21" t="n">
        <f aca="false">IF(U408&lt;&gt;"",(U408-Scoring!$B$3)/365.25,IF(N408="","",IF(N408&lt;Scoring!$B$12,"",(DATE(N408+Scoring!$B$13,12,31)-Scoring!$B$3)/365.25)))</f>
        <v>9.24572210814511</v>
      </c>
      <c r="AB408" s="22" t="n">
        <f aca="false">IF(T408="Y",0,IF(OR(D408="Expired (verified)",D408="Expiring: notice window (verified)",D408="Expiring: 10-yr horizon (verified)",D408="Past 30-yr mark (verify)",D408="30-yr mark: notice window (est.)",D408="Year-15 window"),1,0)+IF(ISNUMBER(O408),IF(O408&gt;=Scoring!$B$10,1,0),0)+IF(AND(ISNUMBER(L408),ISNUMBER(J408)),IF(J408&gt;0,IF(L408/J408&gt;=Scoring!$B$11,1,0),0),0)+IF(ISNUMBER(Z408),MIN(Z408,3),0))</f>
        <v>1</v>
      </c>
      <c r="AC408" s="22" t="n">
        <f aca="false">IF(AB408&gt;=3,Scoring!$C$24,IF(AB408=2,Scoring!$C$23,IF(AB408=1,Scoring!$C$22,0)))</f>
        <v>10</v>
      </c>
      <c r="AD408" s="22" t="n">
        <f aca="false">IF(T408="Y",0,IF(ISNUMBER(X408),IF(X408&gt;0.7,Scoring!$C$25,IF(X408&gt;=0.5,Scoring!$C$26,IF(X408&gt;=0.3,Scoring!$C$27,Scoring!$C$28))),Scoring!$C$29))</f>
        <v>10</v>
      </c>
      <c r="AE408" s="22" t="n">
        <f aca="false">IF(D408="Expiring: notice window (verified)",Scoring!$C$30,IF(OR(D408="Expired (verified)",D408="30-yr mark: notice window (est.)",D408="Year-15 window"),Scoring!$C$31,IF(D408="Expiring: 10-yr horizon (verified)",Scoring!$C$32,IF(D408="Past 30-yr mark (verify)",Scoring!$C$33,IF(OR(D408="Credit period",D408="Superseded record"),Scoring!$C$35,Scoring!$C$34)))))</f>
        <v>4</v>
      </c>
      <c r="AF408" s="22" t="n">
        <f aca="false">IF(T408="Y",0,IF(ISNUMBER(V408),IF(Scoring!$B$4-V408&gt;15,Scoring!$C$36,IF(Scoring!$B$4-V408&gt;=10,Scoring!$C$37,IF(Scoring!$B$4-V408&gt;=5,Scoring!$C$38,Scoring!$C$39))),IF(OR(N408="",D408="Out of program"),Scoring!$C$40,IF(O408&gt;15,Scoring!$C$36,IF(O408&gt;=10,Scoring!$C$37,IF(O408&gt;=5,Scoring!$C$38,Scoring!$C$39))))))</f>
        <v>15</v>
      </c>
      <c r="AG408" s="22" t="n">
        <f aca="false">IF(T408="Y",0,IF(Y408="Y",Scoring!$C$41,IF(ISNUMBER(O408),IF(O408&gt;=25,Scoring!$C$42,IF(O408&gt;=15,Scoring!$C$43,Scoring!$C$44)),Scoring!$C$44)))</f>
        <v>5</v>
      </c>
      <c r="AH408" s="22" t="n">
        <f aca="false">IF(T408="Y",0,IF(W408="",Scoring!$C$49,IFERROR(VLOOKUP(W408,Scoring!$B$45:$C$48,2,FALSE()),Scoring!$C$49)))</f>
        <v>5</v>
      </c>
      <c r="AI408" s="23" t="n">
        <f aca="false">C408+IF(ISNUMBER(J408),J408,0)/100000+(10000-ROW())/1000000000</f>
        <v>49.000609592</v>
      </c>
      <c r="AJ408" s="18"/>
      <c r="AK408" s="18"/>
      <c r="AL408" s="18"/>
      <c r="AM408" s="18"/>
    </row>
    <row r="409" customFormat="false" ht="15" hidden="false" customHeight="false" outlineLevel="0" collapsed="false">
      <c r="A409" s="15" t="n">
        <f aca="false">RANK(AI409,$AI$2:$AI$755)</f>
        <v>408</v>
      </c>
      <c r="B409" s="16" t="str">
        <f aca="false">IF(T409="Y","Superseded",IF(C409&gt;=Scoring!$B$16,"Immediate",IF(C409&gt;=Scoring!$B$17,"This week",IF(C409&gt;=Scoring!$B$18,"Nurture","Low"))))</f>
        <v>Nurture</v>
      </c>
      <c r="C409" s="3" t="n">
        <f aca="false">SUM(AC409:AH409)</f>
        <v>49</v>
      </c>
      <c r="D409" s="15" t="str">
        <f aca="false">IF(T409="Y","Superseded record",IF(AND(U409&lt;&gt;"",AA409&lt;0),"Expired (verified)",IF(AND(U409&lt;&gt;"",AA409&lt;=Scoring!$B$5),"Expiring: notice window (verified)",IF(AND(U409&lt;&gt;"",AA409&lt;=Scoring!$B$6),"Expiring: 10-yr horizon (verified)",IF(M409="No Longer Monitored","Out of program",IF(N409="","Unknown vintage",IF(N409&lt;Scoring!$B$12,"Pre-1990, still listed",IF(AND(U409="",AA409&lt;0),"Past 30-yr mark (verify)",IF(AND(U409="",AA409&lt;=Scoring!$B$5),"30-yr mark: notice window (est.)",IF(AND(O409&gt;=Scoring!$B$7,O409&lt;=Scoring!$B$8),"Year-15 window",IF(O409&gt;=Scoring!$B$9,"Recap window",IF(O409&gt;=11,"Late compliance","Credit period"))))))))))))</f>
        <v>Recap window</v>
      </c>
      <c r="E409" s="15" t="s">
        <v>1537</v>
      </c>
      <c r="F409" s="15" t="s">
        <v>1538</v>
      </c>
      <c r="G409" s="15" t="s">
        <v>1539</v>
      </c>
      <c r="H409" s="15" t="s">
        <v>1540</v>
      </c>
      <c r="I409" s="15" t="s">
        <v>1541</v>
      </c>
      <c r="J409" s="15" t="n">
        <v>57</v>
      </c>
      <c r="K409" s="15" t="n">
        <v>57</v>
      </c>
      <c r="L409" s="15" t="n">
        <f aca="false">IF(OR(J409="",K409=""),"",MAX(J409-K409,0))</f>
        <v>0</v>
      </c>
      <c r="M409" s="15" t="s">
        <v>99</v>
      </c>
      <c r="N409" s="17" t="n">
        <v>2005</v>
      </c>
      <c r="O409" s="15" t="n">
        <f aca="false">IF(N409="","",Scoring!$B$4-N409)</f>
        <v>21</v>
      </c>
      <c r="P409" s="15" t="n">
        <f aca="false">IF(N409="","",N409+14)</f>
        <v>2019</v>
      </c>
      <c r="Q409" s="15" t="n">
        <f aca="false">IF(N409="","",IF(N409&lt;Scoring!$B$12,"n/a (pre-1990)",N409+Scoring!$B$13))</f>
        <v>2034</v>
      </c>
      <c r="R409" s="15" t="str">
        <f aca="false">IF(J409="","Unknown",IF(J409&gt;=5,"Yes","No (under 5 units)"))</f>
        <v>Yes</v>
      </c>
      <c r="S409" s="15"/>
      <c r="T409" s="18"/>
      <c r="U409" s="19"/>
      <c r="V409" s="18"/>
      <c r="W409" s="18"/>
      <c r="X409" s="20"/>
      <c r="Y409" s="18"/>
      <c r="Z409" s="18"/>
      <c r="AA409" s="21" t="n">
        <f aca="false">IF(U409&lt;&gt;"",(U409-Scoring!$B$3)/365.25,IF(N409="","",IF(N409&lt;Scoring!$B$12,"",(DATE(N409+Scoring!$B$13,12,31)-Scoring!$B$3)/365.25)))</f>
        <v>8.24640657084189</v>
      </c>
      <c r="AB409" s="22" t="n">
        <f aca="false">IF(T409="Y",0,IF(OR(D409="Expired (verified)",D409="Expiring: notice window (verified)",D409="Expiring: 10-yr horizon (verified)",D409="Past 30-yr mark (verify)",D409="30-yr mark: notice window (est.)",D409="Year-15 window"),1,0)+IF(ISNUMBER(O409),IF(O409&gt;=Scoring!$B$10,1,0),0)+IF(AND(ISNUMBER(L409),ISNUMBER(J409)),IF(J409&gt;0,IF(L409/J409&gt;=Scoring!$B$11,1,0),0),0)+IF(ISNUMBER(Z409),MIN(Z409,3),0))</f>
        <v>1</v>
      </c>
      <c r="AC409" s="22" t="n">
        <f aca="false">IF(AB409&gt;=3,Scoring!$C$24,IF(AB409=2,Scoring!$C$23,IF(AB409=1,Scoring!$C$22,0)))</f>
        <v>10</v>
      </c>
      <c r="AD409" s="22" t="n">
        <f aca="false">IF(T409="Y",0,IF(ISNUMBER(X409),IF(X409&gt;0.7,Scoring!$C$25,IF(X409&gt;=0.5,Scoring!$C$26,IF(X409&gt;=0.3,Scoring!$C$27,Scoring!$C$28))),Scoring!$C$29))</f>
        <v>10</v>
      </c>
      <c r="AE409" s="22" t="n">
        <f aca="false">IF(D409="Expiring: notice window (verified)",Scoring!$C$30,IF(OR(D409="Expired (verified)",D409="30-yr mark: notice window (est.)",D409="Year-15 window"),Scoring!$C$31,IF(D409="Expiring: 10-yr horizon (verified)",Scoring!$C$32,IF(D409="Past 30-yr mark (verify)",Scoring!$C$33,IF(OR(D409="Credit period",D409="Superseded record"),Scoring!$C$35,Scoring!$C$34)))))</f>
        <v>4</v>
      </c>
      <c r="AF409" s="22" t="n">
        <f aca="false">IF(T409="Y",0,IF(ISNUMBER(V409),IF(Scoring!$B$4-V409&gt;15,Scoring!$C$36,IF(Scoring!$B$4-V409&gt;=10,Scoring!$C$37,IF(Scoring!$B$4-V409&gt;=5,Scoring!$C$38,Scoring!$C$39))),IF(OR(N409="",D409="Out of program"),Scoring!$C$40,IF(O409&gt;15,Scoring!$C$36,IF(O409&gt;=10,Scoring!$C$37,IF(O409&gt;=5,Scoring!$C$38,Scoring!$C$39))))))</f>
        <v>15</v>
      </c>
      <c r="AG409" s="22" t="n">
        <f aca="false">IF(T409="Y",0,IF(Y409="Y",Scoring!$C$41,IF(ISNUMBER(O409),IF(O409&gt;=25,Scoring!$C$42,IF(O409&gt;=15,Scoring!$C$43,Scoring!$C$44)),Scoring!$C$44)))</f>
        <v>5</v>
      </c>
      <c r="AH409" s="22" t="n">
        <f aca="false">IF(T409="Y",0,IF(W409="",Scoring!$C$49,IFERROR(VLOOKUP(W409,Scoring!$B$45:$C$48,2,FALSE()),Scoring!$C$49)))</f>
        <v>5</v>
      </c>
      <c r="AI409" s="23" t="n">
        <f aca="false">C409+IF(ISNUMBER(J409),J409,0)/100000+(10000-ROW())/1000000000</f>
        <v>49.000579591</v>
      </c>
      <c r="AJ409" s="18"/>
      <c r="AK409" s="18"/>
      <c r="AL409" s="18"/>
      <c r="AM409" s="18"/>
    </row>
    <row r="410" customFormat="false" ht="15" hidden="false" customHeight="false" outlineLevel="0" collapsed="false">
      <c r="A410" s="15" t="n">
        <f aca="false">RANK(AI410,$AI$2:$AI$755)</f>
        <v>409</v>
      </c>
      <c r="B410" s="16" t="str">
        <f aca="false">IF(T410="Y","Superseded",IF(C410&gt;=Scoring!$B$16,"Immediate",IF(C410&gt;=Scoring!$B$17,"This week",IF(C410&gt;=Scoring!$B$18,"Nurture","Low"))))</f>
        <v>Nurture</v>
      </c>
      <c r="C410" s="3" t="n">
        <f aca="false">SUM(AC410:AH410)</f>
        <v>49</v>
      </c>
      <c r="D410" s="15" t="str">
        <f aca="false">IF(T410="Y","Superseded record",IF(AND(U410&lt;&gt;"",AA410&lt;0),"Expired (verified)",IF(AND(U410&lt;&gt;"",AA410&lt;=Scoring!$B$5),"Expiring: notice window (verified)",IF(AND(U410&lt;&gt;"",AA410&lt;=Scoring!$B$6),"Expiring: 10-yr horizon (verified)",IF(M410="No Longer Monitored","Out of program",IF(N410="","Unknown vintage",IF(N410&lt;Scoring!$B$12,"Pre-1990, still listed",IF(AND(U410="",AA410&lt;0),"Past 30-yr mark (verify)",IF(AND(U410="",AA410&lt;=Scoring!$B$5),"30-yr mark: notice window (est.)",IF(AND(O410&gt;=Scoring!$B$7,O410&lt;=Scoring!$B$8),"Year-15 window",IF(O410&gt;=Scoring!$B$9,"Recap window",IF(O410&gt;=11,"Late compliance","Credit period"))))))))))))</f>
        <v>Recap window</v>
      </c>
      <c r="E410" s="15" t="s">
        <v>1542</v>
      </c>
      <c r="F410" s="15" t="s">
        <v>1543</v>
      </c>
      <c r="G410" s="15" t="s">
        <v>1544</v>
      </c>
      <c r="H410" s="15" t="s">
        <v>1150</v>
      </c>
      <c r="I410" s="15" t="s">
        <v>1155</v>
      </c>
      <c r="J410" s="15" t="n">
        <v>56</v>
      </c>
      <c r="K410" s="15" t="n">
        <v>56</v>
      </c>
      <c r="L410" s="15" t="n">
        <f aca="false">IF(OR(J410="",K410=""),"",MAX(J410-K410,0))</f>
        <v>0</v>
      </c>
      <c r="M410" s="15" t="s">
        <v>99</v>
      </c>
      <c r="N410" s="17" t="n">
        <v>2002</v>
      </c>
      <c r="O410" s="15" t="n">
        <f aca="false">IF(N410="","",Scoring!$B$4-N410)</f>
        <v>24</v>
      </c>
      <c r="P410" s="15" t="n">
        <f aca="false">IF(N410="","",N410+14)</f>
        <v>2016</v>
      </c>
      <c r="Q410" s="15" t="n">
        <f aca="false">IF(N410="","",IF(N410&lt;Scoring!$B$12,"n/a (pre-1990)",N410+Scoring!$B$13))</f>
        <v>2031</v>
      </c>
      <c r="R410" s="15" t="str">
        <f aca="false">IF(J410="","Unknown",IF(J410&gt;=5,"Yes","No (under 5 units)"))</f>
        <v>Yes</v>
      </c>
      <c r="S410" s="15"/>
      <c r="T410" s="18"/>
      <c r="U410" s="19"/>
      <c r="V410" s="18"/>
      <c r="W410" s="18"/>
      <c r="X410" s="20"/>
      <c r="Y410" s="18"/>
      <c r="Z410" s="18"/>
      <c r="AA410" s="21" t="n">
        <f aca="false">IF(U410&lt;&gt;"",(U410-Scoring!$B$3)/365.25,IF(N410="","",IF(N410&lt;Scoring!$B$12,"",(DATE(N410+Scoring!$B$13,12,31)-Scoring!$B$3)/365.25)))</f>
        <v>5.24572210814511</v>
      </c>
      <c r="AB410" s="22" t="n">
        <f aca="false">IF(T410="Y",0,IF(OR(D410="Expired (verified)",D410="Expiring: notice window (verified)",D410="Expiring: 10-yr horizon (verified)",D410="Past 30-yr mark (verify)",D410="30-yr mark: notice window (est.)",D410="Year-15 window"),1,0)+IF(ISNUMBER(O410),IF(O410&gt;=Scoring!$B$10,1,0),0)+IF(AND(ISNUMBER(L410),ISNUMBER(J410)),IF(J410&gt;0,IF(L410/J410&gt;=Scoring!$B$11,1,0),0),0)+IF(ISNUMBER(Z410),MIN(Z410,3),0))</f>
        <v>1</v>
      </c>
      <c r="AC410" s="22" t="n">
        <f aca="false">IF(AB410&gt;=3,Scoring!$C$24,IF(AB410=2,Scoring!$C$23,IF(AB410=1,Scoring!$C$22,0)))</f>
        <v>10</v>
      </c>
      <c r="AD410" s="22" t="n">
        <f aca="false">IF(T410="Y",0,IF(ISNUMBER(X410),IF(X410&gt;0.7,Scoring!$C$25,IF(X410&gt;=0.5,Scoring!$C$26,IF(X410&gt;=0.3,Scoring!$C$27,Scoring!$C$28))),Scoring!$C$29))</f>
        <v>10</v>
      </c>
      <c r="AE410" s="22" t="n">
        <f aca="false">IF(D410="Expiring: notice window (verified)",Scoring!$C$30,IF(OR(D410="Expired (verified)",D410="30-yr mark: notice window (est.)",D410="Year-15 window"),Scoring!$C$31,IF(D410="Expiring: 10-yr horizon (verified)",Scoring!$C$32,IF(D410="Past 30-yr mark (verify)",Scoring!$C$33,IF(OR(D410="Credit period",D410="Superseded record"),Scoring!$C$35,Scoring!$C$34)))))</f>
        <v>4</v>
      </c>
      <c r="AF410" s="22" t="n">
        <f aca="false">IF(T410="Y",0,IF(ISNUMBER(V410),IF(Scoring!$B$4-V410&gt;15,Scoring!$C$36,IF(Scoring!$B$4-V410&gt;=10,Scoring!$C$37,IF(Scoring!$B$4-V410&gt;=5,Scoring!$C$38,Scoring!$C$39))),IF(OR(N410="",D410="Out of program"),Scoring!$C$40,IF(O410&gt;15,Scoring!$C$36,IF(O410&gt;=10,Scoring!$C$37,IF(O410&gt;=5,Scoring!$C$38,Scoring!$C$39))))))</f>
        <v>15</v>
      </c>
      <c r="AG410" s="22" t="n">
        <f aca="false">IF(T410="Y",0,IF(Y410="Y",Scoring!$C$41,IF(ISNUMBER(O410),IF(O410&gt;=25,Scoring!$C$42,IF(O410&gt;=15,Scoring!$C$43,Scoring!$C$44)),Scoring!$C$44)))</f>
        <v>5</v>
      </c>
      <c r="AH410" s="22" t="n">
        <f aca="false">IF(T410="Y",0,IF(W410="",Scoring!$C$49,IFERROR(VLOOKUP(W410,Scoring!$B$45:$C$48,2,FALSE()),Scoring!$C$49)))</f>
        <v>5</v>
      </c>
      <c r="AI410" s="23" t="n">
        <f aca="false">C410+IF(ISNUMBER(J410),J410,0)/100000+(10000-ROW())/1000000000</f>
        <v>49.00056959</v>
      </c>
      <c r="AJ410" s="18"/>
      <c r="AK410" s="18"/>
      <c r="AL410" s="18"/>
      <c r="AM410" s="18"/>
    </row>
    <row r="411" customFormat="false" ht="15" hidden="false" customHeight="false" outlineLevel="0" collapsed="false">
      <c r="A411" s="15" t="n">
        <f aca="false">RANK(AI411,$AI$2:$AI$755)</f>
        <v>410</v>
      </c>
      <c r="B411" s="16" t="str">
        <f aca="false">IF(T411="Y","Superseded",IF(C411&gt;=Scoring!$B$16,"Immediate",IF(C411&gt;=Scoring!$B$17,"This week",IF(C411&gt;=Scoring!$B$18,"Nurture","Low"))))</f>
        <v>Nurture</v>
      </c>
      <c r="C411" s="3" t="n">
        <f aca="false">SUM(AC411:AH411)</f>
        <v>49</v>
      </c>
      <c r="D411" s="15" t="str">
        <f aca="false">IF(T411="Y","Superseded record",IF(AND(U411&lt;&gt;"",AA411&lt;0),"Expired (verified)",IF(AND(U411&lt;&gt;"",AA411&lt;=Scoring!$B$5),"Expiring: notice window (verified)",IF(AND(U411&lt;&gt;"",AA411&lt;=Scoring!$B$6),"Expiring: 10-yr horizon (verified)",IF(M411="No Longer Monitored","Out of program",IF(N411="","Unknown vintage",IF(N411&lt;Scoring!$B$12,"Pre-1990, still listed",IF(AND(U411="",AA411&lt;0),"Past 30-yr mark (verify)",IF(AND(U411="",AA411&lt;=Scoring!$B$5),"30-yr mark: notice window (est.)",IF(AND(O411&gt;=Scoring!$B$7,O411&lt;=Scoring!$B$8),"Year-15 window",IF(O411&gt;=Scoring!$B$9,"Recap window",IF(O411&gt;=11,"Late compliance","Credit period"))))))))))))</f>
        <v>Recap window</v>
      </c>
      <c r="E411" s="15" t="s">
        <v>1545</v>
      </c>
      <c r="F411" s="15" t="s">
        <v>1546</v>
      </c>
      <c r="G411" s="15" t="s">
        <v>1547</v>
      </c>
      <c r="H411" s="15" t="s">
        <v>185</v>
      </c>
      <c r="I411" s="15" t="s">
        <v>186</v>
      </c>
      <c r="J411" s="15" t="n">
        <v>56</v>
      </c>
      <c r="K411" s="15" t="n">
        <v>56</v>
      </c>
      <c r="L411" s="15" t="n">
        <f aca="false">IF(OR(J411="",K411=""),"",MAX(J411-K411,0))</f>
        <v>0</v>
      </c>
      <c r="M411" s="15" t="s">
        <v>99</v>
      </c>
      <c r="N411" s="17" t="n">
        <v>2002</v>
      </c>
      <c r="O411" s="15" t="n">
        <f aca="false">IF(N411="","",Scoring!$B$4-N411)</f>
        <v>24</v>
      </c>
      <c r="P411" s="15" t="n">
        <f aca="false">IF(N411="","",N411+14)</f>
        <v>2016</v>
      </c>
      <c r="Q411" s="15" t="n">
        <f aca="false">IF(N411="","",IF(N411&lt;Scoring!$B$12,"n/a (pre-1990)",N411+Scoring!$B$13))</f>
        <v>2031</v>
      </c>
      <c r="R411" s="15" t="str">
        <f aca="false">IF(J411="","Unknown",IF(J411&gt;=5,"Yes","No (under 5 units)"))</f>
        <v>Yes</v>
      </c>
      <c r="S411" s="15"/>
      <c r="T411" s="18"/>
      <c r="U411" s="19"/>
      <c r="V411" s="18"/>
      <c r="W411" s="18"/>
      <c r="X411" s="20"/>
      <c r="Y411" s="18"/>
      <c r="Z411" s="18"/>
      <c r="AA411" s="21" t="n">
        <f aca="false">IF(U411&lt;&gt;"",(U411-Scoring!$B$3)/365.25,IF(N411="","",IF(N411&lt;Scoring!$B$12,"",(DATE(N411+Scoring!$B$13,12,31)-Scoring!$B$3)/365.25)))</f>
        <v>5.24572210814511</v>
      </c>
      <c r="AB411" s="22" t="n">
        <f aca="false">IF(T411="Y",0,IF(OR(D411="Expired (verified)",D411="Expiring: notice window (verified)",D411="Expiring: 10-yr horizon (verified)",D411="Past 30-yr mark (verify)",D411="30-yr mark: notice window (est.)",D411="Year-15 window"),1,0)+IF(ISNUMBER(O411),IF(O411&gt;=Scoring!$B$10,1,0),0)+IF(AND(ISNUMBER(L411),ISNUMBER(J411)),IF(J411&gt;0,IF(L411/J411&gt;=Scoring!$B$11,1,0),0),0)+IF(ISNUMBER(Z411),MIN(Z411,3),0))</f>
        <v>1</v>
      </c>
      <c r="AC411" s="22" t="n">
        <f aca="false">IF(AB411&gt;=3,Scoring!$C$24,IF(AB411=2,Scoring!$C$23,IF(AB411=1,Scoring!$C$22,0)))</f>
        <v>10</v>
      </c>
      <c r="AD411" s="22" t="n">
        <f aca="false">IF(T411="Y",0,IF(ISNUMBER(X411),IF(X411&gt;0.7,Scoring!$C$25,IF(X411&gt;=0.5,Scoring!$C$26,IF(X411&gt;=0.3,Scoring!$C$27,Scoring!$C$28))),Scoring!$C$29))</f>
        <v>10</v>
      </c>
      <c r="AE411" s="22" t="n">
        <f aca="false">IF(D411="Expiring: notice window (verified)",Scoring!$C$30,IF(OR(D411="Expired (verified)",D411="30-yr mark: notice window (est.)",D411="Year-15 window"),Scoring!$C$31,IF(D411="Expiring: 10-yr horizon (verified)",Scoring!$C$32,IF(D411="Past 30-yr mark (verify)",Scoring!$C$33,IF(OR(D411="Credit period",D411="Superseded record"),Scoring!$C$35,Scoring!$C$34)))))</f>
        <v>4</v>
      </c>
      <c r="AF411" s="22" t="n">
        <f aca="false">IF(T411="Y",0,IF(ISNUMBER(V411),IF(Scoring!$B$4-V411&gt;15,Scoring!$C$36,IF(Scoring!$B$4-V411&gt;=10,Scoring!$C$37,IF(Scoring!$B$4-V411&gt;=5,Scoring!$C$38,Scoring!$C$39))),IF(OR(N411="",D411="Out of program"),Scoring!$C$40,IF(O411&gt;15,Scoring!$C$36,IF(O411&gt;=10,Scoring!$C$37,IF(O411&gt;=5,Scoring!$C$38,Scoring!$C$39))))))</f>
        <v>15</v>
      </c>
      <c r="AG411" s="22" t="n">
        <f aca="false">IF(T411="Y",0,IF(Y411="Y",Scoring!$C$41,IF(ISNUMBER(O411),IF(O411&gt;=25,Scoring!$C$42,IF(O411&gt;=15,Scoring!$C$43,Scoring!$C$44)),Scoring!$C$44)))</f>
        <v>5</v>
      </c>
      <c r="AH411" s="22" t="n">
        <f aca="false">IF(T411="Y",0,IF(W411="",Scoring!$C$49,IFERROR(VLOOKUP(W411,Scoring!$B$45:$C$48,2,FALSE()),Scoring!$C$49)))</f>
        <v>5</v>
      </c>
      <c r="AI411" s="23" t="n">
        <f aca="false">C411+IF(ISNUMBER(J411),J411,0)/100000+(10000-ROW())/1000000000</f>
        <v>49.000569589</v>
      </c>
      <c r="AJ411" s="18"/>
      <c r="AK411" s="18"/>
      <c r="AL411" s="18"/>
      <c r="AM411" s="18"/>
    </row>
    <row r="412" customFormat="false" ht="15" hidden="false" customHeight="false" outlineLevel="0" collapsed="false">
      <c r="A412" s="15" t="n">
        <f aca="false">RANK(AI412,$AI$2:$AI$755)</f>
        <v>411</v>
      </c>
      <c r="B412" s="16" t="str">
        <f aca="false">IF(T412="Y","Superseded",IF(C412&gt;=Scoring!$B$16,"Immediate",IF(C412&gt;=Scoring!$B$17,"This week",IF(C412&gt;=Scoring!$B$18,"Nurture","Low"))))</f>
        <v>Nurture</v>
      </c>
      <c r="C412" s="3" t="n">
        <f aca="false">SUM(AC412:AH412)</f>
        <v>49</v>
      </c>
      <c r="D412" s="15" t="str">
        <f aca="false">IF(T412="Y","Superseded record",IF(AND(U412&lt;&gt;"",AA412&lt;0),"Expired (verified)",IF(AND(U412&lt;&gt;"",AA412&lt;=Scoring!$B$5),"Expiring: notice window (verified)",IF(AND(U412&lt;&gt;"",AA412&lt;=Scoring!$B$6),"Expiring: 10-yr horizon (verified)",IF(M412="No Longer Monitored","Out of program",IF(N412="","Unknown vintage",IF(N412&lt;Scoring!$B$12,"Pre-1990, still listed",IF(AND(U412="",AA412&lt;0),"Past 30-yr mark (verify)",IF(AND(U412="",AA412&lt;=Scoring!$B$5),"30-yr mark: notice window (est.)",IF(AND(O412&gt;=Scoring!$B$7,O412&lt;=Scoring!$B$8),"Year-15 window",IF(O412&gt;=Scoring!$B$9,"Recap window",IF(O412&gt;=11,"Late compliance","Credit period"))))))))))))</f>
        <v>Recap window</v>
      </c>
      <c r="E412" s="15" t="s">
        <v>1548</v>
      </c>
      <c r="F412" s="15" t="s">
        <v>1549</v>
      </c>
      <c r="G412" s="15" t="s">
        <v>1550</v>
      </c>
      <c r="H412" s="15" t="s">
        <v>120</v>
      </c>
      <c r="I412" s="15" t="s">
        <v>121</v>
      </c>
      <c r="J412" s="15" t="n">
        <v>56</v>
      </c>
      <c r="K412" s="15" t="n">
        <v>56</v>
      </c>
      <c r="L412" s="15" t="n">
        <f aca="false">IF(OR(J412="",K412=""),"",MAX(J412-K412,0))</f>
        <v>0</v>
      </c>
      <c r="M412" s="15" t="s">
        <v>99</v>
      </c>
      <c r="N412" s="17" t="n">
        <v>2004</v>
      </c>
      <c r="O412" s="15" t="n">
        <f aca="false">IF(N412="","",Scoring!$B$4-N412)</f>
        <v>22</v>
      </c>
      <c r="P412" s="15" t="n">
        <f aca="false">IF(N412="","",N412+14)</f>
        <v>2018</v>
      </c>
      <c r="Q412" s="15" t="n">
        <f aca="false">IF(N412="","",IF(N412&lt;Scoring!$B$12,"n/a (pre-1990)",N412+Scoring!$B$13))</f>
        <v>2033</v>
      </c>
      <c r="R412" s="15" t="str">
        <f aca="false">IF(J412="","Unknown",IF(J412&gt;=5,"Yes","No (under 5 units)"))</f>
        <v>Yes</v>
      </c>
      <c r="S412" s="15"/>
      <c r="T412" s="18"/>
      <c r="U412" s="19"/>
      <c r="V412" s="18"/>
      <c r="W412" s="18"/>
      <c r="X412" s="20"/>
      <c r="Y412" s="18"/>
      <c r="Z412" s="18"/>
      <c r="AA412" s="21" t="n">
        <f aca="false">IF(U412&lt;&gt;"",(U412-Scoring!$B$3)/365.25,IF(N412="","",IF(N412&lt;Scoring!$B$12,"",(DATE(N412+Scoring!$B$13,12,31)-Scoring!$B$3)/365.25)))</f>
        <v>7.24709103353867</v>
      </c>
      <c r="AB412" s="22" t="n">
        <f aca="false">IF(T412="Y",0,IF(OR(D412="Expired (verified)",D412="Expiring: notice window (verified)",D412="Expiring: 10-yr horizon (verified)",D412="Past 30-yr mark (verify)",D412="30-yr mark: notice window (est.)",D412="Year-15 window"),1,0)+IF(ISNUMBER(O412),IF(O412&gt;=Scoring!$B$10,1,0),0)+IF(AND(ISNUMBER(L412),ISNUMBER(J412)),IF(J412&gt;0,IF(L412/J412&gt;=Scoring!$B$11,1,0),0),0)+IF(ISNUMBER(Z412),MIN(Z412,3),0))</f>
        <v>1</v>
      </c>
      <c r="AC412" s="22" t="n">
        <f aca="false">IF(AB412&gt;=3,Scoring!$C$24,IF(AB412=2,Scoring!$C$23,IF(AB412=1,Scoring!$C$22,0)))</f>
        <v>10</v>
      </c>
      <c r="AD412" s="22" t="n">
        <f aca="false">IF(T412="Y",0,IF(ISNUMBER(X412),IF(X412&gt;0.7,Scoring!$C$25,IF(X412&gt;=0.5,Scoring!$C$26,IF(X412&gt;=0.3,Scoring!$C$27,Scoring!$C$28))),Scoring!$C$29))</f>
        <v>10</v>
      </c>
      <c r="AE412" s="22" t="n">
        <f aca="false">IF(D412="Expiring: notice window (verified)",Scoring!$C$30,IF(OR(D412="Expired (verified)",D412="30-yr mark: notice window (est.)",D412="Year-15 window"),Scoring!$C$31,IF(D412="Expiring: 10-yr horizon (verified)",Scoring!$C$32,IF(D412="Past 30-yr mark (verify)",Scoring!$C$33,IF(OR(D412="Credit period",D412="Superseded record"),Scoring!$C$35,Scoring!$C$34)))))</f>
        <v>4</v>
      </c>
      <c r="AF412" s="22" t="n">
        <f aca="false">IF(T412="Y",0,IF(ISNUMBER(V412),IF(Scoring!$B$4-V412&gt;15,Scoring!$C$36,IF(Scoring!$B$4-V412&gt;=10,Scoring!$C$37,IF(Scoring!$B$4-V412&gt;=5,Scoring!$C$38,Scoring!$C$39))),IF(OR(N412="",D412="Out of program"),Scoring!$C$40,IF(O412&gt;15,Scoring!$C$36,IF(O412&gt;=10,Scoring!$C$37,IF(O412&gt;=5,Scoring!$C$38,Scoring!$C$39))))))</f>
        <v>15</v>
      </c>
      <c r="AG412" s="22" t="n">
        <f aca="false">IF(T412="Y",0,IF(Y412="Y",Scoring!$C$41,IF(ISNUMBER(O412),IF(O412&gt;=25,Scoring!$C$42,IF(O412&gt;=15,Scoring!$C$43,Scoring!$C$44)),Scoring!$C$44)))</f>
        <v>5</v>
      </c>
      <c r="AH412" s="22" t="n">
        <f aca="false">IF(T412="Y",0,IF(W412="",Scoring!$C$49,IFERROR(VLOOKUP(W412,Scoring!$B$45:$C$48,2,FALSE()),Scoring!$C$49)))</f>
        <v>5</v>
      </c>
      <c r="AI412" s="23" t="n">
        <f aca="false">C412+IF(ISNUMBER(J412),J412,0)/100000+(10000-ROW())/1000000000</f>
        <v>49.000569588</v>
      </c>
      <c r="AJ412" s="18"/>
      <c r="AK412" s="18"/>
      <c r="AL412" s="18"/>
      <c r="AM412" s="18"/>
    </row>
    <row r="413" customFormat="false" ht="15" hidden="false" customHeight="false" outlineLevel="0" collapsed="false">
      <c r="A413" s="15" t="n">
        <f aca="false">RANK(AI413,$AI$2:$AI$755)</f>
        <v>412</v>
      </c>
      <c r="B413" s="16" t="str">
        <f aca="false">IF(T413="Y","Superseded",IF(C413&gt;=Scoring!$B$16,"Immediate",IF(C413&gt;=Scoring!$B$17,"This week",IF(C413&gt;=Scoring!$B$18,"Nurture","Low"))))</f>
        <v>Nurture</v>
      </c>
      <c r="C413" s="3" t="n">
        <f aca="false">SUM(AC413:AH413)</f>
        <v>49</v>
      </c>
      <c r="D413" s="15" t="str">
        <f aca="false">IF(T413="Y","Superseded record",IF(AND(U413&lt;&gt;"",AA413&lt;0),"Expired (verified)",IF(AND(U413&lt;&gt;"",AA413&lt;=Scoring!$B$5),"Expiring: notice window (verified)",IF(AND(U413&lt;&gt;"",AA413&lt;=Scoring!$B$6),"Expiring: 10-yr horizon (verified)",IF(M413="No Longer Monitored","Out of program",IF(N413="","Unknown vintage",IF(N413&lt;Scoring!$B$12,"Pre-1990, still listed",IF(AND(U413="",AA413&lt;0),"Past 30-yr mark (verify)",IF(AND(U413="",AA413&lt;=Scoring!$B$5),"30-yr mark: notice window (est.)",IF(AND(O413&gt;=Scoring!$B$7,O413&lt;=Scoring!$B$8),"Year-15 window",IF(O413&gt;=Scoring!$B$9,"Recap window",IF(O413&gt;=11,"Late compliance","Credit period"))))))))))))</f>
        <v>Recap window</v>
      </c>
      <c r="E413" s="15" t="s">
        <v>1551</v>
      </c>
      <c r="F413" s="15" t="s">
        <v>1552</v>
      </c>
      <c r="G413" s="15" t="s">
        <v>1553</v>
      </c>
      <c r="H413" s="15" t="s">
        <v>97</v>
      </c>
      <c r="I413" s="15" t="s">
        <v>1393</v>
      </c>
      <c r="J413" s="15" t="n">
        <v>56</v>
      </c>
      <c r="K413" s="15" t="n">
        <v>56</v>
      </c>
      <c r="L413" s="15" t="n">
        <f aca="false">IF(OR(J413="",K413=""),"",MAX(J413-K413,0))</f>
        <v>0</v>
      </c>
      <c r="M413" s="15" t="s">
        <v>99</v>
      </c>
      <c r="N413" s="17" t="n">
        <v>2006</v>
      </c>
      <c r="O413" s="15" t="n">
        <f aca="false">IF(N413="","",Scoring!$B$4-N413)</f>
        <v>20</v>
      </c>
      <c r="P413" s="15" t="n">
        <f aca="false">IF(N413="","",N413+14)</f>
        <v>2020</v>
      </c>
      <c r="Q413" s="15" t="n">
        <f aca="false">IF(N413="","",IF(N413&lt;Scoring!$B$12,"n/a (pre-1990)",N413+Scoring!$B$13))</f>
        <v>2035</v>
      </c>
      <c r="R413" s="15" t="str">
        <f aca="false">IF(J413="","Unknown",IF(J413&gt;=5,"Yes","No (under 5 units)"))</f>
        <v>Yes</v>
      </c>
      <c r="S413" s="15"/>
      <c r="T413" s="18"/>
      <c r="U413" s="19"/>
      <c r="V413" s="18"/>
      <c r="W413" s="18"/>
      <c r="X413" s="20"/>
      <c r="Y413" s="18"/>
      <c r="Z413" s="18"/>
      <c r="AA413" s="21" t="n">
        <f aca="false">IF(U413&lt;&gt;"",(U413-Scoring!$B$3)/365.25,IF(N413="","",IF(N413&lt;Scoring!$B$12,"",(DATE(N413+Scoring!$B$13,12,31)-Scoring!$B$3)/365.25)))</f>
        <v>9.24572210814511</v>
      </c>
      <c r="AB413" s="22" t="n">
        <f aca="false">IF(T413="Y",0,IF(OR(D413="Expired (verified)",D413="Expiring: notice window (verified)",D413="Expiring: 10-yr horizon (verified)",D413="Past 30-yr mark (verify)",D413="30-yr mark: notice window (est.)",D413="Year-15 window"),1,0)+IF(ISNUMBER(O413),IF(O413&gt;=Scoring!$B$10,1,0),0)+IF(AND(ISNUMBER(L413),ISNUMBER(J413)),IF(J413&gt;0,IF(L413/J413&gt;=Scoring!$B$11,1,0),0),0)+IF(ISNUMBER(Z413),MIN(Z413,3),0))</f>
        <v>1</v>
      </c>
      <c r="AC413" s="22" t="n">
        <f aca="false">IF(AB413&gt;=3,Scoring!$C$24,IF(AB413=2,Scoring!$C$23,IF(AB413=1,Scoring!$C$22,0)))</f>
        <v>10</v>
      </c>
      <c r="AD413" s="22" t="n">
        <f aca="false">IF(T413="Y",0,IF(ISNUMBER(X413),IF(X413&gt;0.7,Scoring!$C$25,IF(X413&gt;=0.5,Scoring!$C$26,IF(X413&gt;=0.3,Scoring!$C$27,Scoring!$C$28))),Scoring!$C$29))</f>
        <v>10</v>
      </c>
      <c r="AE413" s="22" t="n">
        <f aca="false">IF(D413="Expiring: notice window (verified)",Scoring!$C$30,IF(OR(D413="Expired (verified)",D413="30-yr mark: notice window (est.)",D413="Year-15 window"),Scoring!$C$31,IF(D413="Expiring: 10-yr horizon (verified)",Scoring!$C$32,IF(D413="Past 30-yr mark (verify)",Scoring!$C$33,IF(OR(D413="Credit period",D413="Superseded record"),Scoring!$C$35,Scoring!$C$34)))))</f>
        <v>4</v>
      </c>
      <c r="AF413" s="22" t="n">
        <f aca="false">IF(T413="Y",0,IF(ISNUMBER(V413),IF(Scoring!$B$4-V413&gt;15,Scoring!$C$36,IF(Scoring!$B$4-V413&gt;=10,Scoring!$C$37,IF(Scoring!$B$4-V413&gt;=5,Scoring!$C$38,Scoring!$C$39))),IF(OR(N413="",D413="Out of program"),Scoring!$C$40,IF(O413&gt;15,Scoring!$C$36,IF(O413&gt;=10,Scoring!$C$37,IF(O413&gt;=5,Scoring!$C$38,Scoring!$C$39))))))</f>
        <v>15</v>
      </c>
      <c r="AG413" s="22" t="n">
        <f aca="false">IF(T413="Y",0,IF(Y413="Y",Scoring!$C$41,IF(ISNUMBER(O413),IF(O413&gt;=25,Scoring!$C$42,IF(O413&gt;=15,Scoring!$C$43,Scoring!$C$44)),Scoring!$C$44)))</f>
        <v>5</v>
      </c>
      <c r="AH413" s="22" t="n">
        <f aca="false">IF(T413="Y",0,IF(W413="",Scoring!$C$49,IFERROR(VLOOKUP(W413,Scoring!$B$45:$C$48,2,FALSE()),Scoring!$C$49)))</f>
        <v>5</v>
      </c>
      <c r="AI413" s="23" t="n">
        <f aca="false">C413+IF(ISNUMBER(J413),J413,0)/100000+(10000-ROW())/1000000000</f>
        <v>49.000569587</v>
      </c>
      <c r="AJ413" s="18"/>
      <c r="AK413" s="18"/>
      <c r="AL413" s="18"/>
      <c r="AM413" s="18"/>
    </row>
    <row r="414" customFormat="false" ht="15" hidden="false" customHeight="false" outlineLevel="0" collapsed="false">
      <c r="A414" s="15" t="n">
        <f aca="false">RANK(AI414,$AI$2:$AI$755)</f>
        <v>413</v>
      </c>
      <c r="B414" s="16" t="str">
        <f aca="false">IF(T414="Y","Superseded",IF(C414&gt;=Scoring!$B$16,"Immediate",IF(C414&gt;=Scoring!$B$17,"This week",IF(C414&gt;=Scoring!$B$18,"Nurture","Low"))))</f>
        <v>Nurture</v>
      </c>
      <c r="C414" s="3" t="n">
        <f aca="false">SUM(AC414:AH414)</f>
        <v>49</v>
      </c>
      <c r="D414" s="15" t="str">
        <f aca="false">IF(T414="Y","Superseded record",IF(AND(U414&lt;&gt;"",AA414&lt;0),"Expired (verified)",IF(AND(U414&lt;&gt;"",AA414&lt;=Scoring!$B$5),"Expiring: notice window (verified)",IF(AND(U414&lt;&gt;"",AA414&lt;=Scoring!$B$6),"Expiring: 10-yr horizon (verified)",IF(M414="No Longer Monitored","Out of program",IF(N414="","Unknown vintage",IF(N414&lt;Scoring!$B$12,"Pre-1990, still listed",IF(AND(U414="",AA414&lt;0),"Past 30-yr mark (verify)",IF(AND(U414="",AA414&lt;=Scoring!$B$5),"30-yr mark: notice window (est.)",IF(AND(O414&gt;=Scoring!$B$7,O414&lt;=Scoring!$B$8),"Year-15 window",IF(O414&gt;=Scoring!$B$9,"Recap window",IF(O414&gt;=11,"Late compliance","Credit period"))))))))))))</f>
        <v>Recap window</v>
      </c>
      <c r="E414" s="15" t="s">
        <v>1554</v>
      </c>
      <c r="F414" s="15" t="s">
        <v>1555</v>
      </c>
      <c r="G414" s="15" t="s">
        <v>1556</v>
      </c>
      <c r="H414" s="15" t="s">
        <v>185</v>
      </c>
      <c r="I414" s="15" t="s">
        <v>1488</v>
      </c>
      <c r="J414" s="15" t="n">
        <v>54</v>
      </c>
      <c r="K414" s="15" t="n">
        <v>54</v>
      </c>
      <c r="L414" s="15" t="n">
        <f aca="false">IF(OR(J414="",K414=""),"",MAX(J414-K414,0))</f>
        <v>0</v>
      </c>
      <c r="M414" s="15" t="s">
        <v>99</v>
      </c>
      <c r="N414" s="17" t="n">
        <v>2006</v>
      </c>
      <c r="O414" s="15" t="n">
        <f aca="false">IF(N414="","",Scoring!$B$4-N414)</f>
        <v>20</v>
      </c>
      <c r="P414" s="15" t="n">
        <f aca="false">IF(N414="","",N414+14)</f>
        <v>2020</v>
      </c>
      <c r="Q414" s="15" t="n">
        <f aca="false">IF(N414="","",IF(N414&lt;Scoring!$B$12,"n/a (pre-1990)",N414+Scoring!$B$13))</f>
        <v>2035</v>
      </c>
      <c r="R414" s="15" t="str">
        <f aca="false">IF(J414="","Unknown",IF(J414&gt;=5,"Yes","No (under 5 units)"))</f>
        <v>Yes</v>
      </c>
      <c r="S414" s="15"/>
      <c r="T414" s="18"/>
      <c r="U414" s="19"/>
      <c r="V414" s="18"/>
      <c r="W414" s="18"/>
      <c r="X414" s="20"/>
      <c r="Y414" s="18"/>
      <c r="Z414" s="18"/>
      <c r="AA414" s="21" t="n">
        <f aca="false">IF(U414&lt;&gt;"",(U414-Scoring!$B$3)/365.25,IF(N414="","",IF(N414&lt;Scoring!$B$12,"",(DATE(N414+Scoring!$B$13,12,31)-Scoring!$B$3)/365.25)))</f>
        <v>9.24572210814511</v>
      </c>
      <c r="AB414" s="22" t="n">
        <f aca="false">IF(T414="Y",0,IF(OR(D414="Expired (verified)",D414="Expiring: notice window (verified)",D414="Expiring: 10-yr horizon (verified)",D414="Past 30-yr mark (verify)",D414="30-yr mark: notice window (est.)",D414="Year-15 window"),1,0)+IF(ISNUMBER(O414),IF(O414&gt;=Scoring!$B$10,1,0),0)+IF(AND(ISNUMBER(L414),ISNUMBER(J414)),IF(J414&gt;0,IF(L414/J414&gt;=Scoring!$B$11,1,0),0),0)+IF(ISNUMBER(Z414),MIN(Z414,3),0))</f>
        <v>1</v>
      </c>
      <c r="AC414" s="22" t="n">
        <f aca="false">IF(AB414&gt;=3,Scoring!$C$24,IF(AB414=2,Scoring!$C$23,IF(AB414=1,Scoring!$C$22,0)))</f>
        <v>10</v>
      </c>
      <c r="AD414" s="22" t="n">
        <f aca="false">IF(T414="Y",0,IF(ISNUMBER(X414),IF(X414&gt;0.7,Scoring!$C$25,IF(X414&gt;=0.5,Scoring!$C$26,IF(X414&gt;=0.3,Scoring!$C$27,Scoring!$C$28))),Scoring!$C$29))</f>
        <v>10</v>
      </c>
      <c r="AE414" s="22" t="n">
        <f aca="false">IF(D414="Expiring: notice window (verified)",Scoring!$C$30,IF(OR(D414="Expired (verified)",D414="30-yr mark: notice window (est.)",D414="Year-15 window"),Scoring!$C$31,IF(D414="Expiring: 10-yr horizon (verified)",Scoring!$C$32,IF(D414="Past 30-yr mark (verify)",Scoring!$C$33,IF(OR(D414="Credit period",D414="Superseded record"),Scoring!$C$35,Scoring!$C$34)))))</f>
        <v>4</v>
      </c>
      <c r="AF414" s="22" t="n">
        <f aca="false">IF(T414="Y",0,IF(ISNUMBER(V414),IF(Scoring!$B$4-V414&gt;15,Scoring!$C$36,IF(Scoring!$B$4-V414&gt;=10,Scoring!$C$37,IF(Scoring!$B$4-V414&gt;=5,Scoring!$C$38,Scoring!$C$39))),IF(OR(N414="",D414="Out of program"),Scoring!$C$40,IF(O414&gt;15,Scoring!$C$36,IF(O414&gt;=10,Scoring!$C$37,IF(O414&gt;=5,Scoring!$C$38,Scoring!$C$39))))))</f>
        <v>15</v>
      </c>
      <c r="AG414" s="22" t="n">
        <f aca="false">IF(T414="Y",0,IF(Y414="Y",Scoring!$C$41,IF(ISNUMBER(O414),IF(O414&gt;=25,Scoring!$C$42,IF(O414&gt;=15,Scoring!$C$43,Scoring!$C$44)),Scoring!$C$44)))</f>
        <v>5</v>
      </c>
      <c r="AH414" s="22" t="n">
        <f aca="false">IF(T414="Y",0,IF(W414="",Scoring!$C$49,IFERROR(VLOOKUP(W414,Scoring!$B$45:$C$48,2,FALSE()),Scoring!$C$49)))</f>
        <v>5</v>
      </c>
      <c r="AI414" s="23" t="n">
        <f aca="false">C414+IF(ISNUMBER(J414),J414,0)/100000+(10000-ROW())/1000000000</f>
        <v>49.000549586</v>
      </c>
      <c r="AJ414" s="18"/>
      <c r="AK414" s="18"/>
      <c r="AL414" s="18"/>
      <c r="AM414" s="18"/>
    </row>
    <row r="415" customFormat="false" ht="15" hidden="false" customHeight="false" outlineLevel="0" collapsed="false">
      <c r="A415" s="15" t="n">
        <f aca="false">RANK(AI415,$AI$2:$AI$755)</f>
        <v>414</v>
      </c>
      <c r="B415" s="16" t="str">
        <f aca="false">IF(T415="Y","Superseded",IF(C415&gt;=Scoring!$B$16,"Immediate",IF(C415&gt;=Scoring!$B$17,"This week",IF(C415&gt;=Scoring!$B$18,"Nurture","Low"))))</f>
        <v>Nurture</v>
      </c>
      <c r="C415" s="3" t="n">
        <f aca="false">SUM(AC415:AH415)</f>
        <v>49</v>
      </c>
      <c r="D415" s="15" t="str">
        <f aca="false">IF(T415="Y","Superseded record",IF(AND(U415&lt;&gt;"",AA415&lt;0),"Expired (verified)",IF(AND(U415&lt;&gt;"",AA415&lt;=Scoring!$B$5),"Expiring: notice window (verified)",IF(AND(U415&lt;&gt;"",AA415&lt;=Scoring!$B$6),"Expiring: 10-yr horizon (verified)",IF(M415="No Longer Monitored","Out of program",IF(N415="","Unknown vintage",IF(N415&lt;Scoring!$B$12,"Pre-1990, still listed",IF(AND(U415="",AA415&lt;0),"Past 30-yr mark (verify)",IF(AND(U415="",AA415&lt;=Scoring!$B$5),"30-yr mark: notice window (est.)",IF(AND(O415&gt;=Scoring!$B$7,O415&lt;=Scoring!$B$8),"Year-15 window",IF(O415&gt;=Scoring!$B$9,"Recap window",IF(O415&gt;=11,"Late compliance","Credit period"))))))))))))</f>
        <v>Recap window</v>
      </c>
      <c r="E415" s="15" t="s">
        <v>1557</v>
      </c>
      <c r="F415" s="15" t="s">
        <v>1558</v>
      </c>
      <c r="G415" s="15" t="s">
        <v>1559</v>
      </c>
      <c r="H415" s="15" t="s">
        <v>212</v>
      </c>
      <c r="I415" s="15" t="s">
        <v>213</v>
      </c>
      <c r="J415" s="15" t="n">
        <v>52</v>
      </c>
      <c r="K415" s="15" t="n">
        <v>52</v>
      </c>
      <c r="L415" s="15" t="n">
        <f aca="false">IF(OR(J415="",K415=""),"",MAX(J415-K415,0))</f>
        <v>0</v>
      </c>
      <c r="M415" s="15" t="s">
        <v>99</v>
      </c>
      <c r="N415" s="17" t="n">
        <v>2004</v>
      </c>
      <c r="O415" s="15" t="n">
        <f aca="false">IF(N415="","",Scoring!$B$4-N415)</f>
        <v>22</v>
      </c>
      <c r="P415" s="15" t="n">
        <f aca="false">IF(N415="","",N415+14)</f>
        <v>2018</v>
      </c>
      <c r="Q415" s="15" t="n">
        <f aca="false">IF(N415="","",IF(N415&lt;Scoring!$B$12,"n/a (pre-1990)",N415+Scoring!$B$13))</f>
        <v>2033</v>
      </c>
      <c r="R415" s="15" t="str">
        <f aca="false">IF(J415="","Unknown",IF(J415&gt;=5,"Yes","No (under 5 units)"))</f>
        <v>Yes</v>
      </c>
      <c r="S415" s="15"/>
      <c r="T415" s="18"/>
      <c r="U415" s="19"/>
      <c r="V415" s="18"/>
      <c r="W415" s="18"/>
      <c r="X415" s="20"/>
      <c r="Y415" s="18"/>
      <c r="Z415" s="18"/>
      <c r="AA415" s="21" t="n">
        <f aca="false">IF(U415&lt;&gt;"",(U415-Scoring!$B$3)/365.25,IF(N415="","",IF(N415&lt;Scoring!$B$12,"",(DATE(N415+Scoring!$B$13,12,31)-Scoring!$B$3)/365.25)))</f>
        <v>7.24709103353867</v>
      </c>
      <c r="AB415" s="22" t="n">
        <f aca="false">IF(T415="Y",0,IF(OR(D415="Expired (verified)",D415="Expiring: notice window (verified)",D415="Expiring: 10-yr horizon (verified)",D415="Past 30-yr mark (verify)",D415="30-yr mark: notice window (est.)",D415="Year-15 window"),1,0)+IF(ISNUMBER(O415),IF(O415&gt;=Scoring!$B$10,1,0),0)+IF(AND(ISNUMBER(L415),ISNUMBER(J415)),IF(J415&gt;0,IF(L415/J415&gt;=Scoring!$B$11,1,0),0),0)+IF(ISNUMBER(Z415),MIN(Z415,3),0))</f>
        <v>1</v>
      </c>
      <c r="AC415" s="22" t="n">
        <f aca="false">IF(AB415&gt;=3,Scoring!$C$24,IF(AB415=2,Scoring!$C$23,IF(AB415=1,Scoring!$C$22,0)))</f>
        <v>10</v>
      </c>
      <c r="AD415" s="22" t="n">
        <f aca="false">IF(T415="Y",0,IF(ISNUMBER(X415),IF(X415&gt;0.7,Scoring!$C$25,IF(X415&gt;=0.5,Scoring!$C$26,IF(X415&gt;=0.3,Scoring!$C$27,Scoring!$C$28))),Scoring!$C$29))</f>
        <v>10</v>
      </c>
      <c r="AE415" s="22" t="n">
        <f aca="false">IF(D415="Expiring: notice window (verified)",Scoring!$C$30,IF(OR(D415="Expired (verified)",D415="30-yr mark: notice window (est.)",D415="Year-15 window"),Scoring!$C$31,IF(D415="Expiring: 10-yr horizon (verified)",Scoring!$C$32,IF(D415="Past 30-yr mark (verify)",Scoring!$C$33,IF(OR(D415="Credit period",D415="Superseded record"),Scoring!$C$35,Scoring!$C$34)))))</f>
        <v>4</v>
      </c>
      <c r="AF415" s="22" t="n">
        <f aca="false">IF(T415="Y",0,IF(ISNUMBER(V415),IF(Scoring!$B$4-V415&gt;15,Scoring!$C$36,IF(Scoring!$B$4-V415&gt;=10,Scoring!$C$37,IF(Scoring!$B$4-V415&gt;=5,Scoring!$C$38,Scoring!$C$39))),IF(OR(N415="",D415="Out of program"),Scoring!$C$40,IF(O415&gt;15,Scoring!$C$36,IF(O415&gt;=10,Scoring!$C$37,IF(O415&gt;=5,Scoring!$C$38,Scoring!$C$39))))))</f>
        <v>15</v>
      </c>
      <c r="AG415" s="22" t="n">
        <f aca="false">IF(T415="Y",0,IF(Y415="Y",Scoring!$C$41,IF(ISNUMBER(O415),IF(O415&gt;=25,Scoring!$C$42,IF(O415&gt;=15,Scoring!$C$43,Scoring!$C$44)),Scoring!$C$44)))</f>
        <v>5</v>
      </c>
      <c r="AH415" s="22" t="n">
        <f aca="false">IF(T415="Y",0,IF(W415="",Scoring!$C$49,IFERROR(VLOOKUP(W415,Scoring!$B$45:$C$48,2,FALSE()),Scoring!$C$49)))</f>
        <v>5</v>
      </c>
      <c r="AI415" s="23" t="n">
        <f aca="false">C415+IF(ISNUMBER(J415),J415,0)/100000+(10000-ROW())/1000000000</f>
        <v>49.000529585</v>
      </c>
      <c r="AJ415" s="18"/>
      <c r="AK415" s="18"/>
      <c r="AL415" s="18"/>
      <c r="AM415" s="18"/>
    </row>
    <row r="416" customFormat="false" ht="15" hidden="false" customHeight="false" outlineLevel="0" collapsed="false">
      <c r="A416" s="15" t="n">
        <f aca="false">RANK(AI416,$AI$2:$AI$755)</f>
        <v>415</v>
      </c>
      <c r="B416" s="16" t="str">
        <f aca="false">IF(T416="Y","Superseded",IF(C416&gt;=Scoring!$B$16,"Immediate",IF(C416&gt;=Scoring!$B$17,"This week",IF(C416&gt;=Scoring!$B$18,"Nurture","Low"))))</f>
        <v>Nurture</v>
      </c>
      <c r="C416" s="3" t="n">
        <f aca="false">SUM(AC416:AH416)</f>
        <v>49</v>
      </c>
      <c r="D416" s="15" t="str">
        <f aca="false">IF(T416="Y","Superseded record",IF(AND(U416&lt;&gt;"",AA416&lt;0),"Expired (verified)",IF(AND(U416&lt;&gt;"",AA416&lt;=Scoring!$B$5),"Expiring: notice window (verified)",IF(AND(U416&lt;&gt;"",AA416&lt;=Scoring!$B$6),"Expiring: 10-yr horizon (verified)",IF(M416="No Longer Monitored","Out of program",IF(N416="","Unknown vintage",IF(N416&lt;Scoring!$B$12,"Pre-1990, still listed",IF(AND(U416="",AA416&lt;0),"Past 30-yr mark (verify)",IF(AND(U416="",AA416&lt;=Scoring!$B$5),"30-yr mark: notice window (est.)",IF(AND(O416&gt;=Scoring!$B$7,O416&lt;=Scoring!$B$8),"Year-15 window",IF(O416&gt;=Scoring!$B$9,"Recap window",IF(O416&gt;=11,"Late compliance","Credit period"))))))))))))</f>
        <v>Recap window</v>
      </c>
      <c r="E416" s="15" t="s">
        <v>1560</v>
      </c>
      <c r="F416" s="15" t="s">
        <v>1561</v>
      </c>
      <c r="G416" s="15" t="s">
        <v>1562</v>
      </c>
      <c r="H416" s="15" t="s">
        <v>97</v>
      </c>
      <c r="I416" s="15" t="s">
        <v>878</v>
      </c>
      <c r="J416" s="15" t="n">
        <v>52</v>
      </c>
      <c r="K416" s="15" t="n">
        <v>51</v>
      </c>
      <c r="L416" s="15" t="n">
        <f aca="false">IF(OR(J416="",K416=""),"",MAX(J416-K416,0))</f>
        <v>1</v>
      </c>
      <c r="M416" s="15" t="s">
        <v>99</v>
      </c>
      <c r="N416" s="17" t="n">
        <v>2006</v>
      </c>
      <c r="O416" s="15" t="n">
        <f aca="false">IF(N416="","",Scoring!$B$4-N416)</f>
        <v>20</v>
      </c>
      <c r="P416" s="15" t="n">
        <f aca="false">IF(N416="","",N416+14)</f>
        <v>2020</v>
      </c>
      <c r="Q416" s="15" t="n">
        <f aca="false">IF(N416="","",IF(N416&lt;Scoring!$B$12,"n/a (pre-1990)",N416+Scoring!$B$13))</f>
        <v>2035</v>
      </c>
      <c r="R416" s="15" t="str">
        <f aca="false">IF(J416="","Unknown",IF(J416&gt;=5,"Yes","No (under 5 units)"))</f>
        <v>Yes</v>
      </c>
      <c r="S416" s="15"/>
      <c r="T416" s="18"/>
      <c r="U416" s="19"/>
      <c r="V416" s="18"/>
      <c r="W416" s="18"/>
      <c r="X416" s="20"/>
      <c r="Y416" s="18"/>
      <c r="Z416" s="18"/>
      <c r="AA416" s="21" t="n">
        <f aca="false">IF(U416&lt;&gt;"",(U416-Scoring!$B$3)/365.25,IF(N416="","",IF(N416&lt;Scoring!$B$12,"",(DATE(N416+Scoring!$B$13,12,31)-Scoring!$B$3)/365.25)))</f>
        <v>9.24572210814511</v>
      </c>
      <c r="AB416" s="22" t="n">
        <f aca="false">IF(T416="Y",0,IF(OR(D416="Expired (verified)",D416="Expiring: notice window (verified)",D416="Expiring: 10-yr horizon (verified)",D416="Past 30-yr mark (verify)",D416="30-yr mark: notice window (est.)",D416="Year-15 window"),1,0)+IF(ISNUMBER(O416),IF(O416&gt;=Scoring!$B$10,1,0),0)+IF(AND(ISNUMBER(L416),ISNUMBER(J416)),IF(J416&gt;0,IF(L416/J416&gt;=Scoring!$B$11,1,0),0),0)+IF(ISNUMBER(Z416),MIN(Z416,3),0))</f>
        <v>1</v>
      </c>
      <c r="AC416" s="22" t="n">
        <f aca="false">IF(AB416&gt;=3,Scoring!$C$24,IF(AB416=2,Scoring!$C$23,IF(AB416=1,Scoring!$C$22,0)))</f>
        <v>10</v>
      </c>
      <c r="AD416" s="22" t="n">
        <f aca="false">IF(T416="Y",0,IF(ISNUMBER(X416),IF(X416&gt;0.7,Scoring!$C$25,IF(X416&gt;=0.5,Scoring!$C$26,IF(X416&gt;=0.3,Scoring!$C$27,Scoring!$C$28))),Scoring!$C$29))</f>
        <v>10</v>
      </c>
      <c r="AE416" s="22" t="n">
        <f aca="false">IF(D416="Expiring: notice window (verified)",Scoring!$C$30,IF(OR(D416="Expired (verified)",D416="30-yr mark: notice window (est.)",D416="Year-15 window"),Scoring!$C$31,IF(D416="Expiring: 10-yr horizon (verified)",Scoring!$C$32,IF(D416="Past 30-yr mark (verify)",Scoring!$C$33,IF(OR(D416="Credit period",D416="Superseded record"),Scoring!$C$35,Scoring!$C$34)))))</f>
        <v>4</v>
      </c>
      <c r="AF416" s="22" t="n">
        <f aca="false">IF(T416="Y",0,IF(ISNUMBER(V416),IF(Scoring!$B$4-V416&gt;15,Scoring!$C$36,IF(Scoring!$B$4-V416&gt;=10,Scoring!$C$37,IF(Scoring!$B$4-V416&gt;=5,Scoring!$C$38,Scoring!$C$39))),IF(OR(N416="",D416="Out of program"),Scoring!$C$40,IF(O416&gt;15,Scoring!$C$36,IF(O416&gt;=10,Scoring!$C$37,IF(O416&gt;=5,Scoring!$C$38,Scoring!$C$39))))))</f>
        <v>15</v>
      </c>
      <c r="AG416" s="22" t="n">
        <f aca="false">IF(T416="Y",0,IF(Y416="Y",Scoring!$C$41,IF(ISNUMBER(O416),IF(O416&gt;=25,Scoring!$C$42,IF(O416&gt;=15,Scoring!$C$43,Scoring!$C$44)),Scoring!$C$44)))</f>
        <v>5</v>
      </c>
      <c r="AH416" s="22" t="n">
        <f aca="false">IF(T416="Y",0,IF(W416="",Scoring!$C$49,IFERROR(VLOOKUP(W416,Scoring!$B$45:$C$48,2,FALSE()),Scoring!$C$49)))</f>
        <v>5</v>
      </c>
      <c r="AI416" s="23" t="n">
        <f aca="false">C416+IF(ISNUMBER(J416),J416,0)/100000+(10000-ROW())/1000000000</f>
        <v>49.000529584</v>
      </c>
      <c r="AJ416" s="18"/>
      <c r="AK416" s="18"/>
      <c r="AL416" s="18"/>
      <c r="AM416" s="18"/>
    </row>
    <row r="417" customFormat="false" ht="15" hidden="false" customHeight="false" outlineLevel="0" collapsed="false">
      <c r="A417" s="15" t="n">
        <f aca="false">RANK(AI417,$AI$2:$AI$755)</f>
        <v>416</v>
      </c>
      <c r="B417" s="16" t="str">
        <f aca="false">IF(T417="Y","Superseded",IF(C417&gt;=Scoring!$B$16,"Immediate",IF(C417&gt;=Scoring!$B$17,"This week",IF(C417&gt;=Scoring!$B$18,"Nurture","Low"))))</f>
        <v>Nurture</v>
      </c>
      <c r="C417" s="3" t="n">
        <f aca="false">SUM(AC417:AH417)</f>
        <v>49</v>
      </c>
      <c r="D417" s="15" t="str">
        <f aca="false">IF(T417="Y","Superseded record",IF(AND(U417&lt;&gt;"",AA417&lt;0),"Expired (verified)",IF(AND(U417&lt;&gt;"",AA417&lt;=Scoring!$B$5),"Expiring: notice window (verified)",IF(AND(U417&lt;&gt;"",AA417&lt;=Scoring!$B$6),"Expiring: 10-yr horizon (verified)",IF(M417="No Longer Monitored","Out of program",IF(N417="","Unknown vintage",IF(N417&lt;Scoring!$B$12,"Pre-1990, still listed",IF(AND(U417="",AA417&lt;0),"Past 30-yr mark (verify)",IF(AND(U417="",AA417&lt;=Scoring!$B$5),"30-yr mark: notice window (est.)",IF(AND(O417&gt;=Scoring!$B$7,O417&lt;=Scoring!$B$8),"Year-15 window",IF(O417&gt;=Scoring!$B$9,"Recap window",IF(O417&gt;=11,"Late compliance","Credit period"))))))))))))</f>
        <v>Recap window</v>
      </c>
      <c r="E417" s="15" t="s">
        <v>1563</v>
      </c>
      <c r="F417" s="15" t="s">
        <v>1564</v>
      </c>
      <c r="G417" s="15" t="s">
        <v>1565</v>
      </c>
      <c r="H417" s="15" t="s">
        <v>956</v>
      </c>
      <c r="I417" s="15" t="s">
        <v>1232</v>
      </c>
      <c r="J417" s="15" t="n">
        <v>52</v>
      </c>
      <c r="K417" s="15" t="n">
        <v>52</v>
      </c>
      <c r="L417" s="15" t="n">
        <f aca="false">IF(OR(J417="",K417=""),"",MAX(J417-K417,0))</f>
        <v>0</v>
      </c>
      <c r="M417" s="15" t="s">
        <v>99</v>
      </c>
      <c r="N417" s="17" t="n">
        <v>2006</v>
      </c>
      <c r="O417" s="15" t="n">
        <f aca="false">IF(N417="","",Scoring!$B$4-N417)</f>
        <v>20</v>
      </c>
      <c r="P417" s="15" t="n">
        <f aca="false">IF(N417="","",N417+14)</f>
        <v>2020</v>
      </c>
      <c r="Q417" s="15" t="n">
        <f aca="false">IF(N417="","",IF(N417&lt;Scoring!$B$12,"n/a (pre-1990)",N417+Scoring!$B$13))</f>
        <v>2035</v>
      </c>
      <c r="R417" s="15" t="str">
        <f aca="false">IF(J417="","Unknown",IF(J417&gt;=5,"Yes","No (under 5 units)"))</f>
        <v>Yes</v>
      </c>
      <c r="S417" s="15"/>
      <c r="T417" s="18"/>
      <c r="U417" s="19"/>
      <c r="V417" s="18"/>
      <c r="W417" s="18"/>
      <c r="X417" s="20"/>
      <c r="Y417" s="18"/>
      <c r="Z417" s="18"/>
      <c r="AA417" s="21" t="n">
        <f aca="false">IF(U417&lt;&gt;"",(U417-Scoring!$B$3)/365.25,IF(N417="","",IF(N417&lt;Scoring!$B$12,"",(DATE(N417+Scoring!$B$13,12,31)-Scoring!$B$3)/365.25)))</f>
        <v>9.24572210814511</v>
      </c>
      <c r="AB417" s="22" t="n">
        <f aca="false">IF(T417="Y",0,IF(OR(D417="Expired (verified)",D417="Expiring: notice window (verified)",D417="Expiring: 10-yr horizon (verified)",D417="Past 30-yr mark (verify)",D417="30-yr mark: notice window (est.)",D417="Year-15 window"),1,0)+IF(ISNUMBER(O417),IF(O417&gt;=Scoring!$B$10,1,0),0)+IF(AND(ISNUMBER(L417),ISNUMBER(J417)),IF(J417&gt;0,IF(L417/J417&gt;=Scoring!$B$11,1,0),0),0)+IF(ISNUMBER(Z417),MIN(Z417,3),0))</f>
        <v>1</v>
      </c>
      <c r="AC417" s="22" t="n">
        <f aca="false">IF(AB417&gt;=3,Scoring!$C$24,IF(AB417=2,Scoring!$C$23,IF(AB417=1,Scoring!$C$22,0)))</f>
        <v>10</v>
      </c>
      <c r="AD417" s="22" t="n">
        <f aca="false">IF(T417="Y",0,IF(ISNUMBER(X417),IF(X417&gt;0.7,Scoring!$C$25,IF(X417&gt;=0.5,Scoring!$C$26,IF(X417&gt;=0.3,Scoring!$C$27,Scoring!$C$28))),Scoring!$C$29))</f>
        <v>10</v>
      </c>
      <c r="AE417" s="22" t="n">
        <f aca="false">IF(D417="Expiring: notice window (verified)",Scoring!$C$30,IF(OR(D417="Expired (verified)",D417="30-yr mark: notice window (est.)",D417="Year-15 window"),Scoring!$C$31,IF(D417="Expiring: 10-yr horizon (verified)",Scoring!$C$32,IF(D417="Past 30-yr mark (verify)",Scoring!$C$33,IF(OR(D417="Credit period",D417="Superseded record"),Scoring!$C$35,Scoring!$C$34)))))</f>
        <v>4</v>
      </c>
      <c r="AF417" s="22" t="n">
        <f aca="false">IF(T417="Y",0,IF(ISNUMBER(V417),IF(Scoring!$B$4-V417&gt;15,Scoring!$C$36,IF(Scoring!$B$4-V417&gt;=10,Scoring!$C$37,IF(Scoring!$B$4-V417&gt;=5,Scoring!$C$38,Scoring!$C$39))),IF(OR(N417="",D417="Out of program"),Scoring!$C$40,IF(O417&gt;15,Scoring!$C$36,IF(O417&gt;=10,Scoring!$C$37,IF(O417&gt;=5,Scoring!$C$38,Scoring!$C$39))))))</f>
        <v>15</v>
      </c>
      <c r="AG417" s="22" t="n">
        <f aca="false">IF(T417="Y",0,IF(Y417="Y",Scoring!$C$41,IF(ISNUMBER(O417),IF(O417&gt;=25,Scoring!$C$42,IF(O417&gt;=15,Scoring!$C$43,Scoring!$C$44)),Scoring!$C$44)))</f>
        <v>5</v>
      </c>
      <c r="AH417" s="22" t="n">
        <f aca="false">IF(T417="Y",0,IF(W417="",Scoring!$C$49,IFERROR(VLOOKUP(W417,Scoring!$B$45:$C$48,2,FALSE()),Scoring!$C$49)))</f>
        <v>5</v>
      </c>
      <c r="AI417" s="23" t="n">
        <f aca="false">C417+IF(ISNUMBER(J417),J417,0)/100000+(10000-ROW())/1000000000</f>
        <v>49.000529583</v>
      </c>
      <c r="AJ417" s="18"/>
      <c r="AK417" s="18"/>
      <c r="AL417" s="18"/>
      <c r="AM417" s="18"/>
    </row>
    <row r="418" customFormat="false" ht="15" hidden="false" customHeight="false" outlineLevel="0" collapsed="false">
      <c r="A418" s="15" t="n">
        <f aca="false">RANK(AI418,$AI$2:$AI$755)</f>
        <v>417</v>
      </c>
      <c r="B418" s="16" t="str">
        <f aca="false">IF(T418="Y","Superseded",IF(C418&gt;=Scoring!$B$16,"Immediate",IF(C418&gt;=Scoring!$B$17,"This week",IF(C418&gt;=Scoring!$B$18,"Nurture","Low"))))</f>
        <v>Nurture</v>
      </c>
      <c r="C418" s="3" t="n">
        <f aca="false">SUM(AC418:AH418)</f>
        <v>49</v>
      </c>
      <c r="D418" s="15" t="str">
        <f aca="false">IF(T418="Y","Superseded record",IF(AND(U418&lt;&gt;"",AA418&lt;0),"Expired (verified)",IF(AND(U418&lt;&gt;"",AA418&lt;=Scoring!$B$5),"Expiring: notice window (verified)",IF(AND(U418&lt;&gt;"",AA418&lt;=Scoring!$B$6),"Expiring: 10-yr horizon (verified)",IF(M418="No Longer Monitored","Out of program",IF(N418="","Unknown vintage",IF(N418&lt;Scoring!$B$12,"Pre-1990, still listed",IF(AND(U418="",AA418&lt;0),"Past 30-yr mark (verify)",IF(AND(U418="",AA418&lt;=Scoring!$B$5),"30-yr mark: notice window (est.)",IF(AND(O418&gt;=Scoring!$B$7,O418&lt;=Scoring!$B$8),"Year-15 window",IF(O418&gt;=Scoring!$B$9,"Recap window",IF(O418&gt;=11,"Late compliance","Credit period"))))))))))))</f>
        <v>Recap window</v>
      </c>
      <c r="E418" s="15" t="s">
        <v>1566</v>
      </c>
      <c r="F418" s="15" t="s">
        <v>1567</v>
      </c>
      <c r="G418" s="15" t="s">
        <v>1568</v>
      </c>
      <c r="H418" s="15" t="s">
        <v>97</v>
      </c>
      <c r="I418" s="15" t="s">
        <v>175</v>
      </c>
      <c r="J418" s="15" t="n">
        <v>51</v>
      </c>
      <c r="K418" s="15" t="n">
        <v>51</v>
      </c>
      <c r="L418" s="15" t="n">
        <f aca="false">IF(OR(J418="",K418=""),"",MAX(J418-K418,0))</f>
        <v>0</v>
      </c>
      <c r="M418" s="15" t="s">
        <v>99</v>
      </c>
      <c r="N418" s="17" t="n">
        <v>2006</v>
      </c>
      <c r="O418" s="15" t="n">
        <f aca="false">IF(N418="","",Scoring!$B$4-N418)</f>
        <v>20</v>
      </c>
      <c r="P418" s="15" t="n">
        <f aca="false">IF(N418="","",N418+14)</f>
        <v>2020</v>
      </c>
      <c r="Q418" s="15" t="n">
        <f aca="false">IF(N418="","",IF(N418&lt;Scoring!$B$12,"n/a (pre-1990)",N418+Scoring!$B$13))</f>
        <v>2035</v>
      </c>
      <c r="R418" s="15" t="str">
        <f aca="false">IF(J418="","Unknown",IF(J418&gt;=5,"Yes","No (under 5 units)"))</f>
        <v>Yes</v>
      </c>
      <c r="S418" s="15"/>
      <c r="T418" s="18"/>
      <c r="U418" s="19"/>
      <c r="V418" s="18"/>
      <c r="W418" s="18"/>
      <c r="X418" s="20"/>
      <c r="Y418" s="18"/>
      <c r="Z418" s="18"/>
      <c r="AA418" s="21" t="n">
        <f aca="false">IF(U418&lt;&gt;"",(U418-Scoring!$B$3)/365.25,IF(N418="","",IF(N418&lt;Scoring!$B$12,"",(DATE(N418+Scoring!$B$13,12,31)-Scoring!$B$3)/365.25)))</f>
        <v>9.24572210814511</v>
      </c>
      <c r="AB418" s="22" t="n">
        <f aca="false">IF(T418="Y",0,IF(OR(D418="Expired (verified)",D418="Expiring: notice window (verified)",D418="Expiring: 10-yr horizon (verified)",D418="Past 30-yr mark (verify)",D418="30-yr mark: notice window (est.)",D418="Year-15 window"),1,0)+IF(ISNUMBER(O418),IF(O418&gt;=Scoring!$B$10,1,0),0)+IF(AND(ISNUMBER(L418),ISNUMBER(J418)),IF(J418&gt;0,IF(L418/J418&gt;=Scoring!$B$11,1,0),0),0)+IF(ISNUMBER(Z418),MIN(Z418,3),0))</f>
        <v>1</v>
      </c>
      <c r="AC418" s="22" t="n">
        <f aca="false">IF(AB418&gt;=3,Scoring!$C$24,IF(AB418=2,Scoring!$C$23,IF(AB418=1,Scoring!$C$22,0)))</f>
        <v>10</v>
      </c>
      <c r="AD418" s="22" t="n">
        <f aca="false">IF(T418="Y",0,IF(ISNUMBER(X418),IF(X418&gt;0.7,Scoring!$C$25,IF(X418&gt;=0.5,Scoring!$C$26,IF(X418&gt;=0.3,Scoring!$C$27,Scoring!$C$28))),Scoring!$C$29))</f>
        <v>10</v>
      </c>
      <c r="AE418" s="22" t="n">
        <f aca="false">IF(D418="Expiring: notice window (verified)",Scoring!$C$30,IF(OR(D418="Expired (verified)",D418="30-yr mark: notice window (est.)",D418="Year-15 window"),Scoring!$C$31,IF(D418="Expiring: 10-yr horizon (verified)",Scoring!$C$32,IF(D418="Past 30-yr mark (verify)",Scoring!$C$33,IF(OR(D418="Credit period",D418="Superseded record"),Scoring!$C$35,Scoring!$C$34)))))</f>
        <v>4</v>
      </c>
      <c r="AF418" s="22" t="n">
        <f aca="false">IF(T418="Y",0,IF(ISNUMBER(V418),IF(Scoring!$B$4-V418&gt;15,Scoring!$C$36,IF(Scoring!$B$4-V418&gt;=10,Scoring!$C$37,IF(Scoring!$B$4-V418&gt;=5,Scoring!$C$38,Scoring!$C$39))),IF(OR(N418="",D418="Out of program"),Scoring!$C$40,IF(O418&gt;15,Scoring!$C$36,IF(O418&gt;=10,Scoring!$C$37,IF(O418&gt;=5,Scoring!$C$38,Scoring!$C$39))))))</f>
        <v>15</v>
      </c>
      <c r="AG418" s="22" t="n">
        <f aca="false">IF(T418="Y",0,IF(Y418="Y",Scoring!$C$41,IF(ISNUMBER(O418),IF(O418&gt;=25,Scoring!$C$42,IF(O418&gt;=15,Scoring!$C$43,Scoring!$C$44)),Scoring!$C$44)))</f>
        <v>5</v>
      </c>
      <c r="AH418" s="22" t="n">
        <f aca="false">IF(T418="Y",0,IF(W418="",Scoring!$C$49,IFERROR(VLOOKUP(W418,Scoring!$B$45:$C$48,2,FALSE()),Scoring!$C$49)))</f>
        <v>5</v>
      </c>
      <c r="AI418" s="23" t="n">
        <f aca="false">C418+IF(ISNUMBER(J418),J418,0)/100000+(10000-ROW())/1000000000</f>
        <v>49.000519582</v>
      </c>
      <c r="AJ418" s="18"/>
      <c r="AK418" s="18"/>
      <c r="AL418" s="18"/>
      <c r="AM418" s="18"/>
    </row>
    <row r="419" customFormat="false" ht="15" hidden="false" customHeight="false" outlineLevel="0" collapsed="false">
      <c r="A419" s="15" t="n">
        <f aca="false">RANK(AI419,$AI$2:$AI$755)</f>
        <v>418</v>
      </c>
      <c r="B419" s="16" t="str">
        <f aca="false">IF(T419="Y","Superseded",IF(C419&gt;=Scoring!$B$16,"Immediate",IF(C419&gt;=Scoring!$B$17,"This week",IF(C419&gt;=Scoring!$B$18,"Nurture","Low"))))</f>
        <v>Nurture</v>
      </c>
      <c r="C419" s="3" t="n">
        <f aca="false">SUM(AC419:AH419)</f>
        <v>49</v>
      </c>
      <c r="D419" s="15" t="str">
        <f aca="false">IF(T419="Y","Superseded record",IF(AND(U419&lt;&gt;"",AA419&lt;0),"Expired (verified)",IF(AND(U419&lt;&gt;"",AA419&lt;=Scoring!$B$5),"Expiring: notice window (verified)",IF(AND(U419&lt;&gt;"",AA419&lt;=Scoring!$B$6),"Expiring: 10-yr horizon (verified)",IF(M419="No Longer Monitored","Out of program",IF(N419="","Unknown vintage",IF(N419&lt;Scoring!$B$12,"Pre-1990, still listed",IF(AND(U419="",AA419&lt;0),"Past 30-yr mark (verify)",IF(AND(U419="",AA419&lt;=Scoring!$B$5),"30-yr mark: notice window (est.)",IF(AND(O419&gt;=Scoring!$B$7,O419&lt;=Scoring!$B$8),"Year-15 window",IF(O419&gt;=Scoring!$B$9,"Recap window",IF(O419&gt;=11,"Late compliance","Credit period"))))))))))))</f>
        <v>Recap window</v>
      </c>
      <c r="E419" s="15" t="s">
        <v>1569</v>
      </c>
      <c r="F419" s="15" t="s">
        <v>1570</v>
      </c>
      <c r="G419" s="15" t="s">
        <v>1571</v>
      </c>
      <c r="H419" s="15" t="s">
        <v>1321</v>
      </c>
      <c r="I419" s="15" t="s">
        <v>1322</v>
      </c>
      <c r="J419" s="15" t="n">
        <v>50</v>
      </c>
      <c r="K419" s="15" t="n">
        <v>49</v>
      </c>
      <c r="L419" s="15" t="n">
        <f aca="false">IF(OR(J419="",K419=""),"",MAX(J419-K419,0))</f>
        <v>1</v>
      </c>
      <c r="M419" s="15" t="s">
        <v>99</v>
      </c>
      <c r="N419" s="17" t="n">
        <v>2002</v>
      </c>
      <c r="O419" s="15" t="n">
        <f aca="false">IF(N419="","",Scoring!$B$4-N419)</f>
        <v>24</v>
      </c>
      <c r="P419" s="15" t="n">
        <f aca="false">IF(N419="","",N419+14)</f>
        <v>2016</v>
      </c>
      <c r="Q419" s="15" t="n">
        <f aca="false">IF(N419="","",IF(N419&lt;Scoring!$B$12,"n/a (pre-1990)",N419+Scoring!$B$13))</f>
        <v>2031</v>
      </c>
      <c r="R419" s="15" t="str">
        <f aca="false">IF(J419="","Unknown",IF(J419&gt;=5,"Yes","No (under 5 units)"))</f>
        <v>Yes</v>
      </c>
      <c r="S419" s="15"/>
      <c r="T419" s="18"/>
      <c r="U419" s="19"/>
      <c r="V419" s="18"/>
      <c r="W419" s="18"/>
      <c r="X419" s="20"/>
      <c r="Y419" s="18"/>
      <c r="Z419" s="18"/>
      <c r="AA419" s="21" t="n">
        <f aca="false">IF(U419&lt;&gt;"",(U419-Scoring!$B$3)/365.25,IF(N419="","",IF(N419&lt;Scoring!$B$12,"",(DATE(N419+Scoring!$B$13,12,31)-Scoring!$B$3)/365.25)))</f>
        <v>5.24572210814511</v>
      </c>
      <c r="AB419" s="22" t="n">
        <f aca="false">IF(T419="Y",0,IF(OR(D419="Expired (verified)",D419="Expiring: notice window (verified)",D419="Expiring: 10-yr horizon (verified)",D419="Past 30-yr mark (verify)",D419="30-yr mark: notice window (est.)",D419="Year-15 window"),1,0)+IF(ISNUMBER(O419),IF(O419&gt;=Scoring!$B$10,1,0),0)+IF(AND(ISNUMBER(L419),ISNUMBER(J419)),IF(J419&gt;0,IF(L419/J419&gt;=Scoring!$B$11,1,0),0),0)+IF(ISNUMBER(Z419),MIN(Z419,3),0))</f>
        <v>1</v>
      </c>
      <c r="AC419" s="22" t="n">
        <f aca="false">IF(AB419&gt;=3,Scoring!$C$24,IF(AB419=2,Scoring!$C$23,IF(AB419=1,Scoring!$C$22,0)))</f>
        <v>10</v>
      </c>
      <c r="AD419" s="22" t="n">
        <f aca="false">IF(T419="Y",0,IF(ISNUMBER(X419),IF(X419&gt;0.7,Scoring!$C$25,IF(X419&gt;=0.5,Scoring!$C$26,IF(X419&gt;=0.3,Scoring!$C$27,Scoring!$C$28))),Scoring!$C$29))</f>
        <v>10</v>
      </c>
      <c r="AE419" s="22" t="n">
        <f aca="false">IF(D419="Expiring: notice window (verified)",Scoring!$C$30,IF(OR(D419="Expired (verified)",D419="30-yr mark: notice window (est.)",D419="Year-15 window"),Scoring!$C$31,IF(D419="Expiring: 10-yr horizon (verified)",Scoring!$C$32,IF(D419="Past 30-yr mark (verify)",Scoring!$C$33,IF(OR(D419="Credit period",D419="Superseded record"),Scoring!$C$35,Scoring!$C$34)))))</f>
        <v>4</v>
      </c>
      <c r="AF419" s="22" t="n">
        <f aca="false">IF(T419="Y",0,IF(ISNUMBER(V419),IF(Scoring!$B$4-V419&gt;15,Scoring!$C$36,IF(Scoring!$B$4-V419&gt;=10,Scoring!$C$37,IF(Scoring!$B$4-V419&gt;=5,Scoring!$C$38,Scoring!$C$39))),IF(OR(N419="",D419="Out of program"),Scoring!$C$40,IF(O419&gt;15,Scoring!$C$36,IF(O419&gt;=10,Scoring!$C$37,IF(O419&gt;=5,Scoring!$C$38,Scoring!$C$39))))))</f>
        <v>15</v>
      </c>
      <c r="AG419" s="22" t="n">
        <f aca="false">IF(T419="Y",0,IF(Y419="Y",Scoring!$C$41,IF(ISNUMBER(O419),IF(O419&gt;=25,Scoring!$C$42,IF(O419&gt;=15,Scoring!$C$43,Scoring!$C$44)),Scoring!$C$44)))</f>
        <v>5</v>
      </c>
      <c r="AH419" s="22" t="n">
        <f aca="false">IF(T419="Y",0,IF(W419="",Scoring!$C$49,IFERROR(VLOOKUP(W419,Scoring!$B$45:$C$48,2,FALSE()),Scoring!$C$49)))</f>
        <v>5</v>
      </c>
      <c r="AI419" s="23" t="n">
        <f aca="false">C419+IF(ISNUMBER(J419),J419,0)/100000+(10000-ROW())/1000000000</f>
        <v>49.000509581</v>
      </c>
      <c r="AJ419" s="18"/>
      <c r="AK419" s="18"/>
      <c r="AL419" s="18"/>
      <c r="AM419" s="18"/>
    </row>
    <row r="420" customFormat="false" ht="15" hidden="false" customHeight="false" outlineLevel="0" collapsed="false">
      <c r="A420" s="15" t="n">
        <f aca="false">RANK(AI420,$AI$2:$AI$755)</f>
        <v>419</v>
      </c>
      <c r="B420" s="16" t="str">
        <f aca="false">IF(T420="Y","Superseded",IF(C420&gt;=Scoring!$B$16,"Immediate",IF(C420&gt;=Scoring!$B$17,"This week",IF(C420&gt;=Scoring!$B$18,"Nurture","Low"))))</f>
        <v>Nurture</v>
      </c>
      <c r="C420" s="3" t="n">
        <f aca="false">SUM(AC420:AH420)</f>
        <v>49</v>
      </c>
      <c r="D420" s="15" t="str">
        <f aca="false">IF(T420="Y","Superseded record",IF(AND(U420&lt;&gt;"",AA420&lt;0),"Expired (verified)",IF(AND(U420&lt;&gt;"",AA420&lt;=Scoring!$B$5),"Expiring: notice window (verified)",IF(AND(U420&lt;&gt;"",AA420&lt;=Scoring!$B$6),"Expiring: 10-yr horizon (verified)",IF(M420="No Longer Monitored","Out of program",IF(N420="","Unknown vintage",IF(N420&lt;Scoring!$B$12,"Pre-1990, still listed",IF(AND(U420="",AA420&lt;0),"Past 30-yr mark (verify)",IF(AND(U420="",AA420&lt;=Scoring!$B$5),"30-yr mark: notice window (est.)",IF(AND(O420&gt;=Scoring!$B$7,O420&lt;=Scoring!$B$8),"Year-15 window",IF(O420&gt;=Scoring!$B$9,"Recap window",IF(O420&gt;=11,"Late compliance","Credit period"))))))))))))</f>
        <v>Recap window</v>
      </c>
      <c r="E420" s="15" t="s">
        <v>1572</v>
      </c>
      <c r="F420" s="15" t="s">
        <v>1573</v>
      </c>
      <c r="G420" s="15" t="s">
        <v>1574</v>
      </c>
      <c r="H420" s="15" t="s">
        <v>212</v>
      </c>
      <c r="I420" s="15" t="s">
        <v>213</v>
      </c>
      <c r="J420" s="15" t="n">
        <v>50</v>
      </c>
      <c r="K420" s="15" t="n">
        <v>50</v>
      </c>
      <c r="L420" s="15" t="n">
        <f aca="false">IF(OR(J420="",K420=""),"",MAX(J420-K420,0))</f>
        <v>0</v>
      </c>
      <c r="M420" s="15" t="s">
        <v>99</v>
      </c>
      <c r="N420" s="17" t="n">
        <v>2004</v>
      </c>
      <c r="O420" s="15" t="n">
        <f aca="false">IF(N420="","",Scoring!$B$4-N420)</f>
        <v>22</v>
      </c>
      <c r="P420" s="15" t="n">
        <f aca="false">IF(N420="","",N420+14)</f>
        <v>2018</v>
      </c>
      <c r="Q420" s="15" t="n">
        <f aca="false">IF(N420="","",IF(N420&lt;Scoring!$B$12,"n/a (pre-1990)",N420+Scoring!$B$13))</f>
        <v>2033</v>
      </c>
      <c r="R420" s="15" t="str">
        <f aca="false">IF(J420="","Unknown",IF(J420&gt;=5,"Yes","No (under 5 units)"))</f>
        <v>Yes</v>
      </c>
      <c r="S420" s="15"/>
      <c r="T420" s="18"/>
      <c r="U420" s="19"/>
      <c r="V420" s="18"/>
      <c r="W420" s="18"/>
      <c r="X420" s="20"/>
      <c r="Y420" s="18"/>
      <c r="Z420" s="18"/>
      <c r="AA420" s="21" t="n">
        <f aca="false">IF(U420&lt;&gt;"",(U420-Scoring!$B$3)/365.25,IF(N420="","",IF(N420&lt;Scoring!$B$12,"",(DATE(N420+Scoring!$B$13,12,31)-Scoring!$B$3)/365.25)))</f>
        <v>7.24709103353867</v>
      </c>
      <c r="AB420" s="22" t="n">
        <f aca="false">IF(T420="Y",0,IF(OR(D420="Expired (verified)",D420="Expiring: notice window (verified)",D420="Expiring: 10-yr horizon (verified)",D420="Past 30-yr mark (verify)",D420="30-yr mark: notice window (est.)",D420="Year-15 window"),1,0)+IF(ISNUMBER(O420),IF(O420&gt;=Scoring!$B$10,1,0),0)+IF(AND(ISNUMBER(L420),ISNUMBER(J420)),IF(J420&gt;0,IF(L420/J420&gt;=Scoring!$B$11,1,0),0),0)+IF(ISNUMBER(Z420),MIN(Z420,3),0))</f>
        <v>1</v>
      </c>
      <c r="AC420" s="22" t="n">
        <f aca="false">IF(AB420&gt;=3,Scoring!$C$24,IF(AB420=2,Scoring!$C$23,IF(AB420=1,Scoring!$C$22,0)))</f>
        <v>10</v>
      </c>
      <c r="AD420" s="22" t="n">
        <f aca="false">IF(T420="Y",0,IF(ISNUMBER(X420),IF(X420&gt;0.7,Scoring!$C$25,IF(X420&gt;=0.5,Scoring!$C$26,IF(X420&gt;=0.3,Scoring!$C$27,Scoring!$C$28))),Scoring!$C$29))</f>
        <v>10</v>
      </c>
      <c r="AE420" s="22" t="n">
        <f aca="false">IF(D420="Expiring: notice window (verified)",Scoring!$C$30,IF(OR(D420="Expired (verified)",D420="30-yr mark: notice window (est.)",D420="Year-15 window"),Scoring!$C$31,IF(D420="Expiring: 10-yr horizon (verified)",Scoring!$C$32,IF(D420="Past 30-yr mark (verify)",Scoring!$C$33,IF(OR(D420="Credit period",D420="Superseded record"),Scoring!$C$35,Scoring!$C$34)))))</f>
        <v>4</v>
      </c>
      <c r="AF420" s="22" t="n">
        <f aca="false">IF(T420="Y",0,IF(ISNUMBER(V420),IF(Scoring!$B$4-V420&gt;15,Scoring!$C$36,IF(Scoring!$B$4-V420&gt;=10,Scoring!$C$37,IF(Scoring!$B$4-V420&gt;=5,Scoring!$C$38,Scoring!$C$39))),IF(OR(N420="",D420="Out of program"),Scoring!$C$40,IF(O420&gt;15,Scoring!$C$36,IF(O420&gt;=10,Scoring!$C$37,IF(O420&gt;=5,Scoring!$C$38,Scoring!$C$39))))))</f>
        <v>15</v>
      </c>
      <c r="AG420" s="22" t="n">
        <f aca="false">IF(T420="Y",0,IF(Y420="Y",Scoring!$C$41,IF(ISNUMBER(O420),IF(O420&gt;=25,Scoring!$C$42,IF(O420&gt;=15,Scoring!$C$43,Scoring!$C$44)),Scoring!$C$44)))</f>
        <v>5</v>
      </c>
      <c r="AH420" s="22" t="n">
        <f aca="false">IF(T420="Y",0,IF(W420="",Scoring!$C$49,IFERROR(VLOOKUP(W420,Scoring!$B$45:$C$48,2,FALSE()),Scoring!$C$49)))</f>
        <v>5</v>
      </c>
      <c r="AI420" s="23" t="n">
        <f aca="false">C420+IF(ISNUMBER(J420),J420,0)/100000+(10000-ROW())/1000000000</f>
        <v>49.00050958</v>
      </c>
      <c r="AJ420" s="18"/>
      <c r="AK420" s="18"/>
      <c r="AL420" s="18"/>
      <c r="AM420" s="18"/>
    </row>
    <row r="421" customFormat="false" ht="15" hidden="false" customHeight="false" outlineLevel="0" collapsed="false">
      <c r="A421" s="15" t="n">
        <f aca="false">RANK(AI421,$AI$2:$AI$755)</f>
        <v>420</v>
      </c>
      <c r="B421" s="16" t="str">
        <f aca="false">IF(T421="Y","Superseded",IF(C421&gt;=Scoring!$B$16,"Immediate",IF(C421&gt;=Scoring!$B$17,"This week",IF(C421&gt;=Scoring!$B$18,"Nurture","Low"))))</f>
        <v>Nurture</v>
      </c>
      <c r="C421" s="3" t="n">
        <f aca="false">SUM(AC421:AH421)</f>
        <v>49</v>
      </c>
      <c r="D421" s="15" t="str">
        <f aca="false">IF(T421="Y","Superseded record",IF(AND(U421&lt;&gt;"",AA421&lt;0),"Expired (verified)",IF(AND(U421&lt;&gt;"",AA421&lt;=Scoring!$B$5),"Expiring: notice window (verified)",IF(AND(U421&lt;&gt;"",AA421&lt;=Scoring!$B$6),"Expiring: 10-yr horizon (verified)",IF(M421="No Longer Monitored","Out of program",IF(N421="","Unknown vintage",IF(N421&lt;Scoring!$B$12,"Pre-1990, still listed",IF(AND(U421="",AA421&lt;0),"Past 30-yr mark (verify)",IF(AND(U421="",AA421&lt;=Scoring!$B$5),"30-yr mark: notice window (est.)",IF(AND(O421&gt;=Scoring!$B$7,O421&lt;=Scoring!$B$8),"Year-15 window",IF(O421&gt;=Scoring!$B$9,"Recap window",IF(O421&gt;=11,"Late compliance","Credit period"))))))))))))</f>
        <v>Recap window</v>
      </c>
      <c r="E421" s="15" t="s">
        <v>1575</v>
      </c>
      <c r="F421" s="15" t="s">
        <v>1576</v>
      </c>
      <c r="G421" s="15" t="s">
        <v>1577</v>
      </c>
      <c r="H421" s="15" t="s">
        <v>97</v>
      </c>
      <c r="I421" s="15" t="s">
        <v>1309</v>
      </c>
      <c r="J421" s="15" t="n">
        <v>50</v>
      </c>
      <c r="K421" s="15" t="n">
        <v>50</v>
      </c>
      <c r="L421" s="15" t="n">
        <f aca="false">IF(OR(J421="",K421=""),"",MAX(J421-K421,0))</f>
        <v>0</v>
      </c>
      <c r="M421" s="15" t="s">
        <v>99</v>
      </c>
      <c r="N421" s="17" t="n">
        <v>2005</v>
      </c>
      <c r="O421" s="15" t="n">
        <f aca="false">IF(N421="","",Scoring!$B$4-N421)</f>
        <v>21</v>
      </c>
      <c r="P421" s="15" t="n">
        <f aca="false">IF(N421="","",N421+14)</f>
        <v>2019</v>
      </c>
      <c r="Q421" s="15" t="n">
        <f aca="false">IF(N421="","",IF(N421&lt;Scoring!$B$12,"n/a (pre-1990)",N421+Scoring!$B$13))</f>
        <v>2034</v>
      </c>
      <c r="R421" s="15" t="str">
        <f aca="false">IF(J421="","Unknown",IF(J421&gt;=5,"Yes","No (under 5 units)"))</f>
        <v>Yes</v>
      </c>
      <c r="S421" s="15"/>
      <c r="T421" s="18"/>
      <c r="U421" s="19"/>
      <c r="V421" s="18"/>
      <c r="W421" s="18"/>
      <c r="X421" s="20"/>
      <c r="Y421" s="18"/>
      <c r="Z421" s="18"/>
      <c r="AA421" s="21" t="n">
        <f aca="false">IF(U421&lt;&gt;"",(U421-Scoring!$B$3)/365.25,IF(N421="","",IF(N421&lt;Scoring!$B$12,"",(DATE(N421+Scoring!$B$13,12,31)-Scoring!$B$3)/365.25)))</f>
        <v>8.24640657084189</v>
      </c>
      <c r="AB421" s="22" t="n">
        <f aca="false">IF(T421="Y",0,IF(OR(D421="Expired (verified)",D421="Expiring: notice window (verified)",D421="Expiring: 10-yr horizon (verified)",D421="Past 30-yr mark (verify)",D421="30-yr mark: notice window (est.)",D421="Year-15 window"),1,0)+IF(ISNUMBER(O421),IF(O421&gt;=Scoring!$B$10,1,0),0)+IF(AND(ISNUMBER(L421),ISNUMBER(J421)),IF(J421&gt;0,IF(L421/J421&gt;=Scoring!$B$11,1,0),0),0)+IF(ISNUMBER(Z421),MIN(Z421,3),0))</f>
        <v>1</v>
      </c>
      <c r="AC421" s="22" t="n">
        <f aca="false">IF(AB421&gt;=3,Scoring!$C$24,IF(AB421=2,Scoring!$C$23,IF(AB421=1,Scoring!$C$22,0)))</f>
        <v>10</v>
      </c>
      <c r="AD421" s="22" t="n">
        <f aca="false">IF(T421="Y",0,IF(ISNUMBER(X421),IF(X421&gt;0.7,Scoring!$C$25,IF(X421&gt;=0.5,Scoring!$C$26,IF(X421&gt;=0.3,Scoring!$C$27,Scoring!$C$28))),Scoring!$C$29))</f>
        <v>10</v>
      </c>
      <c r="AE421" s="22" t="n">
        <f aca="false">IF(D421="Expiring: notice window (verified)",Scoring!$C$30,IF(OR(D421="Expired (verified)",D421="30-yr mark: notice window (est.)",D421="Year-15 window"),Scoring!$C$31,IF(D421="Expiring: 10-yr horizon (verified)",Scoring!$C$32,IF(D421="Past 30-yr mark (verify)",Scoring!$C$33,IF(OR(D421="Credit period",D421="Superseded record"),Scoring!$C$35,Scoring!$C$34)))))</f>
        <v>4</v>
      </c>
      <c r="AF421" s="22" t="n">
        <f aca="false">IF(T421="Y",0,IF(ISNUMBER(V421),IF(Scoring!$B$4-V421&gt;15,Scoring!$C$36,IF(Scoring!$B$4-V421&gt;=10,Scoring!$C$37,IF(Scoring!$B$4-V421&gt;=5,Scoring!$C$38,Scoring!$C$39))),IF(OR(N421="",D421="Out of program"),Scoring!$C$40,IF(O421&gt;15,Scoring!$C$36,IF(O421&gt;=10,Scoring!$C$37,IF(O421&gt;=5,Scoring!$C$38,Scoring!$C$39))))))</f>
        <v>15</v>
      </c>
      <c r="AG421" s="22" t="n">
        <f aca="false">IF(T421="Y",0,IF(Y421="Y",Scoring!$C$41,IF(ISNUMBER(O421),IF(O421&gt;=25,Scoring!$C$42,IF(O421&gt;=15,Scoring!$C$43,Scoring!$C$44)),Scoring!$C$44)))</f>
        <v>5</v>
      </c>
      <c r="AH421" s="22" t="n">
        <f aca="false">IF(T421="Y",0,IF(W421="",Scoring!$C$49,IFERROR(VLOOKUP(W421,Scoring!$B$45:$C$48,2,FALSE()),Scoring!$C$49)))</f>
        <v>5</v>
      </c>
      <c r="AI421" s="23" t="n">
        <f aca="false">C421+IF(ISNUMBER(J421),J421,0)/100000+(10000-ROW())/1000000000</f>
        <v>49.000509579</v>
      </c>
      <c r="AJ421" s="18"/>
      <c r="AK421" s="18"/>
      <c r="AL421" s="18"/>
      <c r="AM421" s="18"/>
    </row>
    <row r="422" customFormat="false" ht="15" hidden="false" customHeight="false" outlineLevel="0" collapsed="false">
      <c r="A422" s="15" t="n">
        <f aca="false">RANK(AI422,$AI$2:$AI$755)</f>
        <v>421</v>
      </c>
      <c r="B422" s="16" t="str">
        <f aca="false">IF(T422="Y","Superseded",IF(C422&gt;=Scoring!$B$16,"Immediate",IF(C422&gt;=Scoring!$B$17,"This week",IF(C422&gt;=Scoring!$B$18,"Nurture","Low"))))</f>
        <v>Nurture</v>
      </c>
      <c r="C422" s="3" t="n">
        <f aca="false">SUM(AC422:AH422)</f>
        <v>49</v>
      </c>
      <c r="D422" s="15" t="str">
        <f aca="false">IF(T422="Y","Superseded record",IF(AND(U422&lt;&gt;"",AA422&lt;0),"Expired (verified)",IF(AND(U422&lt;&gt;"",AA422&lt;=Scoring!$B$5),"Expiring: notice window (verified)",IF(AND(U422&lt;&gt;"",AA422&lt;=Scoring!$B$6),"Expiring: 10-yr horizon (verified)",IF(M422="No Longer Monitored","Out of program",IF(N422="","Unknown vintage",IF(N422&lt;Scoring!$B$12,"Pre-1990, still listed",IF(AND(U422="",AA422&lt;0),"Past 30-yr mark (verify)",IF(AND(U422="",AA422&lt;=Scoring!$B$5),"30-yr mark: notice window (est.)",IF(AND(O422&gt;=Scoring!$B$7,O422&lt;=Scoring!$B$8),"Year-15 window",IF(O422&gt;=Scoring!$B$9,"Recap window",IF(O422&gt;=11,"Late compliance","Credit period"))))))))))))</f>
        <v>Recap window</v>
      </c>
      <c r="E422" s="15" t="s">
        <v>1578</v>
      </c>
      <c r="F422" s="15" t="s">
        <v>1579</v>
      </c>
      <c r="G422" s="15" t="s">
        <v>1580</v>
      </c>
      <c r="H422" s="15" t="s">
        <v>107</v>
      </c>
      <c r="I422" s="15" t="s">
        <v>514</v>
      </c>
      <c r="J422" s="15" t="n">
        <v>48</v>
      </c>
      <c r="K422" s="15" t="n">
        <v>47</v>
      </c>
      <c r="L422" s="15" t="n">
        <f aca="false">IF(OR(J422="",K422=""),"",MAX(J422-K422,0))</f>
        <v>1</v>
      </c>
      <c r="M422" s="15" t="s">
        <v>99</v>
      </c>
      <c r="N422" s="17" t="n">
        <v>2005</v>
      </c>
      <c r="O422" s="15" t="n">
        <f aca="false">IF(N422="","",Scoring!$B$4-N422)</f>
        <v>21</v>
      </c>
      <c r="P422" s="15" t="n">
        <f aca="false">IF(N422="","",N422+14)</f>
        <v>2019</v>
      </c>
      <c r="Q422" s="15" t="n">
        <f aca="false">IF(N422="","",IF(N422&lt;Scoring!$B$12,"n/a (pre-1990)",N422+Scoring!$B$13))</f>
        <v>2034</v>
      </c>
      <c r="R422" s="15" t="str">
        <f aca="false">IF(J422="","Unknown",IF(J422&gt;=5,"Yes","No (under 5 units)"))</f>
        <v>Yes</v>
      </c>
      <c r="S422" s="15"/>
      <c r="T422" s="18"/>
      <c r="U422" s="19"/>
      <c r="V422" s="18"/>
      <c r="W422" s="18"/>
      <c r="X422" s="20"/>
      <c r="Y422" s="18"/>
      <c r="Z422" s="18"/>
      <c r="AA422" s="21" t="n">
        <f aca="false">IF(U422&lt;&gt;"",(U422-Scoring!$B$3)/365.25,IF(N422="","",IF(N422&lt;Scoring!$B$12,"",(DATE(N422+Scoring!$B$13,12,31)-Scoring!$B$3)/365.25)))</f>
        <v>8.24640657084189</v>
      </c>
      <c r="AB422" s="22" t="n">
        <f aca="false">IF(T422="Y",0,IF(OR(D422="Expired (verified)",D422="Expiring: notice window (verified)",D422="Expiring: 10-yr horizon (verified)",D422="Past 30-yr mark (verify)",D422="30-yr mark: notice window (est.)",D422="Year-15 window"),1,0)+IF(ISNUMBER(O422),IF(O422&gt;=Scoring!$B$10,1,0),0)+IF(AND(ISNUMBER(L422),ISNUMBER(J422)),IF(J422&gt;0,IF(L422/J422&gt;=Scoring!$B$11,1,0),0),0)+IF(ISNUMBER(Z422),MIN(Z422,3),0))</f>
        <v>1</v>
      </c>
      <c r="AC422" s="22" t="n">
        <f aca="false">IF(AB422&gt;=3,Scoring!$C$24,IF(AB422=2,Scoring!$C$23,IF(AB422=1,Scoring!$C$22,0)))</f>
        <v>10</v>
      </c>
      <c r="AD422" s="22" t="n">
        <f aca="false">IF(T422="Y",0,IF(ISNUMBER(X422),IF(X422&gt;0.7,Scoring!$C$25,IF(X422&gt;=0.5,Scoring!$C$26,IF(X422&gt;=0.3,Scoring!$C$27,Scoring!$C$28))),Scoring!$C$29))</f>
        <v>10</v>
      </c>
      <c r="AE422" s="22" t="n">
        <f aca="false">IF(D422="Expiring: notice window (verified)",Scoring!$C$30,IF(OR(D422="Expired (verified)",D422="30-yr mark: notice window (est.)",D422="Year-15 window"),Scoring!$C$31,IF(D422="Expiring: 10-yr horizon (verified)",Scoring!$C$32,IF(D422="Past 30-yr mark (verify)",Scoring!$C$33,IF(OR(D422="Credit period",D422="Superseded record"),Scoring!$C$35,Scoring!$C$34)))))</f>
        <v>4</v>
      </c>
      <c r="AF422" s="22" t="n">
        <f aca="false">IF(T422="Y",0,IF(ISNUMBER(V422),IF(Scoring!$B$4-V422&gt;15,Scoring!$C$36,IF(Scoring!$B$4-V422&gt;=10,Scoring!$C$37,IF(Scoring!$B$4-V422&gt;=5,Scoring!$C$38,Scoring!$C$39))),IF(OR(N422="",D422="Out of program"),Scoring!$C$40,IF(O422&gt;15,Scoring!$C$36,IF(O422&gt;=10,Scoring!$C$37,IF(O422&gt;=5,Scoring!$C$38,Scoring!$C$39))))))</f>
        <v>15</v>
      </c>
      <c r="AG422" s="22" t="n">
        <f aca="false">IF(T422="Y",0,IF(Y422="Y",Scoring!$C$41,IF(ISNUMBER(O422),IF(O422&gt;=25,Scoring!$C$42,IF(O422&gt;=15,Scoring!$C$43,Scoring!$C$44)),Scoring!$C$44)))</f>
        <v>5</v>
      </c>
      <c r="AH422" s="22" t="n">
        <f aca="false">IF(T422="Y",0,IF(W422="",Scoring!$C$49,IFERROR(VLOOKUP(W422,Scoring!$B$45:$C$48,2,FALSE()),Scoring!$C$49)))</f>
        <v>5</v>
      </c>
      <c r="AI422" s="23" t="n">
        <f aca="false">C422+IF(ISNUMBER(J422),J422,0)/100000+(10000-ROW())/1000000000</f>
        <v>49.000489578</v>
      </c>
      <c r="AJ422" s="18"/>
      <c r="AK422" s="18"/>
      <c r="AL422" s="18"/>
      <c r="AM422" s="18"/>
    </row>
    <row r="423" customFormat="false" ht="15" hidden="false" customHeight="false" outlineLevel="0" collapsed="false">
      <c r="A423" s="15" t="n">
        <f aca="false">RANK(AI423,$AI$2:$AI$755)</f>
        <v>422</v>
      </c>
      <c r="B423" s="16" t="str">
        <f aca="false">IF(T423="Y","Superseded",IF(C423&gt;=Scoring!$B$16,"Immediate",IF(C423&gt;=Scoring!$B$17,"This week",IF(C423&gt;=Scoring!$B$18,"Nurture","Low"))))</f>
        <v>Nurture</v>
      </c>
      <c r="C423" s="3" t="n">
        <f aca="false">SUM(AC423:AH423)</f>
        <v>49</v>
      </c>
      <c r="D423" s="15" t="str">
        <f aca="false">IF(T423="Y","Superseded record",IF(AND(U423&lt;&gt;"",AA423&lt;0),"Expired (verified)",IF(AND(U423&lt;&gt;"",AA423&lt;=Scoring!$B$5),"Expiring: notice window (verified)",IF(AND(U423&lt;&gt;"",AA423&lt;=Scoring!$B$6),"Expiring: 10-yr horizon (verified)",IF(M423="No Longer Monitored","Out of program",IF(N423="","Unknown vintage",IF(N423&lt;Scoring!$B$12,"Pre-1990, still listed",IF(AND(U423="",AA423&lt;0),"Past 30-yr mark (verify)",IF(AND(U423="",AA423&lt;=Scoring!$B$5),"30-yr mark: notice window (est.)",IF(AND(O423&gt;=Scoring!$B$7,O423&lt;=Scoring!$B$8),"Year-15 window",IF(O423&gt;=Scoring!$B$9,"Recap window",IF(O423&gt;=11,"Late compliance","Credit period"))))))))))))</f>
        <v>Recap window</v>
      </c>
      <c r="E423" s="15" t="s">
        <v>1581</v>
      </c>
      <c r="F423" s="15" t="s">
        <v>1582</v>
      </c>
      <c r="G423" s="15" t="s">
        <v>1583</v>
      </c>
      <c r="H423" s="15" t="s">
        <v>255</v>
      </c>
      <c r="I423" s="15" t="s">
        <v>256</v>
      </c>
      <c r="J423" s="15" t="n">
        <v>48</v>
      </c>
      <c r="K423" s="15" t="n">
        <v>48</v>
      </c>
      <c r="L423" s="15" t="n">
        <f aca="false">IF(OR(J423="",K423=""),"",MAX(J423-K423,0))</f>
        <v>0</v>
      </c>
      <c r="M423" s="15" t="s">
        <v>99</v>
      </c>
      <c r="N423" s="17" t="n">
        <v>2005</v>
      </c>
      <c r="O423" s="15" t="n">
        <f aca="false">IF(N423="","",Scoring!$B$4-N423)</f>
        <v>21</v>
      </c>
      <c r="P423" s="15" t="n">
        <f aca="false">IF(N423="","",N423+14)</f>
        <v>2019</v>
      </c>
      <c r="Q423" s="15" t="n">
        <f aca="false">IF(N423="","",IF(N423&lt;Scoring!$B$12,"n/a (pre-1990)",N423+Scoring!$B$13))</f>
        <v>2034</v>
      </c>
      <c r="R423" s="15" t="str">
        <f aca="false">IF(J423="","Unknown",IF(J423&gt;=5,"Yes","No (under 5 units)"))</f>
        <v>Yes</v>
      </c>
      <c r="S423" s="15"/>
      <c r="T423" s="18"/>
      <c r="U423" s="19"/>
      <c r="V423" s="18"/>
      <c r="W423" s="18"/>
      <c r="X423" s="20"/>
      <c r="Y423" s="18"/>
      <c r="Z423" s="18"/>
      <c r="AA423" s="21" t="n">
        <f aca="false">IF(U423&lt;&gt;"",(U423-Scoring!$B$3)/365.25,IF(N423="","",IF(N423&lt;Scoring!$B$12,"",(DATE(N423+Scoring!$B$13,12,31)-Scoring!$B$3)/365.25)))</f>
        <v>8.24640657084189</v>
      </c>
      <c r="AB423" s="22" t="n">
        <f aca="false">IF(T423="Y",0,IF(OR(D423="Expired (verified)",D423="Expiring: notice window (verified)",D423="Expiring: 10-yr horizon (verified)",D423="Past 30-yr mark (verify)",D423="30-yr mark: notice window (est.)",D423="Year-15 window"),1,0)+IF(ISNUMBER(O423),IF(O423&gt;=Scoring!$B$10,1,0),0)+IF(AND(ISNUMBER(L423),ISNUMBER(J423)),IF(J423&gt;0,IF(L423/J423&gt;=Scoring!$B$11,1,0),0),0)+IF(ISNUMBER(Z423),MIN(Z423,3),0))</f>
        <v>1</v>
      </c>
      <c r="AC423" s="22" t="n">
        <f aca="false">IF(AB423&gt;=3,Scoring!$C$24,IF(AB423=2,Scoring!$C$23,IF(AB423=1,Scoring!$C$22,0)))</f>
        <v>10</v>
      </c>
      <c r="AD423" s="22" t="n">
        <f aca="false">IF(T423="Y",0,IF(ISNUMBER(X423),IF(X423&gt;0.7,Scoring!$C$25,IF(X423&gt;=0.5,Scoring!$C$26,IF(X423&gt;=0.3,Scoring!$C$27,Scoring!$C$28))),Scoring!$C$29))</f>
        <v>10</v>
      </c>
      <c r="AE423" s="22" t="n">
        <f aca="false">IF(D423="Expiring: notice window (verified)",Scoring!$C$30,IF(OR(D423="Expired (verified)",D423="30-yr mark: notice window (est.)",D423="Year-15 window"),Scoring!$C$31,IF(D423="Expiring: 10-yr horizon (verified)",Scoring!$C$32,IF(D423="Past 30-yr mark (verify)",Scoring!$C$33,IF(OR(D423="Credit period",D423="Superseded record"),Scoring!$C$35,Scoring!$C$34)))))</f>
        <v>4</v>
      </c>
      <c r="AF423" s="22" t="n">
        <f aca="false">IF(T423="Y",0,IF(ISNUMBER(V423),IF(Scoring!$B$4-V423&gt;15,Scoring!$C$36,IF(Scoring!$B$4-V423&gt;=10,Scoring!$C$37,IF(Scoring!$B$4-V423&gt;=5,Scoring!$C$38,Scoring!$C$39))),IF(OR(N423="",D423="Out of program"),Scoring!$C$40,IF(O423&gt;15,Scoring!$C$36,IF(O423&gt;=10,Scoring!$C$37,IF(O423&gt;=5,Scoring!$C$38,Scoring!$C$39))))))</f>
        <v>15</v>
      </c>
      <c r="AG423" s="22" t="n">
        <f aca="false">IF(T423="Y",0,IF(Y423="Y",Scoring!$C$41,IF(ISNUMBER(O423),IF(O423&gt;=25,Scoring!$C$42,IF(O423&gt;=15,Scoring!$C$43,Scoring!$C$44)),Scoring!$C$44)))</f>
        <v>5</v>
      </c>
      <c r="AH423" s="22" t="n">
        <f aca="false">IF(T423="Y",0,IF(W423="",Scoring!$C$49,IFERROR(VLOOKUP(W423,Scoring!$B$45:$C$48,2,FALSE()),Scoring!$C$49)))</f>
        <v>5</v>
      </c>
      <c r="AI423" s="23" t="n">
        <f aca="false">C423+IF(ISNUMBER(J423),J423,0)/100000+(10000-ROW())/1000000000</f>
        <v>49.000489577</v>
      </c>
      <c r="AJ423" s="18"/>
      <c r="AK423" s="18"/>
      <c r="AL423" s="18"/>
      <c r="AM423" s="18"/>
    </row>
    <row r="424" customFormat="false" ht="15" hidden="false" customHeight="false" outlineLevel="0" collapsed="false">
      <c r="A424" s="15" t="n">
        <f aca="false">RANK(AI424,$AI$2:$AI$755)</f>
        <v>423</v>
      </c>
      <c r="B424" s="16" t="str">
        <f aca="false">IF(T424="Y","Superseded",IF(C424&gt;=Scoring!$B$16,"Immediate",IF(C424&gt;=Scoring!$B$17,"This week",IF(C424&gt;=Scoring!$B$18,"Nurture","Low"))))</f>
        <v>Nurture</v>
      </c>
      <c r="C424" s="3" t="n">
        <f aca="false">SUM(AC424:AH424)</f>
        <v>49</v>
      </c>
      <c r="D424" s="15" t="str">
        <f aca="false">IF(T424="Y","Superseded record",IF(AND(U424&lt;&gt;"",AA424&lt;0),"Expired (verified)",IF(AND(U424&lt;&gt;"",AA424&lt;=Scoring!$B$5),"Expiring: notice window (verified)",IF(AND(U424&lt;&gt;"",AA424&lt;=Scoring!$B$6),"Expiring: 10-yr horizon (verified)",IF(M424="No Longer Monitored","Out of program",IF(N424="","Unknown vintage",IF(N424&lt;Scoring!$B$12,"Pre-1990, still listed",IF(AND(U424="",AA424&lt;0),"Past 30-yr mark (verify)",IF(AND(U424="",AA424&lt;=Scoring!$B$5),"30-yr mark: notice window (est.)",IF(AND(O424&gt;=Scoring!$B$7,O424&lt;=Scoring!$B$8),"Year-15 window",IF(O424&gt;=Scoring!$B$9,"Recap window",IF(O424&gt;=11,"Late compliance","Credit period"))))))))))))</f>
        <v>Recap window</v>
      </c>
      <c r="E424" s="15" t="s">
        <v>1584</v>
      </c>
      <c r="F424" s="15" t="s">
        <v>1585</v>
      </c>
      <c r="G424" s="15" t="s">
        <v>1586</v>
      </c>
      <c r="H424" s="15" t="s">
        <v>97</v>
      </c>
      <c r="I424" s="15" t="s">
        <v>330</v>
      </c>
      <c r="J424" s="15" t="n">
        <v>47</v>
      </c>
      <c r="K424" s="15" t="n">
        <v>47</v>
      </c>
      <c r="L424" s="15" t="n">
        <f aca="false">IF(OR(J424="",K424=""),"",MAX(J424-K424,0))</f>
        <v>0</v>
      </c>
      <c r="M424" s="15" t="s">
        <v>99</v>
      </c>
      <c r="N424" s="17" t="n">
        <v>2005</v>
      </c>
      <c r="O424" s="15" t="n">
        <f aca="false">IF(N424="","",Scoring!$B$4-N424)</f>
        <v>21</v>
      </c>
      <c r="P424" s="15" t="n">
        <f aca="false">IF(N424="","",N424+14)</f>
        <v>2019</v>
      </c>
      <c r="Q424" s="15" t="n">
        <f aca="false">IF(N424="","",IF(N424&lt;Scoring!$B$12,"n/a (pre-1990)",N424+Scoring!$B$13))</f>
        <v>2034</v>
      </c>
      <c r="R424" s="15" t="str">
        <f aca="false">IF(J424="","Unknown",IF(J424&gt;=5,"Yes","No (under 5 units)"))</f>
        <v>Yes</v>
      </c>
      <c r="S424" s="15" t="s">
        <v>1587</v>
      </c>
      <c r="T424" s="18"/>
      <c r="U424" s="19"/>
      <c r="V424" s="18"/>
      <c r="W424" s="18"/>
      <c r="X424" s="20"/>
      <c r="Y424" s="18"/>
      <c r="Z424" s="18"/>
      <c r="AA424" s="21" t="n">
        <f aca="false">IF(U424&lt;&gt;"",(U424-Scoring!$B$3)/365.25,IF(N424="","",IF(N424&lt;Scoring!$B$12,"",(DATE(N424+Scoring!$B$13,12,31)-Scoring!$B$3)/365.25)))</f>
        <v>8.24640657084189</v>
      </c>
      <c r="AB424" s="22" t="n">
        <f aca="false">IF(T424="Y",0,IF(OR(D424="Expired (verified)",D424="Expiring: notice window (verified)",D424="Expiring: 10-yr horizon (verified)",D424="Past 30-yr mark (verify)",D424="30-yr mark: notice window (est.)",D424="Year-15 window"),1,0)+IF(ISNUMBER(O424),IF(O424&gt;=Scoring!$B$10,1,0),0)+IF(AND(ISNUMBER(L424),ISNUMBER(J424)),IF(J424&gt;0,IF(L424/J424&gt;=Scoring!$B$11,1,0),0),0)+IF(ISNUMBER(Z424),MIN(Z424,3),0))</f>
        <v>1</v>
      </c>
      <c r="AC424" s="22" t="n">
        <f aca="false">IF(AB424&gt;=3,Scoring!$C$24,IF(AB424=2,Scoring!$C$23,IF(AB424=1,Scoring!$C$22,0)))</f>
        <v>10</v>
      </c>
      <c r="AD424" s="22" t="n">
        <f aca="false">IF(T424="Y",0,IF(ISNUMBER(X424),IF(X424&gt;0.7,Scoring!$C$25,IF(X424&gt;=0.5,Scoring!$C$26,IF(X424&gt;=0.3,Scoring!$C$27,Scoring!$C$28))),Scoring!$C$29))</f>
        <v>10</v>
      </c>
      <c r="AE424" s="22" t="n">
        <f aca="false">IF(D424="Expiring: notice window (verified)",Scoring!$C$30,IF(OR(D424="Expired (verified)",D424="30-yr mark: notice window (est.)",D424="Year-15 window"),Scoring!$C$31,IF(D424="Expiring: 10-yr horizon (verified)",Scoring!$C$32,IF(D424="Past 30-yr mark (verify)",Scoring!$C$33,IF(OR(D424="Credit period",D424="Superseded record"),Scoring!$C$35,Scoring!$C$34)))))</f>
        <v>4</v>
      </c>
      <c r="AF424" s="22" t="n">
        <f aca="false">IF(T424="Y",0,IF(ISNUMBER(V424),IF(Scoring!$B$4-V424&gt;15,Scoring!$C$36,IF(Scoring!$B$4-V424&gt;=10,Scoring!$C$37,IF(Scoring!$B$4-V424&gt;=5,Scoring!$C$38,Scoring!$C$39))),IF(OR(N424="",D424="Out of program"),Scoring!$C$40,IF(O424&gt;15,Scoring!$C$36,IF(O424&gt;=10,Scoring!$C$37,IF(O424&gt;=5,Scoring!$C$38,Scoring!$C$39))))))</f>
        <v>15</v>
      </c>
      <c r="AG424" s="22" t="n">
        <f aca="false">IF(T424="Y",0,IF(Y424="Y",Scoring!$C$41,IF(ISNUMBER(O424),IF(O424&gt;=25,Scoring!$C$42,IF(O424&gt;=15,Scoring!$C$43,Scoring!$C$44)),Scoring!$C$44)))</f>
        <v>5</v>
      </c>
      <c r="AH424" s="22" t="n">
        <f aca="false">IF(T424="Y",0,IF(W424="",Scoring!$C$49,IFERROR(VLOOKUP(W424,Scoring!$B$45:$C$48,2,FALSE()),Scoring!$C$49)))</f>
        <v>5</v>
      </c>
      <c r="AI424" s="23" t="n">
        <f aca="false">C424+IF(ISNUMBER(J424),J424,0)/100000+(10000-ROW())/1000000000</f>
        <v>49.000479576</v>
      </c>
      <c r="AJ424" s="18"/>
      <c r="AK424" s="18"/>
      <c r="AL424" s="18"/>
      <c r="AM424" s="18"/>
    </row>
    <row r="425" customFormat="false" ht="15" hidden="false" customHeight="false" outlineLevel="0" collapsed="false">
      <c r="A425" s="15" t="n">
        <f aca="false">RANK(AI425,$AI$2:$AI$755)</f>
        <v>424</v>
      </c>
      <c r="B425" s="16" t="str">
        <f aca="false">IF(T425="Y","Superseded",IF(C425&gt;=Scoring!$B$16,"Immediate",IF(C425&gt;=Scoring!$B$17,"This week",IF(C425&gt;=Scoring!$B$18,"Nurture","Low"))))</f>
        <v>Nurture</v>
      </c>
      <c r="C425" s="3" t="n">
        <f aca="false">SUM(AC425:AH425)</f>
        <v>49</v>
      </c>
      <c r="D425" s="15" t="str">
        <f aca="false">IF(T425="Y","Superseded record",IF(AND(U425&lt;&gt;"",AA425&lt;0),"Expired (verified)",IF(AND(U425&lt;&gt;"",AA425&lt;=Scoring!$B$5),"Expiring: notice window (verified)",IF(AND(U425&lt;&gt;"",AA425&lt;=Scoring!$B$6),"Expiring: 10-yr horizon (verified)",IF(M425="No Longer Monitored","Out of program",IF(N425="","Unknown vintage",IF(N425&lt;Scoring!$B$12,"Pre-1990, still listed",IF(AND(U425="",AA425&lt;0),"Past 30-yr mark (verify)",IF(AND(U425="",AA425&lt;=Scoring!$B$5),"30-yr mark: notice window (est.)",IF(AND(O425&gt;=Scoring!$B$7,O425&lt;=Scoring!$B$8),"Year-15 window",IF(O425&gt;=Scoring!$B$9,"Recap window",IF(O425&gt;=11,"Late compliance","Credit period"))))))))))))</f>
        <v>Recap window</v>
      </c>
      <c r="E425" s="15" t="s">
        <v>1588</v>
      </c>
      <c r="F425" s="15" t="s">
        <v>1589</v>
      </c>
      <c r="G425" s="15" t="s">
        <v>1590</v>
      </c>
      <c r="H425" s="15" t="s">
        <v>97</v>
      </c>
      <c r="I425" s="15" t="s">
        <v>164</v>
      </c>
      <c r="J425" s="15" t="n">
        <v>47</v>
      </c>
      <c r="K425" s="15" t="n">
        <v>47</v>
      </c>
      <c r="L425" s="15" t="n">
        <f aca="false">IF(OR(J425="",K425=""),"",MAX(J425-K425,0))</f>
        <v>0</v>
      </c>
      <c r="M425" s="15" t="s">
        <v>99</v>
      </c>
      <c r="N425" s="17" t="n">
        <v>2006</v>
      </c>
      <c r="O425" s="15" t="n">
        <f aca="false">IF(N425="","",Scoring!$B$4-N425)</f>
        <v>20</v>
      </c>
      <c r="P425" s="15" t="n">
        <f aca="false">IF(N425="","",N425+14)</f>
        <v>2020</v>
      </c>
      <c r="Q425" s="15" t="n">
        <f aca="false">IF(N425="","",IF(N425&lt;Scoring!$B$12,"n/a (pre-1990)",N425+Scoring!$B$13))</f>
        <v>2035</v>
      </c>
      <c r="R425" s="15" t="str">
        <f aca="false">IF(J425="","Unknown",IF(J425&gt;=5,"Yes","No (under 5 units)"))</f>
        <v>Yes</v>
      </c>
      <c r="S425" s="15"/>
      <c r="T425" s="18"/>
      <c r="U425" s="19"/>
      <c r="V425" s="18"/>
      <c r="W425" s="18"/>
      <c r="X425" s="20"/>
      <c r="Y425" s="18"/>
      <c r="Z425" s="18"/>
      <c r="AA425" s="21" t="n">
        <f aca="false">IF(U425&lt;&gt;"",(U425-Scoring!$B$3)/365.25,IF(N425="","",IF(N425&lt;Scoring!$B$12,"",(DATE(N425+Scoring!$B$13,12,31)-Scoring!$B$3)/365.25)))</f>
        <v>9.24572210814511</v>
      </c>
      <c r="AB425" s="22" t="n">
        <f aca="false">IF(T425="Y",0,IF(OR(D425="Expired (verified)",D425="Expiring: notice window (verified)",D425="Expiring: 10-yr horizon (verified)",D425="Past 30-yr mark (verify)",D425="30-yr mark: notice window (est.)",D425="Year-15 window"),1,0)+IF(ISNUMBER(O425),IF(O425&gt;=Scoring!$B$10,1,0),0)+IF(AND(ISNUMBER(L425),ISNUMBER(J425)),IF(J425&gt;0,IF(L425/J425&gt;=Scoring!$B$11,1,0),0),0)+IF(ISNUMBER(Z425),MIN(Z425,3),0))</f>
        <v>1</v>
      </c>
      <c r="AC425" s="22" t="n">
        <f aca="false">IF(AB425&gt;=3,Scoring!$C$24,IF(AB425=2,Scoring!$C$23,IF(AB425=1,Scoring!$C$22,0)))</f>
        <v>10</v>
      </c>
      <c r="AD425" s="22" t="n">
        <f aca="false">IF(T425="Y",0,IF(ISNUMBER(X425),IF(X425&gt;0.7,Scoring!$C$25,IF(X425&gt;=0.5,Scoring!$C$26,IF(X425&gt;=0.3,Scoring!$C$27,Scoring!$C$28))),Scoring!$C$29))</f>
        <v>10</v>
      </c>
      <c r="AE425" s="22" t="n">
        <f aca="false">IF(D425="Expiring: notice window (verified)",Scoring!$C$30,IF(OR(D425="Expired (verified)",D425="30-yr mark: notice window (est.)",D425="Year-15 window"),Scoring!$C$31,IF(D425="Expiring: 10-yr horizon (verified)",Scoring!$C$32,IF(D425="Past 30-yr mark (verify)",Scoring!$C$33,IF(OR(D425="Credit period",D425="Superseded record"),Scoring!$C$35,Scoring!$C$34)))))</f>
        <v>4</v>
      </c>
      <c r="AF425" s="22" t="n">
        <f aca="false">IF(T425="Y",0,IF(ISNUMBER(V425),IF(Scoring!$B$4-V425&gt;15,Scoring!$C$36,IF(Scoring!$B$4-V425&gt;=10,Scoring!$C$37,IF(Scoring!$B$4-V425&gt;=5,Scoring!$C$38,Scoring!$C$39))),IF(OR(N425="",D425="Out of program"),Scoring!$C$40,IF(O425&gt;15,Scoring!$C$36,IF(O425&gt;=10,Scoring!$C$37,IF(O425&gt;=5,Scoring!$C$38,Scoring!$C$39))))))</f>
        <v>15</v>
      </c>
      <c r="AG425" s="22" t="n">
        <f aca="false">IF(T425="Y",0,IF(Y425="Y",Scoring!$C$41,IF(ISNUMBER(O425),IF(O425&gt;=25,Scoring!$C$42,IF(O425&gt;=15,Scoring!$C$43,Scoring!$C$44)),Scoring!$C$44)))</f>
        <v>5</v>
      </c>
      <c r="AH425" s="22" t="n">
        <f aca="false">IF(T425="Y",0,IF(W425="",Scoring!$C$49,IFERROR(VLOOKUP(W425,Scoring!$B$45:$C$48,2,FALSE()),Scoring!$C$49)))</f>
        <v>5</v>
      </c>
      <c r="AI425" s="23" t="n">
        <f aca="false">C425+IF(ISNUMBER(J425),J425,0)/100000+(10000-ROW())/1000000000</f>
        <v>49.000479575</v>
      </c>
      <c r="AJ425" s="18"/>
      <c r="AK425" s="18"/>
      <c r="AL425" s="18"/>
      <c r="AM425" s="18"/>
    </row>
    <row r="426" customFormat="false" ht="15" hidden="false" customHeight="false" outlineLevel="0" collapsed="false">
      <c r="A426" s="15" t="n">
        <f aca="false">RANK(AI426,$AI$2:$AI$755)</f>
        <v>425</v>
      </c>
      <c r="B426" s="16" t="str">
        <f aca="false">IF(T426="Y","Superseded",IF(C426&gt;=Scoring!$B$16,"Immediate",IF(C426&gt;=Scoring!$B$17,"This week",IF(C426&gt;=Scoring!$B$18,"Nurture","Low"))))</f>
        <v>Nurture</v>
      </c>
      <c r="C426" s="3" t="n">
        <f aca="false">SUM(AC426:AH426)</f>
        <v>49</v>
      </c>
      <c r="D426" s="15" t="str">
        <f aca="false">IF(T426="Y","Superseded record",IF(AND(U426&lt;&gt;"",AA426&lt;0),"Expired (verified)",IF(AND(U426&lt;&gt;"",AA426&lt;=Scoring!$B$5),"Expiring: notice window (verified)",IF(AND(U426&lt;&gt;"",AA426&lt;=Scoring!$B$6),"Expiring: 10-yr horizon (verified)",IF(M426="No Longer Monitored","Out of program",IF(N426="","Unknown vintage",IF(N426&lt;Scoring!$B$12,"Pre-1990, still listed",IF(AND(U426="",AA426&lt;0),"Past 30-yr mark (verify)",IF(AND(U426="",AA426&lt;=Scoring!$B$5),"30-yr mark: notice window (est.)",IF(AND(O426&gt;=Scoring!$B$7,O426&lt;=Scoring!$B$8),"Year-15 window",IF(O426&gt;=Scoring!$B$9,"Recap window",IF(O426&gt;=11,"Late compliance","Credit period"))))))))))))</f>
        <v>Recap window</v>
      </c>
      <c r="E426" s="15" t="s">
        <v>1591</v>
      </c>
      <c r="F426" s="15" t="s">
        <v>1592</v>
      </c>
      <c r="G426" s="15" t="s">
        <v>1593</v>
      </c>
      <c r="H426" s="15" t="s">
        <v>97</v>
      </c>
      <c r="I426" s="15" t="s">
        <v>330</v>
      </c>
      <c r="J426" s="15" t="n">
        <v>46</v>
      </c>
      <c r="K426" s="15" t="n">
        <v>44</v>
      </c>
      <c r="L426" s="15" t="n">
        <f aca="false">IF(OR(J426="",K426=""),"",MAX(J426-K426,0))</f>
        <v>2</v>
      </c>
      <c r="M426" s="15" t="s">
        <v>99</v>
      </c>
      <c r="N426" s="17" t="n">
        <v>2004</v>
      </c>
      <c r="O426" s="15" t="n">
        <f aca="false">IF(N426="","",Scoring!$B$4-N426)</f>
        <v>22</v>
      </c>
      <c r="P426" s="15" t="n">
        <f aca="false">IF(N426="","",N426+14)</f>
        <v>2018</v>
      </c>
      <c r="Q426" s="15" t="n">
        <f aca="false">IF(N426="","",IF(N426&lt;Scoring!$B$12,"n/a (pre-1990)",N426+Scoring!$B$13))</f>
        <v>2033</v>
      </c>
      <c r="R426" s="15" t="str">
        <f aca="false">IF(J426="","Unknown",IF(J426&gt;=5,"Yes","No (under 5 units)"))</f>
        <v>Yes</v>
      </c>
      <c r="S426" s="15"/>
      <c r="T426" s="18"/>
      <c r="U426" s="19"/>
      <c r="V426" s="18"/>
      <c r="W426" s="18"/>
      <c r="X426" s="20"/>
      <c r="Y426" s="18"/>
      <c r="Z426" s="18"/>
      <c r="AA426" s="21" t="n">
        <f aca="false">IF(U426&lt;&gt;"",(U426-Scoring!$B$3)/365.25,IF(N426="","",IF(N426&lt;Scoring!$B$12,"",(DATE(N426+Scoring!$B$13,12,31)-Scoring!$B$3)/365.25)))</f>
        <v>7.24709103353867</v>
      </c>
      <c r="AB426" s="22" t="n">
        <f aca="false">IF(T426="Y",0,IF(OR(D426="Expired (verified)",D426="Expiring: notice window (verified)",D426="Expiring: 10-yr horizon (verified)",D426="Past 30-yr mark (verify)",D426="30-yr mark: notice window (est.)",D426="Year-15 window"),1,0)+IF(ISNUMBER(O426),IF(O426&gt;=Scoring!$B$10,1,0),0)+IF(AND(ISNUMBER(L426),ISNUMBER(J426)),IF(J426&gt;0,IF(L426/J426&gt;=Scoring!$B$11,1,0),0),0)+IF(ISNUMBER(Z426),MIN(Z426,3),0))</f>
        <v>1</v>
      </c>
      <c r="AC426" s="22" t="n">
        <f aca="false">IF(AB426&gt;=3,Scoring!$C$24,IF(AB426=2,Scoring!$C$23,IF(AB426=1,Scoring!$C$22,0)))</f>
        <v>10</v>
      </c>
      <c r="AD426" s="22" t="n">
        <f aca="false">IF(T426="Y",0,IF(ISNUMBER(X426),IF(X426&gt;0.7,Scoring!$C$25,IF(X426&gt;=0.5,Scoring!$C$26,IF(X426&gt;=0.3,Scoring!$C$27,Scoring!$C$28))),Scoring!$C$29))</f>
        <v>10</v>
      </c>
      <c r="AE426" s="22" t="n">
        <f aca="false">IF(D426="Expiring: notice window (verified)",Scoring!$C$30,IF(OR(D426="Expired (verified)",D426="30-yr mark: notice window (est.)",D426="Year-15 window"),Scoring!$C$31,IF(D426="Expiring: 10-yr horizon (verified)",Scoring!$C$32,IF(D426="Past 30-yr mark (verify)",Scoring!$C$33,IF(OR(D426="Credit period",D426="Superseded record"),Scoring!$C$35,Scoring!$C$34)))))</f>
        <v>4</v>
      </c>
      <c r="AF426" s="22" t="n">
        <f aca="false">IF(T426="Y",0,IF(ISNUMBER(V426),IF(Scoring!$B$4-V426&gt;15,Scoring!$C$36,IF(Scoring!$B$4-V426&gt;=10,Scoring!$C$37,IF(Scoring!$B$4-V426&gt;=5,Scoring!$C$38,Scoring!$C$39))),IF(OR(N426="",D426="Out of program"),Scoring!$C$40,IF(O426&gt;15,Scoring!$C$36,IF(O426&gt;=10,Scoring!$C$37,IF(O426&gt;=5,Scoring!$C$38,Scoring!$C$39))))))</f>
        <v>15</v>
      </c>
      <c r="AG426" s="22" t="n">
        <f aca="false">IF(T426="Y",0,IF(Y426="Y",Scoring!$C$41,IF(ISNUMBER(O426),IF(O426&gt;=25,Scoring!$C$42,IF(O426&gt;=15,Scoring!$C$43,Scoring!$C$44)),Scoring!$C$44)))</f>
        <v>5</v>
      </c>
      <c r="AH426" s="22" t="n">
        <f aca="false">IF(T426="Y",0,IF(W426="",Scoring!$C$49,IFERROR(VLOOKUP(W426,Scoring!$B$45:$C$48,2,FALSE()),Scoring!$C$49)))</f>
        <v>5</v>
      </c>
      <c r="AI426" s="23" t="n">
        <f aca="false">C426+IF(ISNUMBER(J426),J426,0)/100000+(10000-ROW())/1000000000</f>
        <v>49.000469574</v>
      </c>
      <c r="AJ426" s="18"/>
      <c r="AK426" s="18"/>
      <c r="AL426" s="18"/>
      <c r="AM426" s="18"/>
    </row>
    <row r="427" customFormat="false" ht="15" hidden="false" customHeight="false" outlineLevel="0" collapsed="false">
      <c r="A427" s="15" t="n">
        <f aca="false">RANK(AI427,$AI$2:$AI$755)</f>
        <v>426</v>
      </c>
      <c r="B427" s="16" t="str">
        <f aca="false">IF(T427="Y","Superseded",IF(C427&gt;=Scoring!$B$16,"Immediate",IF(C427&gt;=Scoring!$B$17,"This week",IF(C427&gt;=Scoring!$B$18,"Nurture","Low"))))</f>
        <v>Nurture</v>
      </c>
      <c r="C427" s="3" t="n">
        <f aca="false">SUM(AC427:AH427)</f>
        <v>49</v>
      </c>
      <c r="D427" s="15" t="str">
        <f aca="false">IF(T427="Y","Superseded record",IF(AND(U427&lt;&gt;"",AA427&lt;0),"Expired (verified)",IF(AND(U427&lt;&gt;"",AA427&lt;=Scoring!$B$5),"Expiring: notice window (verified)",IF(AND(U427&lt;&gt;"",AA427&lt;=Scoring!$B$6),"Expiring: 10-yr horizon (verified)",IF(M427="No Longer Monitored","Out of program",IF(N427="","Unknown vintage",IF(N427&lt;Scoring!$B$12,"Pre-1990, still listed",IF(AND(U427="",AA427&lt;0),"Past 30-yr mark (verify)",IF(AND(U427="",AA427&lt;=Scoring!$B$5),"30-yr mark: notice window (est.)",IF(AND(O427&gt;=Scoring!$B$7,O427&lt;=Scoring!$B$8),"Year-15 window",IF(O427&gt;=Scoring!$B$9,"Recap window",IF(O427&gt;=11,"Late compliance","Credit period"))))))))))))</f>
        <v>Recap window</v>
      </c>
      <c r="E427" s="15" t="s">
        <v>1594</v>
      </c>
      <c r="F427" s="15" t="s">
        <v>1595</v>
      </c>
      <c r="G427" s="15" t="s">
        <v>1596</v>
      </c>
      <c r="H427" s="15" t="s">
        <v>319</v>
      </c>
      <c r="I427" s="15" t="s">
        <v>320</v>
      </c>
      <c r="J427" s="15" t="n">
        <v>44</v>
      </c>
      <c r="K427" s="15" t="n">
        <v>43</v>
      </c>
      <c r="L427" s="15" t="n">
        <f aca="false">IF(OR(J427="",K427=""),"",MAX(J427-K427,0))</f>
        <v>1</v>
      </c>
      <c r="M427" s="15" t="s">
        <v>99</v>
      </c>
      <c r="N427" s="17" t="n">
        <v>2004</v>
      </c>
      <c r="O427" s="15" t="n">
        <f aca="false">IF(N427="","",Scoring!$B$4-N427)</f>
        <v>22</v>
      </c>
      <c r="P427" s="15" t="n">
        <f aca="false">IF(N427="","",N427+14)</f>
        <v>2018</v>
      </c>
      <c r="Q427" s="15" t="n">
        <f aca="false">IF(N427="","",IF(N427&lt;Scoring!$B$12,"n/a (pre-1990)",N427+Scoring!$B$13))</f>
        <v>2033</v>
      </c>
      <c r="R427" s="15" t="str">
        <f aca="false">IF(J427="","Unknown",IF(J427&gt;=5,"Yes","No (under 5 units)"))</f>
        <v>Yes</v>
      </c>
      <c r="S427" s="15"/>
      <c r="T427" s="18"/>
      <c r="U427" s="19"/>
      <c r="V427" s="18"/>
      <c r="W427" s="18"/>
      <c r="X427" s="20"/>
      <c r="Y427" s="18"/>
      <c r="Z427" s="18"/>
      <c r="AA427" s="21" t="n">
        <f aca="false">IF(U427&lt;&gt;"",(U427-Scoring!$B$3)/365.25,IF(N427="","",IF(N427&lt;Scoring!$B$12,"",(DATE(N427+Scoring!$B$13,12,31)-Scoring!$B$3)/365.25)))</f>
        <v>7.24709103353867</v>
      </c>
      <c r="AB427" s="22" t="n">
        <f aca="false">IF(T427="Y",0,IF(OR(D427="Expired (verified)",D427="Expiring: notice window (verified)",D427="Expiring: 10-yr horizon (verified)",D427="Past 30-yr mark (verify)",D427="30-yr mark: notice window (est.)",D427="Year-15 window"),1,0)+IF(ISNUMBER(O427),IF(O427&gt;=Scoring!$B$10,1,0),0)+IF(AND(ISNUMBER(L427),ISNUMBER(J427)),IF(J427&gt;0,IF(L427/J427&gt;=Scoring!$B$11,1,0),0),0)+IF(ISNUMBER(Z427),MIN(Z427,3),0))</f>
        <v>1</v>
      </c>
      <c r="AC427" s="22" t="n">
        <f aca="false">IF(AB427&gt;=3,Scoring!$C$24,IF(AB427=2,Scoring!$C$23,IF(AB427=1,Scoring!$C$22,0)))</f>
        <v>10</v>
      </c>
      <c r="AD427" s="22" t="n">
        <f aca="false">IF(T427="Y",0,IF(ISNUMBER(X427),IF(X427&gt;0.7,Scoring!$C$25,IF(X427&gt;=0.5,Scoring!$C$26,IF(X427&gt;=0.3,Scoring!$C$27,Scoring!$C$28))),Scoring!$C$29))</f>
        <v>10</v>
      </c>
      <c r="AE427" s="22" t="n">
        <f aca="false">IF(D427="Expiring: notice window (verified)",Scoring!$C$30,IF(OR(D427="Expired (verified)",D427="30-yr mark: notice window (est.)",D427="Year-15 window"),Scoring!$C$31,IF(D427="Expiring: 10-yr horizon (verified)",Scoring!$C$32,IF(D427="Past 30-yr mark (verify)",Scoring!$C$33,IF(OR(D427="Credit period",D427="Superseded record"),Scoring!$C$35,Scoring!$C$34)))))</f>
        <v>4</v>
      </c>
      <c r="AF427" s="22" t="n">
        <f aca="false">IF(T427="Y",0,IF(ISNUMBER(V427),IF(Scoring!$B$4-V427&gt;15,Scoring!$C$36,IF(Scoring!$B$4-V427&gt;=10,Scoring!$C$37,IF(Scoring!$B$4-V427&gt;=5,Scoring!$C$38,Scoring!$C$39))),IF(OR(N427="",D427="Out of program"),Scoring!$C$40,IF(O427&gt;15,Scoring!$C$36,IF(O427&gt;=10,Scoring!$C$37,IF(O427&gt;=5,Scoring!$C$38,Scoring!$C$39))))))</f>
        <v>15</v>
      </c>
      <c r="AG427" s="22" t="n">
        <f aca="false">IF(T427="Y",0,IF(Y427="Y",Scoring!$C$41,IF(ISNUMBER(O427),IF(O427&gt;=25,Scoring!$C$42,IF(O427&gt;=15,Scoring!$C$43,Scoring!$C$44)),Scoring!$C$44)))</f>
        <v>5</v>
      </c>
      <c r="AH427" s="22" t="n">
        <f aca="false">IF(T427="Y",0,IF(W427="",Scoring!$C$49,IFERROR(VLOOKUP(W427,Scoring!$B$45:$C$48,2,FALSE()),Scoring!$C$49)))</f>
        <v>5</v>
      </c>
      <c r="AI427" s="23" t="n">
        <f aca="false">C427+IF(ISNUMBER(J427),J427,0)/100000+(10000-ROW())/1000000000</f>
        <v>49.000449573</v>
      </c>
      <c r="AJ427" s="18"/>
      <c r="AK427" s="18"/>
      <c r="AL427" s="18"/>
      <c r="AM427" s="18"/>
    </row>
    <row r="428" customFormat="false" ht="15" hidden="false" customHeight="false" outlineLevel="0" collapsed="false">
      <c r="A428" s="15" t="n">
        <f aca="false">RANK(AI428,$AI$2:$AI$755)</f>
        <v>427</v>
      </c>
      <c r="B428" s="16" t="str">
        <f aca="false">IF(T428="Y","Superseded",IF(C428&gt;=Scoring!$B$16,"Immediate",IF(C428&gt;=Scoring!$B$17,"This week",IF(C428&gt;=Scoring!$B$18,"Nurture","Low"))))</f>
        <v>Nurture</v>
      </c>
      <c r="C428" s="3" t="n">
        <f aca="false">SUM(AC428:AH428)</f>
        <v>49</v>
      </c>
      <c r="D428" s="15" t="str">
        <f aca="false">IF(T428="Y","Superseded record",IF(AND(U428&lt;&gt;"",AA428&lt;0),"Expired (verified)",IF(AND(U428&lt;&gt;"",AA428&lt;=Scoring!$B$5),"Expiring: notice window (verified)",IF(AND(U428&lt;&gt;"",AA428&lt;=Scoring!$B$6),"Expiring: 10-yr horizon (verified)",IF(M428="No Longer Monitored","Out of program",IF(N428="","Unknown vintage",IF(N428&lt;Scoring!$B$12,"Pre-1990, still listed",IF(AND(U428="",AA428&lt;0),"Past 30-yr mark (verify)",IF(AND(U428="",AA428&lt;=Scoring!$B$5),"30-yr mark: notice window (est.)",IF(AND(O428&gt;=Scoring!$B$7,O428&lt;=Scoring!$B$8),"Year-15 window",IF(O428&gt;=Scoring!$B$9,"Recap window",IF(O428&gt;=11,"Late compliance","Credit period"))))))))))))</f>
        <v>Recap window</v>
      </c>
      <c r="E428" s="15" t="s">
        <v>1597</v>
      </c>
      <c r="F428" s="15" t="s">
        <v>1598</v>
      </c>
      <c r="G428" s="15" t="s">
        <v>1599</v>
      </c>
      <c r="H428" s="15" t="s">
        <v>97</v>
      </c>
      <c r="I428" s="15" t="s">
        <v>164</v>
      </c>
      <c r="J428" s="15" t="n">
        <v>44</v>
      </c>
      <c r="K428" s="15" t="n">
        <v>44</v>
      </c>
      <c r="L428" s="15" t="n">
        <f aca="false">IF(OR(J428="",K428=""),"",MAX(J428-K428,0))</f>
        <v>0</v>
      </c>
      <c r="M428" s="15" t="s">
        <v>99</v>
      </c>
      <c r="N428" s="17" t="n">
        <v>2005</v>
      </c>
      <c r="O428" s="15" t="n">
        <f aca="false">IF(N428="","",Scoring!$B$4-N428)</f>
        <v>21</v>
      </c>
      <c r="P428" s="15" t="n">
        <f aca="false">IF(N428="","",N428+14)</f>
        <v>2019</v>
      </c>
      <c r="Q428" s="15" t="n">
        <f aca="false">IF(N428="","",IF(N428&lt;Scoring!$B$12,"n/a (pre-1990)",N428+Scoring!$B$13))</f>
        <v>2034</v>
      </c>
      <c r="R428" s="15" t="str">
        <f aca="false">IF(J428="","Unknown",IF(J428&gt;=5,"Yes","No (under 5 units)"))</f>
        <v>Yes</v>
      </c>
      <c r="S428" s="15"/>
      <c r="T428" s="18"/>
      <c r="U428" s="19"/>
      <c r="V428" s="18"/>
      <c r="W428" s="18"/>
      <c r="X428" s="20"/>
      <c r="Y428" s="18"/>
      <c r="Z428" s="18"/>
      <c r="AA428" s="21" t="n">
        <f aca="false">IF(U428&lt;&gt;"",(U428-Scoring!$B$3)/365.25,IF(N428="","",IF(N428&lt;Scoring!$B$12,"",(DATE(N428+Scoring!$B$13,12,31)-Scoring!$B$3)/365.25)))</f>
        <v>8.24640657084189</v>
      </c>
      <c r="AB428" s="22" t="n">
        <f aca="false">IF(T428="Y",0,IF(OR(D428="Expired (verified)",D428="Expiring: notice window (verified)",D428="Expiring: 10-yr horizon (verified)",D428="Past 30-yr mark (verify)",D428="30-yr mark: notice window (est.)",D428="Year-15 window"),1,0)+IF(ISNUMBER(O428),IF(O428&gt;=Scoring!$B$10,1,0),0)+IF(AND(ISNUMBER(L428),ISNUMBER(J428)),IF(J428&gt;0,IF(L428/J428&gt;=Scoring!$B$11,1,0),0),0)+IF(ISNUMBER(Z428),MIN(Z428,3),0))</f>
        <v>1</v>
      </c>
      <c r="AC428" s="22" t="n">
        <f aca="false">IF(AB428&gt;=3,Scoring!$C$24,IF(AB428=2,Scoring!$C$23,IF(AB428=1,Scoring!$C$22,0)))</f>
        <v>10</v>
      </c>
      <c r="AD428" s="22" t="n">
        <f aca="false">IF(T428="Y",0,IF(ISNUMBER(X428),IF(X428&gt;0.7,Scoring!$C$25,IF(X428&gt;=0.5,Scoring!$C$26,IF(X428&gt;=0.3,Scoring!$C$27,Scoring!$C$28))),Scoring!$C$29))</f>
        <v>10</v>
      </c>
      <c r="AE428" s="22" t="n">
        <f aca="false">IF(D428="Expiring: notice window (verified)",Scoring!$C$30,IF(OR(D428="Expired (verified)",D428="30-yr mark: notice window (est.)",D428="Year-15 window"),Scoring!$C$31,IF(D428="Expiring: 10-yr horizon (verified)",Scoring!$C$32,IF(D428="Past 30-yr mark (verify)",Scoring!$C$33,IF(OR(D428="Credit period",D428="Superseded record"),Scoring!$C$35,Scoring!$C$34)))))</f>
        <v>4</v>
      </c>
      <c r="AF428" s="22" t="n">
        <f aca="false">IF(T428="Y",0,IF(ISNUMBER(V428),IF(Scoring!$B$4-V428&gt;15,Scoring!$C$36,IF(Scoring!$B$4-V428&gt;=10,Scoring!$C$37,IF(Scoring!$B$4-V428&gt;=5,Scoring!$C$38,Scoring!$C$39))),IF(OR(N428="",D428="Out of program"),Scoring!$C$40,IF(O428&gt;15,Scoring!$C$36,IF(O428&gt;=10,Scoring!$C$37,IF(O428&gt;=5,Scoring!$C$38,Scoring!$C$39))))))</f>
        <v>15</v>
      </c>
      <c r="AG428" s="22" t="n">
        <f aca="false">IF(T428="Y",0,IF(Y428="Y",Scoring!$C$41,IF(ISNUMBER(O428),IF(O428&gt;=25,Scoring!$C$42,IF(O428&gt;=15,Scoring!$C$43,Scoring!$C$44)),Scoring!$C$44)))</f>
        <v>5</v>
      </c>
      <c r="AH428" s="22" t="n">
        <f aca="false">IF(T428="Y",0,IF(W428="",Scoring!$C$49,IFERROR(VLOOKUP(W428,Scoring!$B$45:$C$48,2,FALSE()),Scoring!$C$49)))</f>
        <v>5</v>
      </c>
      <c r="AI428" s="23" t="n">
        <f aca="false">C428+IF(ISNUMBER(J428),J428,0)/100000+(10000-ROW())/1000000000</f>
        <v>49.000449572</v>
      </c>
      <c r="AJ428" s="18"/>
      <c r="AK428" s="18"/>
      <c r="AL428" s="18"/>
      <c r="AM428" s="18"/>
    </row>
    <row r="429" customFormat="false" ht="15" hidden="false" customHeight="false" outlineLevel="0" collapsed="false">
      <c r="A429" s="15" t="n">
        <f aca="false">RANK(AI429,$AI$2:$AI$755)</f>
        <v>428</v>
      </c>
      <c r="B429" s="16" t="str">
        <f aca="false">IF(T429="Y","Superseded",IF(C429&gt;=Scoring!$B$16,"Immediate",IF(C429&gt;=Scoring!$B$17,"This week",IF(C429&gt;=Scoring!$B$18,"Nurture","Low"))))</f>
        <v>Nurture</v>
      </c>
      <c r="C429" s="3" t="n">
        <f aca="false">SUM(AC429:AH429)</f>
        <v>49</v>
      </c>
      <c r="D429" s="15" t="str">
        <f aca="false">IF(T429="Y","Superseded record",IF(AND(U429&lt;&gt;"",AA429&lt;0),"Expired (verified)",IF(AND(U429&lt;&gt;"",AA429&lt;=Scoring!$B$5),"Expiring: notice window (verified)",IF(AND(U429&lt;&gt;"",AA429&lt;=Scoring!$B$6),"Expiring: 10-yr horizon (verified)",IF(M429="No Longer Monitored","Out of program",IF(N429="","Unknown vintage",IF(N429&lt;Scoring!$B$12,"Pre-1990, still listed",IF(AND(U429="",AA429&lt;0),"Past 30-yr mark (verify)",IF(AND(U429="",AA429&lt;=Scoring!$B$5),"30-yr mark: notice window (est.)",IF(AND(O429&gt;=Scoring!$B$7,O429&lt;=Scoring!$B$8),"Year-15 window",IF(O429&gt;=Scoring!$B$9,"Recap window",IF(O429&gt;=11,"Late compliance","Credit period"))))))))))))</f>
        <v>Recap window</v>
      </c>
      <c r="E429" s="15" t="s">
        <v>1600</v>
      </c>
      <c r="F429" s="15" t="s">
        <v>1601</v>
      </c>
      <c r="G429" s="15" t="s">
        <v>1602</v>
      </c>
      <c r="H429" s="15" t="s">
        <v>97</v>
      </c>
      <c r="I429" s="15" t="s">
        <v>399</v>
      </c>
      <c r="J429" s="15" t="n">
        <v>44</v>
      </c>
      <c r="K429" s="15" t="n">
        <v>44</v>
      </c>
      <c r="L429" s="15" t="n">
        <f aca="false">IF(OR(J429="",K429=""),"",MAX(J429-K429,0))</f>
        <v>0</v>
      </c>
      <c r="M429" s="15" t="s">
        <v>99</v>
      </c>
      <c r="N429" s="17" t="n">
        <v>2006</v>
      </c>
      <c r="O429" s="15" t="n">
        <f aca="false">IF(N429="","",Scoring!$B$4-N429)</f>
        <v>20</v>
      </c>
      <c r="P429" s="15" t="n">
        <f aca="false">IF(N429="","",N429+14)</f>
        <v>2020</v>
      </c>
      <c r="Q429" s="15" t="n">
        <f aca="false">IF(N429="","",IF(N429&lt;Scoring!$B$12,"n/a (pre-1990)",N429+Scoring!$B$13))</f>
        <v>2035</v>
      </c>
      <c r="R429" s="15" t="str">
        <f aca="false">IF(J429="","Unknown",IF(J429&gt;=5,"Yes","No (under 5 units)"))</f>
        <v>Yes</v>
      </c>
      <c r="S429" s="15"/>
      <c r="T429" s="18"/>
      <c r="U429" s="19"/>
      <c r="V429" s="18"/>
      <c r="W429" s="18"/>
      <c r="X429" s="20"/>
      <c r="Y429" s="18"/>
      <c r="Z429" s="18"/>
      <c r="AA429" s="21" t="n">
        <f aca="false">IF(U429&lt;&gt;"",(U429-Scoring!$B$3)/365.25,IF(N429="","",IF(N429&lt;Scoring!$B$12,"",(DATE(N429+Scoring!$B$13,12,31)-Scoring!$B$3)/365.25)))</f>
        <v>9.24572210814511</v>
      </c>
      <c r="AB429" s="22" t="n">
        <f aca="false">IF(T429="Y",0,IF(OR(D429="Expired (verified)",D429="Expiring: notice window (verified)",D429="Expiring: 10-yr horizon (verified)",D429="Past 30-yr mark (verify)",D429="30-yr mark: notice window (est.)",D429="Year-15 window"),1,0)+IF(ISNUMBER(O429),IF(O429&gt;=Scoring!$B$10,1,0),0)+IF(AND(ISNUMBER(L429),ISNUMBER(J429)),IF(J429&gt;0,IF(L429/J429&gt;=Scoring!$B$11,1,0),0),0)+IF(ISNUMBER(Z429),MIN(Z429,3),0))</f>
        <v>1</v>
      </c>
      <c r="AC429" s="22" t="n">
        <f aca="false">IF(AB429&gt;=3,Scoring!$C$24,IF(AB429=2,Scoring!$C$23,IF(AB429=1,Scoring!$C$22,0)))</f>
        <v>10</v>
      </c>
      <c r="AD429" s="22" t="n">
        <f aca="false">IF(T429="Y",0,IF(ISNUMBER(X429),IF(X429&gt;0.7,Scoring!$C$25,IF(X429&gt;=0.5,Scoring!$C$26,IF(X429&gt;=0.3,Scoring!$C$27,Scoring!$C$28))),Scoring!$C$29))</f>
        <v>10</v>
      </c>
      <c r="AE429" s="22" t="n">
        <f aca="false">IF(D429="Expiring: notice window (verified)",Scoring!$C$30,IF(OR(D429="Expired (verified)",D429="30-yr mark: notice window (est.)",D429="Year-15 window"),Scoring!$C$31,IF(D429="Expiring: 10-yr horizon (verified)",Scoring!$C$32,IF(D429="Past 30-yr mark (verify)",Scoring!$C$33,IF(OR(D429="Credit period",D429="Superseded record"),Scoring!$C$35,Scoring!$C$34)))))</f>
        <v>4</v>
      </c>
      <c r="AF429" s="22" t="n">
        <f aca="false">IF(T429="Y",0,IF(ISNUMBER(V429),IF(Scoring!$B$4-V429&gt;15,Scoring!$C$36,IF(Scoring!$B$4-V429&gt;=10,Scoring!$C$37,IF(Scoring!$B$4-V429&gt;=5,Scoring!$C$38,Scoring!$C$39))),IF(OR(N429="",D429="Out of program"),Scoring!$C$40,IF(O429&gt;15,Scoring!$C$36,IF(O429&gt;=10,Scoring!$C$37,IF(O429&gt;=5,Scoring!$C$38,Scoring!$C$39))))))</f>
        <v>15</v>
      </c>
      <c r="AG429" s="22" t="n">
        <f aca="false">IF(T429="Y",0,IF(Y429="Y",Scoring!$C$41,IF(ISNUMBER(O429),IF(O429&gt;=25,Scoring!$C$42,IF(O429&gt;=15,Scoring!$C$43,Scoring!$C$44)),Scoring!$C$44)))</f>
        <v>5</v>
      </c>
      <c r="AH429" s="22" t="n">
        <f aca="false">IF(T429="Y",0,IF(W429="",Scoring!$C$49,IFERROR(VLOOKUP(W429,Scoring!$B$45:$C$48,2,FALSE()),Scoring!$C$49)))</f>
        <v>5</v>
      </c>
      <c r="AI429" s="23" t="n">
        <f aca="false">C429+IF(ISNUMBER(J429),J429,0)/100000+(10000-ROW())/1000000000</f>
        <v>49.000449571</v>
      </c>
      <c r="AJ429" s="18"/>
      <c r="AK429" s="18"/>
      <c r="AL429" s="18"/>
      <c r="AM429" s="18"/>
    </row>
    <row r="430" customFormat="false" ht="15" hidden="false" customHeight="false" outlineLevel="0" collapsed="false">
      <c r="A430" s="15" t="n">
        <f aca="false">RANK(AI430,$AI$2:$AI$755)</f>
        <v>429</v>
      </c>
      <c r="B430" s="16" t="str">
        <f aca="false">IF(T430="Y","Superseded",IF(C430&gt;=Scoring!$B$16,"Immediate",IF(C430&gt;=Scoring!$B$17,"This week",IF(C430&gt;=Scoring!$B$18,"Nurture","Low"))))</f>
        <v>Nurture</v>
      </c>
      <c r="C430" s="3" t="n">
        <f aca="false">SUM(AC430:AH430)</f>
        <v>49</v>
      </c>
      <c r="D430" s="15" t="str">
        <f aca="false">IF(T430="Y","Superseded record",IF(AND(U430&lt;&gt;"",AA430&lt;0),"Expired (verified)",IF(AND(U430&lt;&gt;"",AA430&lt;=Scoring!$B$5),"Expiring: notice window (verified)",IF(AND(U430&lt;&gt;"",AA430&lt;=Scoring!$B$6),"Expiring: 10-yr horizon (verified)",IF(M430="No Longer Monitored","Out of program",IF(N430="","Unknown vintage",IF(N430&lt;Scoring!$B$12,"Pre-1990, still listed",IF(AND(U430="",AA430&lt;0),"Past 30-yr mark (verify)",IF(AND(U430="",AA430&lt;=Scoring!$B$5),"30-yr mark: notice window (est.)",IF(AND(O430&gt;=Scoring!$B$7,O430&lt;=Scoring!$B$8),"Year-15 window",IF(O430&gt;=Scoring!$B$9,"Recap window",IF(O430&gt;=11,"Late compliance","Credit period"))))))))))))</f>
        <v>Recap window</v>
      </c>
      <c r="E430" s="15" t="s">
        <v>1603</v>
      </c>
      <c r="F430" s="15" t="s">
        <v>1604</v>
      </c>
      <c r="G430" s="15" t="s">
        <v>1605</v>
      </c>
      <c r="H430" s="15" t="s">
        <v>97</v>
      </c>
      <c r="I430" s="15" t="s">
        <v>399</v>
      </c>
      <c r="J430" s="15" t="n">
        <v>43</v>
      </c>
      <c r="K430" s="15" t="n">
        <v>42</v>
      </c>
      <c r="L430" s="15" t="n">
        <f aca="false">IF(OR(J430="",K430=""),"",MAX(J430-K430,0))</f>
        <v>1</v>
      </c>
      <c r="M430" s="15" t="s">
        <v>99</v>
      </c>
      <c r="N430" s="17" t="n">
        <v>2002</v>
      </c>
      <c r="O430" s="15" t="n">
        <f aca="false">IF(N430="","",Scoring!$B$4-N430)</f>
        <v>24</v>
      </c>
      <c r="P430" s="15" t="n">
        <f aca="false">IF(N430="","",N430+14)</f>
        <v>2016</v>
      </c>
      <c r="Q430" s="15" t="n">
        <f aca="false">IF(N430="","",IF(N430&lt;Scoring!$B$12,"n/a (pre-1990)",N430+Scoring!$B$13))</f>
        <v>2031</v>
      </c>
      <c r="R430" s="15" t="str">
        <f aca="false">IF(J430="","Unknown",IF(J430&gt;=5,"Yes","No (under 5 units)"))</f>
        <v>Yes</v>
      </c>
      <c r="S430" s="15"/>
      <c r="T430" s="18"/>
      <c r="U430" s="19"/>
      <c r="V430" s="18"/>
      <c r="W430" s="18"/>
      <c r="X430" s="20"/>
      <c r="Y430" s="18"/>
      <c r="Z430" s="18"/>
      <c r="AA430" s="21" t="n">
        <f aca="false">IF(U430&lt;&gt;"",(U430-Scoring!$B$3)/365.25,IF(N430="","",IF(N430&lt;Scoring!$B$12,"",(DATE(N430+Scoring!$B$13,12,31)-Scoring!$B$3)/365.25)))</f>
        <v>5.24572210814511</v>
      </c>
      <c r="AB430" s="22" t="n">
        <f aca="false">IF(T430="Y",0,IF(OR(D430="Expired (verified)",D430="Expiring: notice window (verified)",D430="Expiring: 10-yr horizon (verified)",D430="Past 30-yr mark (verify)",D430="30-yr mark: notice window (est.)",D430="Year-15 window"),1,0)+IF(ISNUMBER(O430),IF(O430&gt;=Scoring!$B$10,1,0),0)+IF(AND(ISNUMBER(L430),ISNUMBER(J430)),IF(J430&gt;0,IF(L430/J430&gt;=Scoring!$B$11,1,0),0),0)+IF(ISNUMBER(Z430),MIN(Z430,3),0))</f>
        <v>1</v>
      </c>
      <c r="AC430" s="22" t="n">
        <f aca="false">IF(AB430&gt;=3,Scoring!$C$24,IF(AB430=2,Scoring!$C$23,IF(AB430=1,Scoring!$C$22,0)))</f>
        <v>10</v>
      </c>
      <c r="AD430" s="22" t="n">
        <f aca="false">IF(T430="Y",0,IF(ISNUMBER(X430),IF(X430&gt;0.7,Scoring!$C$25,IF(X430&gt;=0.5,Scoring!$C$26,IF(X430&gt;=0.3,Scoring!$C$27,Scoring!$C$28))),Scoring!$C$29))</f>
        <v>10</v>
      </c>
      <c r="AE430" s="22" t="n">
        <f aca="false">IF(D430="Expiring: notice window (verified)",Scoring!$C$30,IF(OR(D430="Expired (verified)",D430="30-yr mark: notice window (est.)",D430="Year-15 window"),Scoring!$C$31,IF(D430="Expiring: 10-yr horizon (verified)",Scoring!$C$32,IF(D430="Past 30-yr mark (verify)",Scoring!$C$33,IF(OR(D430="Credit period",D430="Superseded record"),Scoring!$C$35,Scoring!$C$34)))))</f>
        <v>4</v>
      </c>
      <c r="AF430" s="22" t="n">
        <f aca="false">IF(T430="Y",0,IF(ISNUMBER(V430),IF(Scoring!$B$4-V430&gt;15,Scoring!$C$36,IF(Scoring!$B$4-V430&gt;=10,Scoring!$C$37,IF(Scoring!$B$4-V430&gt;=5,Scoring!$C$38,Scoring!$C$39))),IF(OR(N430="",D430="Out of program"),Scoring!$C$40,IF(O430&gt;15,Scoring!$C$36,IF(O430&gt;=10,Scoring!$C$37,IF(O430&gt;=5,Scoring!$C$38,Scoring!$C$39))))))</f>
        <v>15</v>
      </c>
      <c r="AG430" s="22" t="n">
        <f aca="false">IF(T430="Y",0,IF(Y430="Y",Scoring!$C$41,IF(ISNUMBER(O430),IF(O430&gt;=25,Scoring!$C$42,IF(O430&gt;=15,Scoring!$C$43,Scoring!$C$44)),Scoring!$C$44)))</f>
        <v>5</v>
      </c>
      <c r="AH430" s="22" t="n">
        <f aca="false">IF(T430="Y",0,IF(W430="",Scoring!$C$49,IFERROR(VLOOKUP(W430,Scoring!$B$45:$C$48,2,FALSE()),Scoring!$C$49)))</f>
        <v>5</v>
      </c>
      <c r="AI430" s="23" t="n">
        <f aca="false">C430+IF(ISNUMBER(J430),J430,0)/100000+(10000-ROW())/1000000000</f>
        <v>49.00043957</v>
      </c>
      <c r="AJ430" s="18"/>
      <c r="AK430" s="18"/>
      <c r="AL430" s="18"/>
      <c r="AM430" s="18"/>
    </row>
    <row r="431" customFormat="false" ht="15" hidden="false" customHeight="false" outlineLevel="0" collapsed="false">
      <c r="A431" s="15" t="n">
        <f aca="false">RANK(AI431,$AI$2:$AI$755)</f>
        <v>430</v>
      </c>
      <c r="B431" s="16" t="str">
        <f aca="false">IF(T431="Y","Superseded",IF(C431&gt;=Scoring!$B$16,"Immediate",IF(C431&gt;=Scoring!$B$17,"This week",IF(C431&gt;=Scoring!$B$18,"Nurture","Low"))))</f>
        <v>Nurture</v>
      </c>
      <c r="C431" s="3" t="n">
        <f aca="false">SUM(AC431:AH431)</f>
        <v>49</v>
      </c>
      <c r="D431" s="15" t="str">
        <f aca="false">IF(T431="Y","Superseded record",IF(AND(U431&lt;&gt;"",AA431&lt;0),"Expired (verified)",IF(AND(U431&lt;&gt;"",AA431&lt;=Scoring!$B$5),"Expiring: notice window (verified)",IF(AND(U431&lt;&gt;"",AA431&lt;=Scoring!$B$6),"Expiring: 10-yr horizon (verified)",IF(M431="No Longer Monitored","Out of program",IF(N431="","Unknown vintage",IF(N431&lt;Scoring!$B$12,"Pre-1990, still listed",IF(AND(U431="",AA431&lt;0),"Past 30-yr mark (verify)",IF(AND(U431="",AA431&lt;=Scoring!$B$5),"30-yr mark: notice window (est.)",IF(AND(O431&gt;=Scoring!$B$7,O431&lt;=Scoring!$B$8),"Year-15 window",IF(O431&gt;=Scoring!$B$9,"Recap window",IF(O431&gt;=11,"Late compliance","Credit period"))))))))))))</f>
        <v>Recap window</v>
      </c>
      <c r="E431" s="15" t="s">
        <v>1606</v>
      </c>
      <c r="F431" s="15" t="s">
        <v>1607</v>
      </c>
      <c r="G431" s="15" t="s">
        <v>1608</v>
      </c>
      <c r="H431" s="15" t="s">
        <v>232</v>
      </c>
      <c r="I431" s="15" t="s">
        <v>640</v>
      </c>
      <c r="J431" s="15" t="n">
        <v>43</v>
      </c>
      <c r="K431" s="15" t="n">
        <v>42</v>
      </c>
      <c r="L431" s="15" t="n">
        <f aca="false">IF(OR(J431="",K431=""),"",MAX(J431-K431,0))</f>
        <v>1</v>
      </c>
      <c r="M431" s="15" t="s">
        <v>99</v>
      </c>
      <c r="N431" s="17" t="n">
        <v>2002</v>
      </c>
      <c r="O431" s="15" t="n">
        <f aca="false">IF(N431="","",Scoring!$B$4-N431)</f>
        <v>24</v>
      </c>
      <c r="P431" s="15" t="n">
        <f aca="false">IF(N431="","",N431+14)</f>
        <v>2016</v>
      </c>
      <c r="Q431" s="15" t="n">
        <f aca="false">IF(N431="","",IF(N431&lt;Scoring!$B$12,"n/a (pre-1990)",N431+Scoring!$B$13))</f>
        <v>2031</v>
      </c>
      <c r="R431" s="15" t="str">
        <f aca="false">IF(J431="","Unknown",IF(J431&gt;=5,"Yes","No (under 5 units)"))</f>
        <v>Yes</v>
      </c>
      <c r="S431" s="15" t="s">
        <v>1609</v>
      </c>
      <c r="T431" s="18"/>
      <c r="U431" s="19"/>
      <c r="V431" s="18"/>
      <c r="W431" s="18"/>
      <c r="X431" s="20"/>
      <c r="Y431" s="18"/>
      <c r="Z431" s="18"/>
      <c r="AA431" s="21" t="n">
        <f aca="false">IF(U431&lt;&gt;"",(U431-Scoring!$B$3)/365.25,IF(N431="","",IF(N431&lt;Scoring!$B$12,"",(DATE(N431+Scoring!$B$13,12,31)-Scoring!$B$3)/365.25)))</f>
        <v>5.24572210814511</v>
      </c>
      <c r="AB431" s="22" t="n">
        <f aca="false">IF(T431="Y",0,IF(OR(D431="Expired (verified)",D431="Expiring: notice window (verified)",D431="Expiring: 10-yr horizon (verified)",D431="Past 30-yr mark (verify)",D431="30-yr mark: notice window (est.)",D431="Year-15 window"),1,0)+IF(ISNUMBER(O431),IF(O431&gt;=Scoring!$B$10,1,0),0)+IF(AND(ISNUMBER(L431),ISNUMBER(J431)),IF(J431&gt;0,IF(L431/J431&gt;=Scoring!$B$11,1,0),0),0)+IF(ISNUMBER(Z431),MIN(Z431,3),0))</f>
        <v>1</v>
      </c>
      <c r="AC431" s="22" t="n">
        <f aca="false">IF(AB431&gt;=3,Scoring!$C$24,IF(AB431=2,Scoring!$C$23,IF(AB431=1,Scoring!$C$22,0)))</f>
        <v>10</v>
      </c>
      <c r="AD431" s="22" t="n">
        <f aca="false">IF(T431="Y",0,IF(ISNUMBER(X431),IF(X431&gt;0.7,Scoring!$C$25,IF(X431&gt;=0.5,Scoring!$C$26,IF(X431&gt;=0.3,Scoring!$C$27,Scoring!$C$28))),Scoring!$C$29))</f>
        <v>10</v>
      </c>
      <c r="AE431" s="22" t="n">
        <f aca="false">IF(D431="Expiring: notice window (verified)",Scoring!$C$30,IF(OR(D431="Expired (verified)",D431="30-yr mark: notice window (est.)",D431="Year-15 window"),Scoring!$C$31,IF(D431="Expiring: 10-yr horizon (verified)",Scoring!$C$32,IF(D431="Past 30-yr mark (verify)",Scoring!$C$33,IF(OR(D431="Credit period",D431="Superseded record"),Scoring!$C$35,Scoring!$C$34)))))</f>
        <v>4</v>
      </c>
      <c r="AF431" s="22" t="n">
        <f aca="false">IF(T431="Y",0,IF(ISNUMBER(V431),IF(Scoring!$B$4-V431&gt;15,Scoring!$C$36,IF(Scoring!$B$4-V431&gt;=10,Scoring!$C$37,IF(Scoring!$B$4-V431&gt;=5,Scoring!$C$38,Scoring!$C$39))),IF(OR(N431="",D431="Out of program"),Scoring!$C$40,IF(O431&gt;15,Scoring!$C$36,IF(O431&gt;=10,Scoring!$C$37,IF(O431&gt;=5,Scoring!$C$38,Scoring!$C$39))))))</f>
        <v>15</v>
      </c>
      <c r="AG431" s="22" t="n">
        <f aca="false">IF(T431="Y",0,IF(Y431="Y",Scoring!$C$41,IF(ISNUMBER(O431),IF(O431&gt;=25,Scoring!$C$42,IF(O431&gt;=15,Scoring!$C$43,Scoring!$C$44)),Scoring!$C$44)))</f>
        <v>5</v>
      </c>
      <c r="AH431" s="22" t="n">
        <f aca="false">IF(T431="Y",0,IF(W431="",Scoring!$C$49,IFERROR(VLOOKUP(W431,Scoring!$B$45:$C$48,2,FALSE()),Scoring!$C$49)))</f>
        <v>5</v>
      </c>
      <c r="AI431" s="23" t="n">
        <f aca="false">C431+IF(ISNUMBER(J431),J431,0)/100000+(10000-ROW())/1000000000</f>
        <v>49.000439569</v>
      </c>
      <c r="AJ431" s="18"/>
      <c r="AK431" s="18"/>
      <c r="AL431" s="18"/>
      <c r="AM431" s="18"/>
    </row>
    <row r="432" customFormat="false" ht="15" hidden="false" customHeight="false" outlineLevel="0" collapsed="false">
      <c r="A432" s="15" t="n">
        <f aca="false">RANK(AI432,$AI$2:$AI$755)</f>
        <v>431</v>
      </c>
      <c r="B432" s="16" t="str">
        <f aca="false">IF(T432="Y","Superseded",IF(C432&gt;=Scoring!$B$16,"Immediate",IF(C432&gt;=Scoring!$B$17,"This week",IF(C432&gt;=Scoring!$B$18,"Nurture","Low"))))</f>
        <v>Nurture</v>
      </c>
      <c r="C432" s="3" t="n">
        <f aca="false">SUM(AC432:AH432)</f>
        <v>49</v>
      </c>
      <c r="D432" s="15" t="str">
        <f aca="false">IF(T432="Y","Superseded record",IF(AND(U432&lt;&gt;"",AA432&lt;0),"Expired (verified)",IF(AND(U432&lt;&gt;"",AA432&lt;=Scoring!$B$5),"Expiring: notice window (verified)",IF(AND(U432&lt;&gt;"",AA432&lt;=Scoring!$B$6),"Expiring: 10-yr horizon (verified)",IF(M432="No Longer Monitored","Out of program",IF(N432="","Unknown vintage",IF(N432&lt;Scoring!$B$12,"Pre-1990, still listed",IF(AND(U432="",AA432&lt;0),"Past 30-yr mark (verify)",IF(AND(U432="",AA432&lt;=Scoring!$B$5),"30-yr mark: notice window (est.)",IF(AND(O432&gt;=Scoring!$B$7,O432&lt;=Scoring!$B$8),"Year-15 window",IF(O432&gt;=Scoring!$B$9,"Recap window",IF(O432&gt;=11,"Late compliance","Credit period"))))))))))))</f>
        <v>Recap window</v>
      </c>
      <c r="E432" s="15" t="s">
        <v>1610</v>
      </c>
      <c r="F432" s="15" t="s">
        <v>1611</v>
      </c>
      <c r="G432" s="15" t="s">
        <v>1612</v>
      </c>
      <c r="H432" s="15" t="s">
        <v>499</v>
      </c>
      <c r="I432" s="15" t="s">
        <v>574</v>
      </c>
      <c r="J432" s="15" t="n">
        <v>43</v>
      </c>
      <c r="K432" s="15" t="n">
        <v>43</v>
      </c>
      <c r="L432" s="15" t="n">
        <f aca="false">IF(OR(J432="",K432=""),"",MAX(J432-K432,0))</f>
        <v>0</v>
      </c>
      <c r="M432" s="15" t="s">
        <v>99</v>
      </c>
      <c r="N432" s="17" t="n">
        <v>2004</v>
      </c>
      <c r="O432" s="15" t="n">
        <f aca="false">IF(N432="","",Scoring!$B$4-N432)</f>
        <v>22</v>
      </c>
      <c r="P432" s="15" t="n">
        <f aca="false">IF(N432="","",N432+14)</f>
        <v>2018</v>
      </c>
      <c r="Q432" s="15" t="n">
        <f aca="false">IF(N432="","",IF(N432&lt;Scoring!$B$12,"n/a (pre-1990)",N432+Scoring!$B$13))</f>
        <v>2033</v>
      </c>
      <c r="R432" s="15" t="str">
        <f aca="false">IF(J432="","Unknown",IF(J432&gt;=5,"Yes","No (under 5 units)"))</f>
        <v>Yes</v>
      </c>
      <c r="S432" s="15"/>
      <c r="T432" s="18"/>
      <c r="U432" s="19"/>
      <c r="V432" s="18"/>
      <c r="W432" s="18"/>
      <c r="X432" s="20"/>
      <c r="Y432" s="18"/>
      <c r="Z432" s="18"/>
      <c r="AA432" s="21" t="n">
        <f aca="false">IF(U432&lt;&gt;"",(U432-Scoring!$B$3)/365.25,IF(N432="","",IF(N432&lt;Scoring!$B$12,"",(DATE(N432+Scoring!$B$13,12,31)-Scoring!$B$3)/365.25)))</f>
        <v>7.24709103353867</v>
      </c>
      <c r="AB432" s="22" t="n">
        <f aca="false">IF(T432="Y",0,IF(OR(D432="Expired (verified)",D432="Expiring: notice window (verified)",D432="Expiring: 10-yr horizon (verified)",D432="Past 30-yr mark (verify)",D432="30-yr mark: notice window (est.)",D432="Year-15 window"),1,0)+IF(ISNUMBER(O432),IF(O432&gt;=Scoring!$B$10,1,0),0)+IF(AND(ISNUMBER(L432),ISNUMBER(J432)),IF(J432&gt;0,IF(L432/J432&gt;=Scoring!$B$11,1,0),0),0)+IF(ISNUMBER(Z432),MIN(Z432,3),0))</f>
        <v>1</v>
      </c>
      <c r="AC432" s="22" t="n">
        <f aca="false">IF(AB432&gt;=3,Scoring!$C$24,IF(AB432=2,Scoring!$C$23,IF(AB432=1,Scoring!$C$22,0)))</f>
        <v>10</v>
      </c>
      <c r="AD432" s="22" t="n">
        <f aca="false">IF(T432="Y",0,IF(ISNUMBER(X432),IF(X432&gt;0.7,Scoring!$C$25,IF(X432&gt;=0.5,Scoring!$C$26,IF(X432&gt;=0.3,Scoring!$C$27,Scoring!$C$28))),Scoring!$C$29))</f>
        <v>10</v>
      </c>
      <c r="AE432" s="22" t="n">
        <f aca="false">IF(D432="Expiring: notice window (verified)",Scoring!$C$30,IF(OR(D432="Expired (verified)",D432="30-yr mark: notice window (est.)",D432="Year-15 window"),Scoring!$C$31,IF(D432="Expiring: 10-yr horizon (verified)",Scoring!$C$32,IF(D432="Past 30-yr mark (verify)",Scoring!$C$33,IF(OR(D432="Credit period",D432="Superseded record"),Scoring!$C$35,Scoring!$C$34)))))</f>
        <v>4</v>
      </c>
      <c r="AF432" s="22" t="n">
        <f aca="false">IF(T432="Y",0,IF(ISNUMBER(V432),IF(Scoring!$B$4-V432&gt;15,Scoring!$C$36,IF(Scoring!$B$4-V432&gt;=10,Scoring!$C$37,IF(Scoring!$B$4-V432&gt;=5,Scoring!$C$38,Scoring!$C$39))),IF(OR(N432="",D432="Out of program"),Scoring!$C$40,IF(O432&gt;15,Scoring!$C$36,IF(O432&gt;=10,Scoring!$C$37,IF(O432&gt;=5,Scoring!$C$38,Scoring!$C$39))))))</f>
        <v>15</v>
      </c>
      <c r="AG432" s="22" t="n">
        <f aca="false">IF(T432="Y",0,IF(Y432="Y",Scoring!$C$41,IF(ISNUMBER(O432),IF(O432&gt;=25,Scoring!$C$42,IF(O432&gt;=15,Scoring!$C$43,Scoring!$C$44)),Scoring!$C$44)))</f>
        <v>5</v>
      </c>
      <c r="AH432" s="22" t="n">
        <f aca="false">IF(T432="Y",0,IF(W432="",Scoring!$C$49,IFERROR(VLOOKUP(W432,Scoring!$B$45:$C$48,2,FALSE()),Scoring!$C$49)))</f>
        <v>5</v>
      </c>
      <c r="AI432" s="23" t="n">
        <f aca="false">C432+IF(ISNUMBER(J432),J432,0)/100000+(10000-ROW())/1000000000</f>
        <v>49.000439568</v>
      </c>
      <c r="AJ432" s="18"/>
      <c r="AK432" s="18"/>
      <c r="AL432" s="18"/>
      <c r="AM432" s="18"/>
    </row>
    <row r="433" customFormat="false" ht="15" hidden="false" customHeight="false" outlineLevel="0" collapsed="false">
      <c r="A433" s="15" t="n">
        <f aca="false">RANK(AI433,$AI$2:$AI$755)</f>
        <v>432</v>
      </c>
      <c r="B433" s="16" t="str">
        <f aca="false">IF(T433="Y","Superseded",IF(C433&gt;=Scoring!$B$16,"Immediate",IF(C433&gt;=Scoring!$B$17,"This week",IF(C433&gt;=Scoring!$B$18,"Nurture","Low"))))</f>
        <v>Nurture</v>
      </c>
      <c r="C433" s="3" t="n">
        <f aca="false">SUM(AC433:AH433)</f>
        <v>49</v>
      </c>
      <c r="D433" s="15" t="str">
        <f aca="false">IF(T433="Y","Superseded record",IF(AND(U433&lt;&gt;"",AA433&lt;0),"Expired (verified)",IF(AND(U433&lt;&gt;"",AA433&lt;=Scoring!$B$5),"Expiring: notice window (verified)",IF(AND(U433&lt;&gt;"",AA433&lt;=Scoring!$B$6),"Expiring: 10-yr horizon (verified)",IF(M433="No Longer Monitored","Out of program",IF(N433="","Unknown vintage",IF(N433&lt;Scoring!$B$12,"Pre-1990, still listed",IF(AND(U433="",AA433&lt;0),"Past 30-yr mark (verify)",IF(AND(U433="",AA433&lt;=Scoring!$B$5),"30-yr mark: notice window (est.)",IF(AND(O433&gt;=Scoring!$B$7,O433&lt;=Scoring!$B$8),"Year-15 window",IF(O433&gt;=Scoring!$B$9,"Recap window",IF(O433&gt;=11,"Late compliance","Credit period"))))))))))))</f>
        <v>Recap window</v>
      </c>
      <c r="E433" s="15" t="s">
        <v>1613</v>
      </c>
      <c r="F433" s="15" t="s">
        <v>1614</v>
      </c>
      <c r="G433" s="15" t="s">
        <v>1615</v>
      </c>
      <c r="H433" s="15" t="s">
        <v>536</v>
      </c>
      <c r="I433" s="15" t="s">
        <v>549</v>
      </c>
      <c r="J433" s="15" t="n">
        <v>42</v>
      </c>
      <c r="K433" s="15" t="n">
        <v>42</v>
      </c>
      <c r="L433" s="15" t="n">
        <f aca="false">IF(OR(J433="",K433=""),"",MAX(J433-K433,0))</f>
        <v>0</v>
      </c>
      <c r="M433" s="15" t="s">
        <v>99</v>
      </c>
      <c r="N433" s="17" t="n">
        <v>2004</v>
      </c>
      <c r="O433" s="15" t="n">
        <f aca="false">IF(N433="","",Scoring!$B$4-N433)</f>
        <v>22</v>
      </c>
      <c r="P433" s="15" t="n">
        <f aca="false">IF(N433="","",N433+14)</f>
        <v>2018</v>
      </c>
      <c r="Q433" s="15" t="n">
        <f aca="false">IF(N433="","",IF(N433&lt;Scoring!$B$12,"n/a (pre-1990)",N433+Scoring!$B$13))</f>
        <v>2033</v>
      </c>
      <c r="R433" s="15" t="str">
        <f aca="false">IF(J433="","Unknown",IF(J433&gt;=5,"Yes","No (under 5 units)"))</f>
        <v>Yes</v>
      </c>
      <c r="S433" s="15"/>
      <c r="T433" s="18"/>
      <c r="U433" s="19"/>
      <c r="V433" s="18"/>
      <c r="W433" s="18"/>
      <c r="X433" s="20"/>
      <c r="Y433" s="18"/>
      <c r="Z433" s="18"/>
      <c r="AA433" s="21" t="n">
        <f aca="false">IF(U433&lt;&gt;"",(U433-Scoring!$B$3)/365.25,IF(N433="","",IF(N433&lt;Scoring!$B$12,"",(DATE(N433+Scoring!$B$13,12,31)-Scoring!$B$3)/365.25)))</f>
        <v>7.24709103353867</v>
      </c>
      <c r="AB433" s="22" t="n">
        <f aca="false">IF(T433="Y",0,IF(OR(D433="Expired (verified)",D433="Expiring: notice window (verified)",D433="Expiring: 10-yr horizon (verified)",D433="Past 30-yr mark (verify)",D433="30-yr mark: notice window (est.)",D433="Year-15 window"),1,0)+IF(ISNUMBER(O433),IF(O433&gt;=Scoring!$B$10,1,0),0)+IF(AND(ISNUMBER(L433),ISNUMBER(J433)),IF(J433&gt;0,IF(L433/J433&gt;=Scoring!$B$11,1,0),0),0)+IF(ISNUMBER(Z433),MIN(Z433,3),0))</f>
        <v>1</v>
      </c>
      <c r="AC433" s="22" t="n">
        <f aca="false">IF(AB433&gt;=3,Scoring!$C$24,IF(AB433=2,Scoring!$C$23,IF(AB433=1,Scoring!$C$22,0)))</f>
        <v>10</v>
      </c>
      <c r="AD433" s="22" t="n">
        <f aca="false">IF(T433="Y",0,IF(ISNUMBER(X433),IF(X433&gt;0.7,Scoring!$C$25,IF(X433&gt;=0.5,Scoring!$C$26,IF(X433&gt;=0.3,Scoring!$C$27,Scoring!$C$28))),Scoring!$C$29))</f>
        <v>10</v>
      </c>
      <c r="AE433" s="22" t="n">
        <f aca="false">IF(D433="Expiring: notice window (verified)",Scoring!$C$30,IF(OR(D433="Expired (verified)",D433="30-yr mark: notice window (est.)",D433="Year-15 window"),Scoring!$C$31,IF(D433="Expiring: 10-yr horizon (verified)",Scoring!$C$32,IF(D433="Past 30-yr mark (verify)",Scoring!$C$33,IF(OR(D433="Credit period",D433="Superseded record"),Scoring!$C$35,Scoring!$C$34)))))</f>
        <v>4</v>
      </c>
      <c r="AF433" s="22" t="n">
        <f aca="false">IF(T433="Y",0,IF(ISNUMBER(V433),IF(Scoring!$B$4-V433&gt;15,Scoring!$C$36,IF(Scoring!$B$4-V433&gt;=10,Scoring!$C$37,IF(Scoring!$B$4-V433&gt;=5,Scoring!$C$38,Scoring!$C$39))),IF(OR(N433="",D433="Out of program"),Scoring!$C$40,IF(O433&gt;15,Scoring!$C$36,IF(O433&gt;=10,Scoring!$C$37,IF(O433&gt;=5,Scoring!$C$38,Scoring!$C$39))))))</f>
        <v>15</v>
      </c>
      <c r="AG433" s="22" t="n">
        <f aca="false">IF(T433="Y",0,IF(Y433="Y",Scoring!$C$41,IF(ISNUMBER(O433),IF(O433&gt;=25,Scoring!$C$42,IF(O433&gt;=15,Scoring!$C$43,Scoring!$C$44)),Scoring!$C$44)))</f>
        <v>5</v>
      </c>
      <c r="AH433" s="22" t="n">
        <f aca="false">IF(T433="Y",0,IF(W433="",Scoring!$C$49,IFERROR(VLOOKUP(W433,Scoring!$B$45:$C$48,2,FALSE()),Scoring!$C$49)))</f>
        <v>5</v>
      </c>
      <c r="AI433" s="23" t="n">
        <f aca="false">C433+IF(ISNUMBER(J433),J433,0)/100000+(10000-ROW())/1000000000</f>
        <v>49.000429567</v>
      </c>
      <c r="AJ433" s="18"/>
      <c r="AK433" s="18"/>
      <c r="AL433" s="18"/>
      <c r="AM433" s="18"/>
    </row>
    <row r="434" customFormat="false" ht="15" hidden="false" customHeight="false" outlineLevel="0" collapsed="false">
      <c r="A434" s="15" t="n">
        <f aca="false">RANK(AI434,$AI$2:$AI$755)</f>
        <v>433</v>
      </c>
      <c r="B434" s="16" t="str">
        <f aca="false">IF(T434="Y","Superseded",IF(C434&gt;=Scoring!$B$16,"Immediate",IF(C434&gt;=Scoring!$B$17,"This week",IF(C434&gt;=Scoring!$B$18,"Nurture","Low"))))</f>
        <v>Nurture</v>
      </c>
      <c r="C434" s="3" t="n">
        <f aca="false">SUM(AC434:AH434)</f>
        <v>49</v>
      </c>
      <c r="D434" s="15" t="str">
        <f aca="false">IF(T434="Y","Superseded record",IF(AND(U434&lt;&gt;"",AA434&lt;0),"Expired (verified)",IF(AND(U434&lt;&gt;"",AA434&lt;=Scoring!$B$5),"Expiring: notice window (verified)",IF(AND(U434&lt;&gt;"",AA434&lt;=Scoring!$B$6),"Expiring: 10-yr horizon (verified)",IF(M434="No Longer Monitored","Out of program",IF(N434="","Unknown vintage",IF(N434&lt;Scoring!$B$12,"Pre-1990, still listed",IF(AND(U434="",AA434&lt;0),"Past 30-yr mark (verify)",IF(AND(U434="",AA434&lt;=Scoring!$B$5),"30-yr mark: notice window (est.)",IF(AND(O434&gt;=Scoring!$B$7,O434&lt;=Scoring!$B$8),"Year-15 window",IF(O434&gt;=Scoring!$B$9,"Recap window",IF(O434&gt;=11,"Late compliance","Credit period"))))))))))))</f>
        <v>Recap window</v>
      </c>
      <c r="E434" s="15" t="s">
        <v>1616</v>
      </c>
      <c r="F434" s="15" t="s">
        <v>1617</v>
      </c>
      <c r="G434" s="15" t="s">
        <v>1618</v>
      </c>
      <c r="H434" s="15" t="s">
        <v>97</v>
      </c>
      <c r="I434" s="15" t="s">
        <v>164</v>
      </c>
      <c r="J434" s="15" t="n">
        <v>42</v>
      </c>
      <c r="K434" s="15" t="n">
        <v>42</v>
      </c>
      <c r="L434" s="15" t="n">
        <f aca="false">IF(OR(J434="",K434=""),"",MAX(J434-K434,0))</f>
        <v>0</v>
      </c>
      <c r="M434" s="15" t="s">
        <v>99</v>
      </c>
      <c r="N434" s="17" t="n">
        <v>2006</v>
      </c>
      <c r="O434" s="15" t="n">
        <f aca="false">IF(N434="","",Scoring!$B$4-N434)</f>
        <v>20</v>
      </c>
      <c r="P434" s="15" t="n">
        <f aca="false">IF(N434="","",N434+14)</f>
        <v>2020</v>
      </c>
      <c r="Q434" s="15" t="n">
        <f aca="false">IF(N434="","",IF(N434&lt;Scoring!$B$12,"n/a (pre-1990)",N434+Scoring!$B$13))</f>
        <v>2035</v>
      </c>
      <c r="R434" s="15" t="str">
        <f aca="false">IF(J434="","Unknown",IF(J434&gt;=5,"Yes","No (under 5 units)"))</f>
        <v>Yes</v>
      </c>
      <c r="S434" s="15"/>
      <c r="T434" s="18"/>
      <c r="U434" s="19"/>
      <c r="V434" s="18"/>
      <c r="W434" s="18"/>
      <c r="X434" s="20"/>
      <c r="Y434" s="18"/>
      <c r="Z434" s="18"/>
      <c r="AA434" s="21" t="n">
        <f aca="false">IF(U434&lt;&gt;"",(U434-Scoring!$B$3)/365.25,IF(N434="","",IF(N434&lt;Scoring!$B$12,"",(DATE(N434+Scoring!$B$13,12,31)-Scoring!$B$3)/365.25)))</f>
        <v>9.24572210814511</v>
      </c>
      <c r="AB434" s="22" t="n">
        <f aca="false">IF(T434="Y",0,IF(OR(D434="Expired (verified)",D434="Expiring: notice window (verified)",D434="Expiring: 10-yr horizon (verified)",D434="Past 30-yr mark (verify)",D434="30-yr mark: notice window (est.)",D434="Year-15 window"),1,0)+IF(ISNUMBER(O434),IF(O434&gt;=Scoring!$B$10,1,0),0)+IF(AND(ISNUMBER(L434),ISNUMBER(J434)),IF(J434&gt;0,IF(L434/J434&gt;=Scoring!$B$11,1,0),0),0)+IF(ISNUMBER(Z434),MIN(Z434,3),0))</f>
        <v>1</v>
      </c>
      <c r="AC434" s="22" t="n">
        <f aca="false">IF(AB434&gt;=3,Scoring!$C$24,IF(AB434=2,Scoring!$C$23,IF(AB434=1,Scoring!$C$22,0)))</f>
        <v>10</v>
      </c>
      <c r="AD434" s="22" t="n">
        <f aca="false">IF(T434="Y",0,IF(ISNUMBER(X434),IF(X434&gt;0.7,Scoring!$C$25,IF(X434&gt;=0.5,Scoring!$C$26,IF(X434&gt;=0.3,Scoring!$C$27,Scoring!$C$28))),Scoring!$C$29))</f>
        <v>10</v>
      </c>
      <c r="AE434" s="22" t="n">
        <f aca="false">IF(D434="Expiring: notice window (verified)",Scoring!$C$30,IF(OR(D434="Expired (verified)",D434="30-yr mark: notice window (est.)",D434="Year-15 window"),Scoring!$C$31,IF(D434="Expiring: 10-yr horizon (verified)",Scoring!$C$32,IF(D434="Past 30-yr mark (verify)",Scoring!$C$33,IF(OR(D434="Credit period",D434="Superseded record"),Scoring!$C$35,Scoring!$C$34)))))</f>
        <v>4</v>
      </c>
      <c r="AF434" s="22" t="n">
        <f aca="false">IF(T434="Y",0,IF(ISNUMBER(V434),IF(Scoring!$B$4-V434&gt;15,Scoring!$C$36,IF(Scoring!$B$4-V434&gt;=10,Scoring!$C$37,IF(Scoring!$B$4-V434&gt;=5,Scoring!$C$38,Scoring!$C$39))),IF(OR(N434="",D434="Out of program"),Scoring!$C$40,IF(O434&gt;15,Scoring!$C$36,IF(O434&gt;=10,Scoring!$C$37,IF(O434&gt;=5,Scoring!$C$38,Scoring!$C$39))))))</f>
        <v>15</v>
      </c>
      <c r="AG434" s="22" t="n">
        <f aca="false">IF(T434="Y",0,IF(Y434="Y",Scoring!$C$41,IF(ISNUMBER(O434),IF(O434&gt;=25,Scoring!$C$42,IF(O434&gt;=15,Scoring!$C$43,Scoring!$C$44)),Scoring!$C$44)))</f>
        <v>5</v>
      </c>
      <c r="AH434" s="22" t="n">
        <f aca="false">IF(T434="Y",0,IF(W434="",Scoring!$C$49,IFERROR(VLOOKUP(W434,Scoring!$B$45:$C$48,2,FALSE()),Scoring!$C$49)))</f>
        <v>5</v>
      </c>
      <c r="AI434" s="23" t="n">
        <f aca="false">C434+IF(ISNUMBER(J434),J434,0)/100000+(10000-ROW())/1000000000</f>
        <v>49.000429566</v>
      </c>
      <c r="AJ434" s="18"/>
      <c r="AK434" s="18"/>
      <c r="AL434" s="18"/>
      <c r="AM434" s="18"/>
    </row>
    <row r="435" customFormat="false" ht="15" hidden="false" customHeight="false" outlineLevel="0" collapsed="false">
      <c r="A435" s="15" t="n">
        <f aca="false">RANK(AI435,$AI$2:$AI$755)</f>
        <v>434</v>
      </c>
      <c r="B435" s="16" t="str">
        <f aca="false">IF(T435="Y","Superseded",IF(C435&gt;=Scoring!$B$16,"Immediate",IF(C435&gt;=Scoring!$B$17,"This week",IF(C435&gt;=Scoring!$B$18,"Nurture","Low"))))</f>
        <v>Nurture</v>
      </c>
      <c r="C435" s="3" t="n">
        <f aca="false">SUM(AC435:AH435)</f>
        <v>49</v>
      </c>
      <c r="D435" s="15" t="str">
        <f aca="false">IF(T435="Y","Superseded record",IF(AND(U435&lt;&gt;"",AA435&lt;0),"Expired (verified)",IF(AND(U435&lt;&gt;"",AA435&lt;=Scoring!$B$5),"Expiring: notice window (verified)",IF(AND(U435&lt;&gt;"",AA435&lt;=Scoring!$B$6),"Expiring: 10-yr horizon (verified)",IF(M435="No Longer Monitored","Out of program",IF(N435="","Unknown vintage",IF(N435&lt;Scoring!$B$12,"Pre-1990, still listed",IF(AND(U435="",AA435&lt;0),"Past 30-yr mark (verify)",IF(AND(U435="",AA435&lt;=Scoring!$B$5),"30-yr mark: notice window (est.)",IF(AND(O435&gt;=Scoring!$B$7,O435&lt;=Scoring!$B$8),"Year-15 window",IF(O435&gt;=Scoring!$B$9,"Recap window",IF(O435&gt;=11,"Late compliance","Credit period"))))))))))))</f>
        <v>Recap window</v>
      </c>
      <c r="E435" s="15" t="s">
        <v>1619</v>
      </c>
      <c r="F435" s="15" t="s">
        <v>1620</v>
      </c>
      <c r="G435" s="15" t="s">
        <v>1621</v>
      </c>
      <c r="H435" s="15" t="s">
        <v>97</v>
      </c>
      <c r="I435" s="15" t="s">
        <v>164</v>
      </c>
      <c r="J435" s="15" t="n">
        <v>42</v>
      </c>
      <c r="K435" s="15" t="n">
        <v>42</v>
      </c>
      <c r="L435" s="15" t="n">
        <f aca="false">IF(OR(J435="",K435=""),"",MAX(J435-K435,0))</f>
        <v>0</v>
      </c>
      <c r="M435" s="15" t="s">
        <v>99</v>
      </c>
      <c r="N435" s="17" t="n">
        <v>2006</v>
      </c>
      <c r="O435" s="15" t="n">
        <f aca="false">IF(N435="","",Scoring!$B$4-N435)</f>
        <v>20</v>
      </c>
      <c r="P435" s="15" t="n">
        <f aca="false">IF(N435="","",N435+14)</f>
        <v>2020</v>
      </c>
      <c r="Q435" s="15" t="n">
        <f aca="false">IF(N435="","",IF(N435&lt;Scoring!$B$12,"n/a (pre-1990)",N435+Scoring!$B$13))</f>
        <v>2035</v>
      </c>
      <c r="R435" s="15" t="str">
        <f aca="false">IF(J435="","Unknown",IF(J435&gt;=5,"Yes","No (under 5 units)"))</f>
        <v>Yes</v>
      </c>
      <c r="S435" s="15"/>
      <c r="T435" s="18"/>
      <c r="U435" s="19"/>
      <c r="V435" s="18"/>
      <c r="W435" s="18"/>
      <c r="X435" s="20"/>
      <c r="Y435" s="18"/>
      <c r="Z435" s="18"/>
      <c r="AA435" s="21" t="n">
        <f aca="false">IF(U435&lt;&gt;"",(U435-Scoring!$B$3)/365.25,IF(N435="","",IF(N435&lt;Scoring!$B$12,"",(DATE(N435+Scoring!$B$13,12,31)-Scoring!$B$3)/365.25)))</f>
        <v>9.24572210814511</v>
      </c>
      <c r="AB435" s="22" t="n">
        <f aca="false">IF(T435="Y",0,IF(OR(D435="Expired (verified)",D435="Expiring: notice window (verified)",D435="Expiring: 10-yr horizon (verified)",D435="Past 30-yr mark (verify)",D435="30-yr mark: notice window (est.)",D435="Year-15 window"),1,0)+IF(ISNUMBER(O435),IF(O435&gt;=Scoring!$B$10,1,0),0)+IF(AND(ISNUMBER(L435),ISNUMBER(J435)),IF(J435&gt;0,IF(L435/J435&gt;=Scoring!$B$11,1,0),0),0)+IF(ISNUMBER(Z435),MIN(Z435,3),0))</f>
        <v>1</v>
      </c>
      <c r="AC435" s="22" t="n">
        <f aca="false">IF(AB435&gt;=3,Scoring!$C$24,IF(AB435=2,Scoring!$C$23,IF(AB435=1,Scoring!$C$22,0)))</f>
        <v>10</v>
      </c>
      <c r="AD435" s="22" t="n">
        <f aca="false">IF(T435="Y",0,IF(ISNUMBER(X435),IF(X435&gt;0.7,Scoring!$C$25,IF(X435&gt;=0.5,Scoring!$C$26,IF(X435&gt;=0.3,Scoring!$C$27,Scoring!$C$28))),Scoring!$C$29))</f>
        <v>10</v>
      </c>
      <c r="AE435" s="22" t="n">
        <f aca="false">IF(D435="Expiring: notice window (verified)",Scoring!$C$30,IF(OR(D435="Expired (verified)",D435="30-yr mark: notice window (est.)",D435="Year-15 window"),Scoring!$C$31,IF(D435="Expiring: 10-yr horizon (verified)",Scoring!$C$32,IF(D435="Past 30-yr mark (verify)",Scoring!$C$33,IF(OR(D435="Credit period",D435="Superseded record"),Scoring!$C$35,Scoring!$C$34)))))</f>
        <v>4</v>
      </c>
      <c r="AF435" s="22" t="n">
        <f aca="false">IF(T435="Y",0,IF(ISNUMBER(V435),IF(Scoring!$B$4-V435&gt;15,Scoring!$C$36,IF(Scoring!$B$4-V435&gt;=10,Scoring!$C$37,IF(Scoring!$B$4-V435&gt;=5,Scoring!$C$38,Scoring!$C$39))),IF(OR(N435="",D435="Out of program"),Scoring!$C$40,IF(O435&gt;15,Scoring!$C$36,IF(O435&gt;=10,Scoring!$C$37,IF(O435&gt;=5,Scoring!$C$38,Scoring!$C$39))))))</f>
        <v>15</v>
      </c>
      <c r="AG435" s="22" t="n">
        <f aca="false">IF(T435="Y",0,IF(Y435="Y",Scoring!$C$41,IF(ISNUMBER(O435),IF(O435&gt;=25,Scoring!$C$42,IF(O435&gt;=15,Scoring!$C$43,Scoring!$C$44)),Scoring!$C$44)))</f>
        <v>5</v>
      </c>
      <c r="AH435" s="22" t="n">
        <f aca="false">IF(T435="Y",0,IF(W435="",Scoring!$C$49,IFERROR(VLOOKUP(W435,Scoring!$B$45:$C$48,2,FALSE()),Scoring!$C$49)))</f>
        <v>5</v>
      </c>
      <c r="AI435" s="23" t="n">
        <f aca="false">C435+IF(ISNUMBER(J435),J435,0)/100000+(10000-ROW())/1000000000</f>
        <v>49.000429565</v>
      </c>
      <c r="AJ435" s="18"/>
      <c r="AK435" s="18"/>
      <c r="AL435" s="18"/>
      <c r="AM435" s="18"/>
    </row>
    <row r="436" customFormat="false" ht="15" hidden="false" customHeight="false" outlineLevel="0" collapsed="false">
      <c r="A436" s="15" t="n">
        <f aca="false">RANK(AI436,$AI$2:$AI$755)</f>
        <v>435</v>
      </c>
      <c r="B436" s="16" t="str">
        <f aca="false">IF(T436="Y","Superseded",IF(C436&gt;=Scoring!$B$16,"Immediate",IF(C436&gt;=Scoring!$B$17,"This week",IF(C436&gt;=Scoring!$B$18,"Nurture","Low"))))</f>
        <v>Nurture</v>
      </c>
      <c r="C436" s="3" t="n">
        <f aca="false">SUM(AC436:AH436)</f>
        <v>49</v>
      </c>
      <c r="D436" s="15" t="str">
        <f aca="false">IF(T436="Y","Superseded record",IF(AND(U436&lt;&gt;"",AA436&lt;0),"Expired (verified)",IF(AND(U436&lt;&gt;"",AA436&lt;=Scoring!$B$5),"Expiring: notice window (verified)",IF(AND(U436&lt;&gt;"",AA436&lt;=Scoring!$B$6),"Expiring: 10-yr horizon (verified)",IF(M436="No Longer Monitored","Out of program",IF(N436="","Unknown vintage",IF(N436&lt;Scoring!$B$12,"Pre-1990, still listed",IF(AND(U436="",AA436&lt;0),"Past 30-yr mark (verify)",IF(AND(U436="",AA436&lt;=Scoring!$B$5),"30-yr mark: notice window (est.)",IF(AND(O436&gt;=Scoring!$B$7,O436&lt;=Scoring!$B$8),"Year-15 window",IF(O436&gt;=Scoring!$B$9,"Recap window",IF(O436&gt;=11,"Late compliance","Credit period"))))))))))))</f>
        <v>Recap window</v>
      </c>
      <c r="E436" s="15" t="s">
        <v>1622</v>
      </c>
      <c r="F436" s="15" t="s">
        <v>1623</v>
      </c>
      <c r="G436" s="15" t="s">
        <v>1624</v>
      </c>
      <c r="H436" s="15" t="s">
        <v>1075</v>
      </c>
      <c r="I436" s="15" t="s">
        <v>1076</v>
      </c>
      <c r="J436" s="15" t="n">
        <v>41</v>
      </c>
      <c r="K436" s="15" t="n">
        <v>40</v>
      </c>
      <c r="L436" s="15" t="n">
        <f aca="false">IF(OR(J436="",K436=""),"",MAX(J436-K436,0))</f>
        <v>1</v>
      </c>
      <c r="M436" s="15" t="s">
        <v>99</v>
      </c>
      <c r="N436" s="17" t="n">
        <v>2006</v>
      </c>
      <c r="O436" s="15" t="n">
        <f aca="false">IF(N436="","",Scoring!$B$4-N436)</f>
        <v>20</v>
      </c>
      <c r="P436" s="15" t="n">
        <f aca="false">IF(N436="","",N436+14)</f>
        <v>2020</v>
      </c>
      <c r="Q436" s="15" t="n">
        <f aca="false">IF(N436="","",IF(N436&lt;Scoring!$B$12,"n/a (pre-1990)",N436+Scoring!$B$13))</f>
        <v>2035</v>
      </c>
      <c r="R436" s="15" t="str">
        <f aca="false">IF(J436="","Unknown",IF(J436&gt;=5,"Yes","No (under 5 units)"))</f>
        <v>Yes</v>
      </c>
      <c r="S436" s="15"/>
      <c r="T436" s="18"/>
      <c r="U436" s="19"/>
      <c r="V436" s="18"/>
      <c r="W436" s="18"/>
      <c r="X436" s="20"/>
      <c r="Y436" s="18"/>
      <c r="Z436" s="18"/>
      <c r="AA436" s="21" t="n">
        <f aca="false">IF(U436&lt;&gt;"",(U436-Scoring!$B$3)/365.25,IF(N436="","",IF(N436&lt;Scoring!$B$12,"",(DATE(N436+Scoring!$B$13,12,31)-Scoring!$B$3)/365.25)))</f>
        <v>9.24572210814511</v>
      </c>
      <c r="AB436" s="22" t="n">
        <f aca="false">IF(T436="Y",0,IF(OR(D436="Expired (verified)",D436="Expiring: notice window (verified)",D436="Expiring: 10-yr horizon (verified)",D436="Past 30-yr mark (verify)",D436="30-yr mark: notice window (est.)",D436="Year-15 window"),1,0)+IF(ISNUMBER(O436),IF(O436&gt;=Scoring!$B$10,1,0),0)+IF(AND(ISNUMBER(L436),ISNUMBER(J436)),IF(J436&gt;0,IF(L436/J436&gt;=Scoring!$B$11,1,0),0),0)+IF(ISNUMBER(Z436),MIN(Z436,3),0))</f>
        <v>1</v>
      </c>
      <c r="AC436" s="22" t="n">
        <f aca="false">IF(AB436&gt;=3,Scoring!$C$24,IF(AB436=2,Scoring!$C$23,IF(AB436=1,Scoring!$C$22,0)))</f>
        <v>10</v>
      </c>
      <c r="AD436" s="22" t="n">
        <f aca="false">IF(T436="Y",0,IF(ISNUMBER(X436),IF(X436&gt;0.7,Scoring!$C$25,IF(X436&gt;=0.5,Scoring!$C$26,IF(X436&gt;=0.3,Scoring!$C$27,Scoring!$C$28))),Scoring!$C$29))</f>
        <v>10</v>
      </c>
      <c r="AE436" s="22" t="n">
        <f aca="false">IF(D436="Expiring: notice window (verified)",Scoring!$C$30,IF(OR(D436="Expired (verified)",D436="30-yr mark: notice window (est.)",D436="Year-15 window"),Scoring!$C$31,IF(D436="Expiring: 10-yr horizon (verified)",Scoring!$C$32,IF(D436="Past 30-yr mark (verify)",Scoring!$C$33,IF(OR(D436="Credit period",D436="Superseded record"),Scoring!$C$35,Scoring!$C$34)))))</f>
        <v>4</v>
      </c>
      <c r="AF436" s="22" t="n">
        <f aca="false">IF(T436="Y",0,IF(ISNUMBER(V436),IF(Scoring!$B$4-V436&gt;15,Scoring!$C$36,IF(Scoring!$B$4-V436&gt;=10,Scoring!$C$37,IF(Scoring!$B$4-V436&gt;=5,Scoring!$C$38,Scoring!$C$39))),IF(OR(N436="",D436="Out of program"),Scoring!$C$40,IF(O436&gt;15,Scoring!$C$36,IF(O436&gt;=10,Scoring!$C$37,IF(O436&gt;=5,Scoring!$C$38,Scoring!$C$39))))))</f>
        <v>15</v>
      </c>
      <c r="AG436" s="22" t="n">
        <f aca="false">IF(T436="Y",0,IF(Y436="Y",Scoring!$C$41,IF(ISNUMBER(O436),IF(O436&gt;=25,Scoring!$C$42,IF(O436&gt;=15,Scoring!$C$43,Scoring!$C$44)),Scoring!$C$44)))</f>
        <v>5</v>
      </c>
      <c r="AH436" s="22" t="n">
        <f aca="false">IF(T436="Y",0,IF(W436="",Scoring!$C$49,IFERROR(VLOOKUP(W436,Scoring!$B$45:$C$48,2,FALSE()),Scoring!$C$49)))</f>
        <v>5</v>
      </c>
      <c r="AI436" s="23" t="n">
        <f aca="false">C436+IF(ISNUMBER(J436),J436,0)/100000+(10000-ROW())/1000000000</f>
        <v>49.000419564</v>
      </c>
      <c r="AJ436" s="18"/>
      <c r="AK436" s="18"/>
      <c r="AL436" s="18"/>
      <c r="AM436" s="18"/>
    </row>
    <row r="437" customFormat="false" ht="15" hidden="false" customHeight="false" outlineLevel="0" collapsed="false">
      <c r="A437" s="15" t="n">
        <f aca="false">RANK(AI437,$AI$2:$AI$755)</f>
        <v>436</v>
      </c>
      <c r="B437" s="16" t="str">
        <f aca="false">IF(T437="Y","Superseded",IF(C437&gt;=Scoring!$B$16,"Immediate",IF(C437&gt;=Scoring!$B$17,"This week",IF(C437&gt;=Scoring!$B$18,"Nurture","Low"))))</f>
        <v>Nurture</v>
      </c>
      <c r="C437" s="3" t="n">
        <f aca="false">SUM(AC437:AH437)</f>
        <v>49</v>
      </c>
      <c r="D437" s="15" t="str">
        <f aca="false">IF(T437="Y","Superseded record",IF(AND(U437&lt;&gt;"",AA437&lt;0),"Expired (verified)",IF(AND(U437&lt;&gt;"",AA437&lt;=Scoring!$B$5),"Expiring: notice window (verified)",IF(AND(U437&lt;&gt;"",AA437&lt;=Scoring!$B$6),"Expiring: 10-yr horizon (verified)",IF(M437="No Longer Monitored","Out of program",IF(N437="","Unknown vintage",IF(N437&lt;Scoring!$B$12,"Pre-1990, still listed",IF(AND(U437="",AA437&lt;0),"Past 30-yr mark (verify)",IF(AND(U437="",AA437&lt;=Scoring!$B$5),"30-yr mark: notice window (est.)",IF(AND(O437&gt;=Scoring!$B$7,O437&lt;=Scoring!$B$8),"Year-15 window",IF(O437&gt;=Scoring!$B$9,"Recap window",IF(O437&gt;=11,"Late compliance","Credit period"))))))))))))</f>
        <v>Recap window</v>
      </c>
      <c r="E437" s="15" t="s">
        <v>1625</v>
      </c>
      <c r="F437" s="15" t="s">
        <v>1626</v>
      </c>
      <c r="G437" s="15" t="s">
        <v>1627</v>
      </c>
      <c r="H437" s="15" t="s">
        <v>877</v>
      </c>
      <c r="I437" s="15" t="s">
        <v>878</v>
      </c>
      <c r="J437" s="15" t="n">
        <v>40</v>
      </c>
      <c r="K437" s="15" t="n">
        <v>40</v>
      </c>
      <c r="L437" s="15" t="n">
        <f aca="false">IF(OR(J437="",K437=""),"",MAX(J437-K437,0))</f>
        <v>0</v>
      </c>
      <c r="M437" s="15" t="s">
        <v>99</v>
      </c>
      <c r="N437" s="17" t="n">
        <v>2002</v>
      </c>
      <c r="O437" s="15" t="n">
        <f aca="false">IF(N437="","",Scoring!$B$4-N437)</f>
        <v>24</v>
      </c>
      <c r="P437" s="15" t="n">
        <f aca="false">IF(N437="","",N437+14)</f>
        <v>2016</v>
      </c>
      <c r="Q437" s="15" t="n">
        <f aca="false">IF(N437="","",IF(N437&lt;Scoring!$B$12,"n/a (pre-1990)",N437+Scoring!$B$13))</f>
        <v>2031</v>
      </c>
      <c r="R437" s="15" t="str">
        <f aca="false">IF(J437="","Unknown",IF(J437&gt;=5,"Yes","No (under 5 units)"))</f>
        <v>Yes</v>
      </c>
      <c r="S437" s="15"/>
      <c r="T437" s="18"/>
      <c r="U437" s="19"/>
      <c r="V437" s="18"/>
      <c r="W437" s="18"/>
      <c r="X437" s="20"/>
      <c r="Y437" s="18"/>
      <c r="Z437" s="18"/>
      <c r="AA437" s="21" t="n">
        <f aca="false">IF(U437&lt;&gt;"",(U437-Scoring!$B$3)/365.25,IF(N437="","",IF(N437&lt;Scoring!$B$12,"",(DATE(N437+Scoring!$B$13,12,31)-Scoring!$B$3)/365.25)))</f>
        <v>5.24572210814511</v>
      </c>
      <c r="AB437" s="22" t="n">
        <f aca="false">IF(T437="Y",0,IF(OR(D437="Expired (verified)",D437="Expiring: notice window (verified)",D437="Expiring: 10-yr horizon (verified)",D437="Past 30-yr mark (verify)",D437="30-yr mark: notice window (est.)",D437="Year-15 window"),1,0)+IF(ISNUMBER(O437),IF(O437&gt;=Scoring!$B$10,1,0),0)+IF(AND(ISNUMBER(L437),ISNUMBER(J437)),IF(J437&gt;0,IF(L437/J437&gt;=Scoring!$B$11,1,0),0),0)+IF(ISNUMBER(Z437),MIN(Z437,3),0))</f>
        <v>1</v>
      </c>
      <c r="AC437" s="22" t="n">
        <f aca="false">IF(AB437&gt;=3,Scoring!$C$24,IF(AB437=2,Scoring!$C$23,IF(AB437=1,Scoring!$C$22,0)))</f>
        <v>10</v>
      </c>
      <c r="AD437" s="22" t="n">
        <f aca="false">IF(T437="Y",0,IF(ISNUMBER(X437),IF(X437&gt;0.7,Scoring!$C$25,IF(X437&gt;=0.5,Scoring!$C$26,IF(X437&gt;=0.3,Scoring!$C$27,Scoring!$C$28))),Scoring!$C$29))</f>
        <v>10</v>
      </c>
      <c r="AE437" s="22" t="n">
        <f aca="false">IF(D437="Expiring: notice window (verified)",Scoring!$C$30,IF(OR(D437="Expired (verified)",D437="30-yr mark: notice window (est.)",D437="Year-15 window"),Scoring!$C$31,IF(D437="Expiring: 10-yr horizon (verified)",Scoring!$C$32,IF(D437="Past 30-yr mark (verify)",Scoring!$C$33,IF(OR(D437="Credit period",D437="Superseded record"),Scoring!$C$35,Scoring!$C$34)))))</f>
        <v>4</v>
      </c>
      <c r="AF437" s="22" t="n">
        <f aca="false">IF(T437="Y",0,IF(ISNUMBER(V437),IF(Scoring!$B$4-V437&gt;15,Scoring!$C$36,IF(Scoring!$B$4-V437&gt;=10,Scoring!$C$37,IF(Scoring!$B$4-V437&gt;=5,Scoring!$C$38,Scoring!$C$39))),IF(OR(N437="",D437="Out of program"),Scoring!$C$40,IF(O437&gt;15,Scoring!$C$36,IF(O437&gt;=10,Scoring!$C$37,IF(O437&gt;=5,Scoring!$C$38,Scoring!$C$39))))))</f>
        <v>15</v>
      </c>
      <c r="AG437" s="22" t="n">
        <f aca="false">IF(T437="Y",0,IF(Y437="Y",Scoring!$C$41,IF(ISNUMBER(O437),IF(O437&gt;=25,Scoring!$C$42,IF(O437&gt;=15,Scoring!$C$43,Scoring!$C$44)),Scoring!$C$44)))</f>
        <v>5</v>
      </c>
      <c r="AH437" s="22" t="n">
        <f aca="false">IF(T437="Y",0,IF(W437="",Scoring!$C$49,IFERROR(VLOOKUP(W437,Scoring!$B$45:$C$48,2,FALSE()),Scoring!$C$49)))</f>
        <v>5</v>
      </c>
      <c r="AI437" s="23" t="n">
        <f aca="false">C437+IF(ISNUMBER(J437),J437,0)/100000+(10000-ROW())/1000000000</f>
        <v>49.000409563</v>
      </c>
      <c r="AJ437" s="18"/>
      <c r="AK437" s="18"/>
      <c r="AL437" s="18"/>
      <c r="AM437" s="18"/>
    </row>
    <row r="438" customFormat="false" ht="15" hidden="false" customHeight="false" outlineLevel="0" collapsed="false">
      <c r="A438" s="15" t="n">
        <f aca="false">RANK(AI438,$AI$2:$AI$755)</f>
        <v>437</v>
      </c>
      <c r="B438" s="16" t="str">
        <f aca="false">IF(T438="Y","Superseded",IF(C438&gt;=Scoring!$B$16,"Immediate",IF(C438&gt;=Scoring!$B$17,"This week",IF(C438&gt;=Scoring!$B$18,"Nurture","Low"))))</f>
        <v>Nurture</v>
      </c>
      <c r="C438" s="3" t="n">
        <f aca="false">SUM(AC438:AH438)</f>
        <v>49</v>
      </c>
      <c r="D438" s="15" t="str">
        <f aca="false">IF(T438="Y","Superseded record",IF(AND(U438&lt;&gt;"",AA438&lt;0),"Expired (verified)",IF(AND(U438&lt;&gt;"",AA438&lt;=Scoring!$B$5),"Expiring: notice window (verified)",IF(AND(U438&lt;&gt;"",AA438&lt;=Scoring!$B$6),"Expiring: 10-yr horizon (verified)",IF(M438="No Longer Monitored","Out of program",IF(N438="","Unknown vintage",IF(N438&lt;Scoring!$B$12,"Pre-1990, still listed",IF(AND(U438="",AA438&lt;0),"Past 30-yr mark (verify)",IF(AND(U438="",AA438&lt;=Scoring!$B$5),"30-yr mark: notice window (est.)",IF(AND(O438&gt;=Scoring!$B$7,O438&lt;=Scoring!$B$8),"Year-15 window",IF(O438&gt;=Scoring!$B$9,"Recap window",IF(O438&gt;=11,"Late compliance","Credit period"))))))))))))</f>
        <v>Recap window</v>
      </c>
      <c r="E438" s="15" t="s">
        <v>1628</v>
      </c>
      <c r="F438" s="15" t="s">
        <v>1629</v>
      </c>
      <c r="G438" s="15" t="s">
        <v>1630</v>
      </c>
      <c r="H438" s="15" t="s">
        <v>1631</v>
      </c>
      <c r="I438" s="15" t="s">
        <v>1632</v>
      </c>
      <c r="J438" s="15" t="n">
        <v>40</v>
      </c>
      <c r="K438" s="15" t="n">
        <v>40</v>
      </c>
      <c r="L438" s="15" t="n">
        <f aca="false">IF(OR(J438="",K438=""),"",MAX(J438-K438,0))</f>
        <v>0</v>
      </c>
      <c r="M438" s="15" t="s">
        <v>99</v>
      </c>
      <c r="N438" s="17" t="n">
        <v>2002</v>
      </c>
      <c r="O438" s="15" t="n">
        <f aca="false">IF(N438="","",Scoring!$B$4-N438)</f>
        <v>24</v>
      </c>
      <c r="P438" s="15" t="n">
        <f aca="false">IF(N438="","",N438+14)</f>
        <v>2016</v>
      </c>
      <c r="Q438" s="15" t="n">
        <f aca="false">IF(N438="","",IF(N438&lt;Scoring!$B$12,"n/a (pre-1990)",N438+Scoring!$B$13))</f>
        <v>2031</v>
      </c>
      <c r="R438" s="15" t="str">
        <f aca="false">IF(J438="","Unknown",IF(J438&gt;=5,"Yes","No (under 5 units)"))</f>
        <v>Yes</v>
      </c>
      <c r="S438" s="15"/>
      <c r="T438" s="18"/>
      <c r="U438" s="19"/>
      <c r="V438" s="18"/>
      <c r="W438" s="18"/>
      <c r="X438" s="20"/>
      <c r="Y438" s="18"/>
      <c r="Z438" s="18"/>
      <c r="AA438" s="21" t="n">
        <f aca="false">IF(U438&lt;&gt;"",(U438-Scoring!$B$3)/365.25,IF(N438="","",IF(N438&lt;Scoring!$B$12,"",(DATE(N438+Scoring!$B$13,12,31)-Scoring!$B$3)/365.25)))</f>
        <v>5.24572210814511</v>
      </c>
      <c r="AB438" s="22" t="n">
        <f aca="false">IF(T438="Y",0,IF(OR(D438="Expired (verified)",D438="Expiring: notice window (verified)",D438="Expiring: 10-yr horizon (verified)",D438="Past 30-yr mark (verify)",D438="30-yr mark: notice window (est.)",D438="Year-15 window"),1,0)+IF(ISNUMBER(O438),IF(O438&gt;=Scoring!$B$10,1,0),0)+IF(AND(ISNUMBER(L438),ISNUMBER(J438)),IF(J438&gt;0,IF(L438/J438&gt;=Scoring!$B$11,1,0),0),0)+IF(ISNUMBER(Z438),MIN(Z438,3),0))</f>
        <v>1</v>
      </c>
      <c r="AC438" s="22" t="n">
        <f aca="false">IF(AB438&gt;=3,Scoring!$C$24,IF(AB438=2,Scoring!$C$23,IF(AB438=1,Scoring!$C$22,0)))</f>
        <v>10</v>
      </c>
      <c r="AD438" s="22" t="n">
        <f aca="false">IF(T438="Y",0,IF(ISNUMBER(X438),IF(X438&gt;0.7,Scoring!$C$25,IF(X438&gt;=0.5,Scoring!$C$26,IF(X438&gt;=0.3,Scoring!$C$27,Scoring!$C$28))),Scoring!$C$29))</f>
        <v>10</v>
      </c>
      <c r="AE438" s="22" t="n">
        <f aca="false">IF(D438="Expiring: notice window (verified)",Scoring!$C$30,IF(OR(D438="Expired (verified)",D438="30-yr mark: notice window (est.)",D438="Year-15 window"),Scoring!$C$31,IF(D438="Expiring: 10-yr horizon (verified)",Scoring!$C$32,IF(D438="Past 30-yr mark (verify)",Scoring!$C$33,IF(OR(D438="Credit period",D438="Superseded record"),Scoring!$C$35,Scoring!$C$34)))))</f>
        <v>4</v>
      </c>
      <c r="AF438" s="22" t="n">
        <f aca="false">IF(T438="Y",0,IF(ISNUMBER(V438),IF(Scoring!$B$4-V438&gt;15,Scoring!$C$36,IF(Scoring!$B$4-V438&gt;=10,Scoring!$C$37,IF(Scoring!$B$4-V438&gt;=5,Scoring!$C$38,Scoring!$C$39))),IF(OR(N438="",D438="Out of program"),Scoring!$C$40,IF(O438&gt;15,Scoring!$C$36,IF(O438&gt;=10,Scoring!$C$37,IF(O438&gt;=5,Scoring!$C$38,Scoring!$C$39))))))</f>
        <v>15</v>
      </c>
      <c r="AG438" s="22" t="n">
        <f aca="false">IF(T438="Y",0,IF(Y438="Y",Scoring!$C$41,IF(ISNUMBER(O438),IF(O438&gt;=25,Scoring!$C$42,IF(O438&gt;=15,Scoring!$C$43,Scoring!$C$44)),Scoring!$C$44)))</f>
        <v>5</v>
      </c>
      <c r="AH438" s="22" t="n">
        <f aca="false">IF(T438="Y",0,IF(W438="",Scoring!$C$49,IFERROR(VLOOKUP(W438,Scoring!$B$45:$C$48,2,FALSE()),Scoring!$C$49)))</f>
        <v>5</v>
      </c>
      <c r="AI438" s="23" t="n">
        <f aca="false">C438+IF(ISNUMBER(J438),J438,0)/100000+(10000-ROW())/1000000000</f>
        <v>49.000409562</v>
      </c>
      <c r="AJ438" s="18"/>
      <c r="AK438" s="18"/>
      <c r="AL438" s="18"/>
      <c r="AM438" s="18"/>
    </row>
    <row r="439" customFormat="false" ht="15" hidden="false" customHeight="false" outlineLevel="0" collapsed="false">
      <c r="A439" s="15" t="n">
        <f aca="false">RANK(AI439,$AI$2:$AI$755)</f>
        <v>438</v>
      </c>
      <c r="B439" s="16" t="str">
        <f aca="false">IF(T439="Y","Superseded",IF(C439&gt;=Scoring!$B$16,"Immediate",IF(C439&gt;=Scoring!$B$17,"This week",IF(C439&gt;=Scoring!$B$18,"Nurture","Low"))))</f>
        <v>Nurture</v>
      </c>
      <c r="C439" s="3" t="n">
        <f aca="false">SUM(AC439:AH439)</f>
        <v>49</v>
      </c>
      <c r="D439" s="15" t="str">
        <f aca="false">IF(T439="Y","Superseded record",IF(AND(U439&lt;&gt;"",AA439&lt;0),"Expired (verified)",IF(AND(U439&lt;&gt;"",AA439&lt;=Scoring!$B$5),"Expiring: notice window (verified)",IF(AND(U439&lt;&gt;"",AA439&lt;=Scoring!$B$6),"Expiring: 10-yr horizon (verified)",IF(M439="No Longer Monitored","Out of program",IF(N439="","Unknown vintage",IF(N439&lt;Scoring!$B$12,"Pre-1990, still listed",IF(AND(U439="",AA439&lt;0),"Past 30-yr mark (verify)",IF(AND(U439="",AA439&lt;=Scoring!$B$5),"30-yr mark: notice window (est.)",IF(AND(O439&gt;=Scoring!$B$7,O439&lt;=Scoring!$B$8),"Year-15 window",IF(O439&gt;=Scoring!$B$9,"Recap window",IF(O439&gt;=11,"Late compliance","Credit period"))))))))))))</f>
        <v>Recap window</v>
      </c>
      <c r="E439" s="15" t="s">
        <v>1633</v>
      </c>
      <c r="F439" s="15" t="s">
        <v>1634</v>
      </c>
      <c r="G439" s="15" t="s">
        <v>1635</v>
      </c>
      <c r="H439" s="15" t="s">
        <v>340</v>
      </c>
      <c r="I439" s="15" t="s">
        <v>341</v>
      </c>
      <c r="J439" s="15" t="n">
        <v>40</v>
      </c>
      <c r="K439" s="15" t="n">
        <v>40</v>
      </c>
      <c r="L439" s="15" t="n">
        <f aca="false">IF(OR(J439="",K439=""),"",MAX(J439-K439,0))</f>
        <v>0</v>
      </c>
      <c r="M439" s="15" t="s">
        <v>99</v>
      </c>
      <c r="N439" s="17" t="n">
        <v>2003</v>
      </c>
      <c r="O439" s="15" t="n">
        <f aca="false">IF(N439="","",Scoring!$B$4-N439)</f>
        <v>23</v>
      </c>
      <c r="P439" s="15" t="n">
        <f aca="false">IF(N439="","",N439+14)</f>
        <v>2017</v>
      </c>
      <c r="Q439" s="15" t="n">
        <f aca="false">IF(N439="","",IF(N439&lt;Scoring!$B$12,"n/a (pre-1990)",N439+Scoring!$B$13))</f>
        <v>2032</v>
      </c>
      <c r="R439" s="15" t="str">
        <f aca="false">IF(J439="","Unknown",IF(J439&gt;=5,"Yes","No (under 5 units)"))</f>
        <v>Yes</v>
      </c>
      <c r="S439" s="15"/>
      <c r="T439" s="18"/>
      <c r="U439" s="19"/>
      <c r="V439" s="18"/>
      <c r="W439" s="18"/>
      <c r="X439" s="20"/>
      <c r="Y439" s="18"/>
      <c r="Z439" s="18"/>
      <c r="AA439" s="21" t="n">
        <f aca="false">IF(U439&lt;&gt;"",(U439-Scoring!$B$3)/365.25,IF(N439="","",IF(N439&lt;Scoring!$B$12,"",(DATE(N439+Scoring!$B$13,12,31)-Scoring!$B$3)/365.25)))</f>
        <v>6.24777549623546</v>
      </c>
      <c r="AB439" s="22" t="n">
        <f aca="false">IF(T439="Y",0,IF(OR(D439="Expired (verified)",D439="Expiring: notice window (verified)",D439="Expiring: 10-yr horizon (verified)",D439="Past 30-yr mark (verify)",D439="30-yr mark: notice window (est.)",D439="Year-15 window"),1,0)+IF(ISNUMBER(O439),IF(O439&gt;=Scoring!$B$10,1,0),0)+IF(AND(ISNUMBER(L439),ISNUMBER(J439)),IF(J439&gt;0,IF(L439/J439&gt;=Scoring!$B$11,1,0),0),0)+IF(ISNUMBER(Z439),MIN(Z439,3),0))</f>
        <v>1</v>
      </c>
      <c r="AC439" s="22" t="n">
        <f aca="false">IF(AB439&gt;=3,Scoring!$C$24,IF(AB439=2,Scoring!$C$23,IF(AB439=1,Scoring!$C$22,0)))</f>
        <v>10</v>
      </c>
      <c r="AD439" s="22" t="n">
        <f aca="false">IF(T439="Y",0,IF(ISNUMBER(X439),IF(X439&gt;0.7,Scoring!$C$25,IF(X439&gt;=0.5,Scoring!$C$26,IF(X439&gt;=0.3,Scoring!$C$27,Scoring!$C$28))),Scoring!$C$29))</f>
        <v>10</v>
      </c>
      <c r="AE439" s="22" t="n">
        <f aca="false">IF(D439="Expiring: notice window (verified)",Scoring!$C$30,IF(OR(D439="Expired (verified)",D439="30-yr mark: notice window (est.)",D439="Year-15 window"),Scoring!$C$31,IF(D439="Expiring: 10-yr horizon (verified)",Scoring!$C$32,IF(D439="Past 30-yr mark (verify)",Scoring!$C$33,IF(OR(D439="Credit period",D439="Superseded record"),Scoring!$C$35,Scoring!$C$34)))))</f>
        <v>4</v>
      </c>
      <c r="AF439" s="22" t="n">
        <f aca="false">IF(T439="Y",0,IF(ISNUMBER(V439),IF(Scoring!$B$4-V439&gt;15,Scoring!$C$36,IF(Scoring!$B$4-V439&gt;=10,Scoring!$C$37,IF(Scoring!$B$4-V439&gt;=5,Scoring!$C$38,Scoring!$C$39))),IF(OR(N439="",D439="Out of program"),Scoring!$C$40,IF(O439&gt;15,Scoring!$C$36,IF(O439&gt;=10,Scoring!$C$37,IF(O439&gt;=5,Scoring!$C$38,Scoring!$C$39))))))</f>
        <v>15</v>
      </c>
      <c r="AG439" s="22" t="n">
        <f aca="false">IF(T439="Y",0,IF(Y439="Y",Scoring!$C$41,IF(ISNUMBER(O439),IF(O439&gt;=25,Scoring!$C$42,IF(O439&gt;=15,Scoring!$C$43,Scoring!$C$44)),Scoring!$C$44)))</f>
        <v>5</v>
      </c>
      <c r="AH439" s="22" t="n">
        <f aca="false">IF(T439="Y",0,IF(W439="",Scoring!$C$49,IFERROR(VLOOKUP(W439,Scoring!$B$45:$C$48,2,FALSE()),Scoring!$C$49)))</f>
        <v>5</v>
      </c>
      <c r="AI439" s="23" t="n">
        <f aca="false">C439+IF(ISNUMBER(J439),J439,0)/100000+(10000-ROW())/1000000000</f>
        <v>49.000409561</v>
      </c>
      <c r="AJ439" s="18"/>
      <c r="AK439" s="18"/>
      <c r="AL439" s="18"/>
      <c r="AM439" s="18"/>
    </row>
    <row r="440" customFormat="false" ht="15" hidden="false" customHeight="false" outlineLevel="0" collapsed="false">
      <c r="A440" s="15" t="n">
        <f aca="false">RANK(AI440,$AI$2:$AI$755)</f>
        <v>439</v>
      </c>
      <c r="B440" s="16" t="str">
        <f aca="false">IF(T440="Y","Superseded",IF(C440&gt;=Scoring!$B$16,"Immediate",IF(C440&gt;=Scoring!$B$17,"This week",IF(C440&gt;=Scoring!$B$18,"Nurture","Low"))))</f>
        <v>Nurture</v>
      </c>
      <c r="C440" s="3" t="n">
        <f aca="false">SUM(AC440:AH440)</f>
        <v>49</v>
      </c>
      <c r="D440" s="15" t="str">
        <f aca="false">IF(T440="Y","Superseded record",IF(AND(U440&lt;&gt;"",AA440&lt;0),"Expired (verified)",IF(AND(U440&lt;&gt;"",AA440&lt;=Scoring!$B$5),"Expiring: notice window (verified)",IF(AND(U440&lt;&gt;"",AA440&lt;=Scoring!$B$6),"Expiring: 10-yr horizon (verified)",IF(M440="No Longer Monitored","Out of program",IF(N440="","Unknown vintage",IF(N440&lt;Scoring!$B$12,"Pre-1990, still listed",IF(AND(U440="",AA440&lt;0),"Past 30-yr mark (verify)",IF(AND(U440="",AA440&lt;=Scoring!$B$5),"30-yr mark: notice window (est.)",IF(AND(O440&gt;=Scoring!$B$7,O440&lt;=Scoring!$B$8),"Year-15 window",IF(O440&gt;=Scoring!$B$9,"Recap window",IF(O440&gt;=11,"Late compliance","Credit period"))))))))))))</f>
        <v>Recap window</v>
      </c>
      <c r="E440" s="15" t="s">
        <v>1636</v>
      </c>
      <c r="F440" s="15" t="s">
        <v>1637</v>
      </c>
      <c r="G440" s="15" t="s">
        <v>1638</v>
      </c>
      <c r="H440" s="15" t="s">
        <v>232</v>
      </c>
      <c r="I440" s="15" t="s">
        <v>358</v>
      </c>
      <c r="J440" s="15" t="n">
        <v>40</v>
      </c>
      <c r="K440" s="15" t="n">
        <v>39</v>
      </c>
      <c r="L440" s="15" t="n">
        <f aca="false">IF(OR(J440="",K440=""),"",MAX(J440-K440,0))</f>
        <v>1</v>
      </c>
      <c r="M440" s="15" t="s">
        <v>99</v>
      </c>
      <c r="N440" s="17" t="n">
        <v>2004</v>
      </c>
      <c r="O440" s="15" t="n">
        <f aca="false">IF(N440="","",Scoring!$B$4-N440)</f>
        <v>22</v>
      </c>
      <c r="P440" s="15" t="n">
        <f aca="false">IF(N440="","",N440+14)</f>
        <v>2018</v>
      </c>
      <c r="Q440" s="15" t="n">
        <f aca="false">IF(N440="","",IF(N440&lt;Scoring!$B$12,"n/a (pre-1990)",N440+Scoring!$B$13))</f>
        <v>2033</v>
      </c>
      <c r="R440" s="15" t="str">
        <f aca="false">IF(J440="","Unknown",IF(J440&gt;=5,"Yes","No (under 5 units)"))</f>
        <v>Yes</v>
      </c>
      <c r="S440" s="15"/>
      <c r="T440" s="18"/>
      <c r="U440" s="19"/>
      <c r="V440" s="18"/>
      <c r="W440" s="18"/>
      <c r="X440" s="20"/>
      <c r="Y440" s="18"/>
      <c r="Z440" s="18"/>
      <c r="AA440" s="21" t="n">
        <f aca="false">IF(U440&lt;&gt;"",(U440-Scoring!$B$3)/365.25,IF(N440="","",IF(N440&lt;Scoring!$B$12,"",(DATE(N440+Scoring!$B$13,12,31)-Scoring!$B$3)/365.25)))</f>
        <v>7.24709103353867</v>
      </c>
      <c r="AB440" s="22" t="n">
        <f aca="false">IF(T440="Y",0,IF(OR(D440="Expired (verified)",D440="Expiring: notice window (verified)",D440="Expiring: 10-yr horizon (verified)",D440="Past 30-yr mark (verify)",D440="30-yr mark: notice window (est.)",D440="Year-15 window"),1,0)+IF(ISNUMBER(O440),IF(O440&gt;=Scoring!$B$10,1,0),0)+IF(AND(ISNUMBER(L440),ISNUMBER(J440)),IF(J440&gt;0,IF(L440/J440&gt;=Scoring!$B$11,1,0),0),0)+IF(ISNUMBER(Z440),MIN(Z440,3),0))</f>
        <v>1</v>
      </c>
      <c r="AC440" s="22" t="n">
        <f aca="false">IF(AB440&gt;=3,Scoring!$C$24,IF(AB440=2,Scoring!$C$23,IF(AB440=1,Scoring!$C$22,0)))</f>
        <v>10</v>
      </c>
      <c r="AD440" s="22" t="n">
        <f aca="false">IF(T440="Y",0,IF(ISNUMBER(X440),IF(X440&gt;0.7,Scoring!$C$25,IF(X440&gt;=0.5,Scoring!$C$26,IF(X440&gt;=0.3,Scoring!$C$27,Scoring!$C$28))),Scoring!$C$29))</f>
        <v>10</v>
      </c>
      <c r="AE440" s="22" t="n">
        <f aca="false">IF(D440="Expiring: notice window (verified)",Scoring!$C$30,IF(OR(D440="Expired (verified)",D440="30-yr mark: notice window (est.)",D440="Year-15 window"),Scoring!$C$31,IF(D440="Expiring: 10-yr horizon (verified)",Scoring!$C$32,IF(D440="Past 30-yr mark (verify)",Scoring!$C$33,IF(OR(D440="Credit period",D440="Superseded record"),Scoring!$C$35,Scoring!$C$34)))))</f>
        <v>4</v>
      </c>
      <c r="AF440" s="22" t="n">
        <f aca="false">IF(T440="Y",0,IF(ISNUMBER(V440),IF(Scoring!$B$4-V440&gt;15,Scoring!$C$36,IF(Scoring!$B$4-V440&gt;=10,Scoring!$C$37,IF(Scoring!$B$4-V440&gt;=5,Scoring!$C$38,Scoring!$C$39))),IF(OR(N440="",D440="Out of program"),Scoring!$C$40,IF(O440&gt;15,Scoring!$C$36,IF(O440&gt;=10,Scoring!$C$37,IF(O440&gt;=5,Scoring!$C$38,Scoring!$C$39))))))</f>
        <v>15</v>
      </c>
      <c r="AG440" s="22" t="n">
        <f aca="false">IF(T440="Y",0,IF(Y440="Y",Scoring!$C$41,IF(ISNUMBER(O440),IF(O440&gt;=25,Scoring!$C$42,IF(O440&gt;=15,Scoring!$C$43,Scoring!$C$44)),Scoring!$C$44)))</f>
        <v>5</v>
      </c>
      <c r="AH440" s="22" t="n">
        <f aca="false">IF(T440="Y",0,IF(W440="",Scoring!$C$49,IFERROR(VLOOKUP(W440,Scoring!$B$45:$C$48,2,FALSE()),Scoring!$C$49)))</f>
        <v>5</v>
      </c>
      <c r="AI440" s="23" t="n">
        <f aca="false">C440+IF(ISNUMBER(J440),J440,0)/100000+(10000-ROW())/1000000000</f>
        <v>49.00040956</v>
      </c>
      <c r="AJ440" s="18"/>
      <c r="AK440" s="18"/>
      <c r="AL440" s="18"/>
      <c r="AM440" s="18"/>
    </row>
    <row r="441" customFormat="false" ht="15" hidden="false" customHeight="false" outlineLevel="0" collapsed="false">
      <c r="A441" s="15" t="n">
        <f aca="false">RANK(AI441,$AI$2:$AI$755)</f>
        <v>440</v>
      </c>
      <c r="B441" s="16" t="str">
        <f aca="false">IF(T441="Y","Superseded",IF(C441&gt;=Scoring!$B$16,"Immediate",IF(C441&gt;=Scoring!$B$17,"This week",IF(C441&gt;=Scoring!$B$18,"Nurture","Low"))))</f>
        <v>Nurture</v>
      </c>
      <c r="C441" s="3" t="n">
        <f aca="false">SUM(AC441:AH441)</f>
        <v>49</v>
      </c>
      <c r="D441" s="15" t="str">
        <f aca="false">IF(T441="Y","Superseded record",IF(AND(U441&lt;&gt;"",AA441&lt;0),"Expired (verified)",IF(AND(U441&lt;&gt;"",AA441&lt;=Scoring!$B$5),"Expiring: notice window (verified)",IF(AND(U441&lt;&gt;"",AA441&lt;=Scoring!$B$6),"Expiring: 10-yr horizon (verified)",IF(M441="No Longer Monitored","Out of program",IF(N441="","Unknown vintage",IF(N441&lt;Scoring!$B$12,"Pre-1990, still listed",IF(AND(U441="",AA441&lt;0),"Past 30-yr mark (verify)",IF(AND(U441="",AA441&lt;=Scoring!$B$5),"30-yr mark: notice window (est.)",IF(AND(O441&gt;=Scoring!$B$7,O441&lt;=Scoring!$B$8),"Year-15 window",IF(O441&gt;=Scoring!$B$9,"Recap window",IF(O441&gt;=11,"Late compliance","Credit period"))))))))))))</f>
        <v>Recap window</v>
      </c>
      <c r="E441" s="15" t="s">
        <v>1639</v>
      </c>
      <c r="F441" s="15" t="s">
        <v>1640</v>
      </c>
      <c r="G441" s="15" t="s">
        <v>1641</v>
      </c>
      <c r="H441" s="15" t="s">
        <v>1642</v>
      </c>
      <c r="I441" s="15" t="s">
        <v>1643</v>
      </c>
      <c r="J441" s="15" t="n">
        <v>40</v>
      </c>
      <c r="K441" s="15" t="n">
        <v>40</v>
      </c>
      <c r="L441" s="15" t="n">
        <f aca="false">IF(OR(J441="",K441=""),"",MAX(J441-K441,0))</f>
        <v>0</v>
      </c>
      <c r="M441" s="15" t="s">
        <v>99</v>
      </c>
      <c r="N441" s="17" t="n">
        <v>2005</v>
      </c>
      <c r="O441" s="15" t="n">
        <f aca="false">IF(N441="","",Scoring!$B$4-N441)</f>
        <v>21</v>
      </c>
      <c r="P441" s="15" t="n">
        <f aca="false">IF(N441="","",N441+14)</f>
        <v>2019</v>
      </c>
      <c r="Q441" s="15" t="n">
        <f aca="false">IF(N441="","",IF(N441&lt;Scoring!$B$12,"n/a (pre-1990)",N441+Scoring!$B$13))</f>
        <v>2034</v>
      </c>
      <c r="R441" s="15" t="str">
        <f aca="false">IF(J441="","Unknown",IF(J441&gt;=5,"Yes","No (under 5 units)"))</f>
        <v>Yes</v>
      </c>
      <c r="S441" s="15"/>
      <c r="T441" s="18"/>
      <c r="U441" s="19"/>
      <c r="V441" s="18"/>
      <c r="W441" s="18"/>
      <c r="X441" s="20"/>
      <c r="Y441" s="18"/>
      <c r="Z441" s="18"/>
      <c r="AA441" s="21" t="n">
        <f aca="false">IF(U441&lt;&gt;"",(U441-Scoring!$B$3)/365.25,IF(N441="","",IF(N441&lt;Scoring!$B$12,"",(DATE(N441+Scoring!$B$13,12,31)-Scoring!$B$3)/365.25)))</f>
        <v>8.24640657084189</v>
      </c>
      <c r="AB441" s="22" t="n">
        <f aca="false">IF(T441="Y",0,IF(OR(D441="Expired (verified)",D441="Expiring: notice window (verified)",D441="Expiring: 10-yr horizon (verified)",D441="Past 30-yr mark (verify)",D441="30-yr mark: notice window (est.)",D441="Year-15 window"),1,0)+IF(ISNUMBER(O441),IF(O441&gt;=Scoring!$B$10,1,0),0)+IF(AND(ISNUMBER(L441),ISNUMBER(J441)),IF(J441&gt;0,IF(L441/J441&gt;=Scoring!$B$11,1,0),0),0)+IF(ISNUMBER(Z441),MIN(Z441,3),0))</f>
        <v>1</v>
      </c>
      <c r="AC441" s="22" t="n">
        <f aca="false">IF(AB441&gt;=3,Scoring!$C$24,IF(AB441=2,Scoring!$C$23,IF(AB441=1,Scoring!$C$22,0)))</f>
        <v>10</v>
      </c>
      <c r="AD441" s="22" t="n">
        <f aca="false">IF(T441="Y",0,IF(ISNUMBER(X441),IF(X441&gt;0.7,Scoring!$C$25,IF(X441&gt;=0.5,Scoring!$C$26,IF(X441&gt;=0.3,Scoring!$C$27,Scoring!$C$28))),Scoring!$C$29))</f>
        <v>10</v>
      </c>
      <c r="AE441" s="22" t="n">
        <f aca="false">IF(D441="Expiring: notice window (verified)",Scoring!$C$30,IF(OR(D441="Expired (verified)",D441="30-yr mark: notice window (est.)",D441="Year-15 window"),Scoring!$C$31,IF(D441="Expiring: 10-yr horizon (verified)",Scoring!$C$32,IF(D441="Past 30-yr mark (verify)",Scoring!$C$33,IF(OR(D441="Credit period",D441="Superseded record"),Scoring!$C$35,Scoring!$C$34)))))</f>
        <v>4</v>
      </c>
      <c r="AF441" s="22" t="n">
        <f aca="false">IF(T441="Y",0,IF(ISNUMBER(V441),IF(Scoring!$B$4-V441&gt;15,Scoring!$C$36,IF(Scoring!$B$4-V441&gt;=10,Scoring!$C$37,IF(Scoring!$B$4-V441&gt;=5,Scoring!$C$38,Scoring!$C$39))),IF(OR(N441="",D441="Out of program"),Scoring!$C$40,IF(O441&gt;15,Scoring!$C$36,IF(O441&gt;=10,Scoring!$C$37,IF(O441&gt;=5,Scoring!$C$38,Scoring!$C$39))))))</f>
        <v>15</v>
      </c>
      <c r="AG441" s="22" t="n">
        <f aca="false">IF(T441="Y",0,IF(Y441="Y",Scoring!$C$41,IF(ISNUMBER(O441),IF(O441&gt;=25,Scoring!$C$42,IF(O441&gt;=15,Scoring!$C$43,Scoring!$C$44)),Scoring!$C$44)))</f>
        <v>5</v>
      </c>
      <c r="AH441" s="22" t="n">
        <f aca="false">IF(T441="Y",0,IF(W441="",Scoring!$C$49,IFERROR(VLOOKUP(W441,Scoring!$B$45:$C$48,2,FALSE()),Scoring!$C$49)))</f>
        <v>5</v>
      </c>
      <c r="AI441" s="23" t="n">
        <f aca="false">C441+IF(ISNUMBER(J441),J441,0)/100000+(10000-ROW())/1000000000</f>
        <v>49.000409559</v>
      </c>
      <c r="AJ441" s="18"/>
      <c r="AK441" s="18"/>
      <c r="AL441" s="18"/>
      <c r="AM441" s="18"/>
    </row>
    <row r="442" customFormat="false" ht="15" hidden="false" customHeight="false" outlineLevel="0" collapsed="false">
      <c r="A442" s="15" t="n">
        <f aca="false">RANK(AI442,$AI$2:$AI$755)</f>
        <v>441</v>
      </c>
      <c r="B442" s="16" t="str">
        <f aca="false">IF(T442="Y","Superseded",IF(C442&gt;=Scoring!$B$16,"Immediate",IF(C442&gt;=Scoring!$B$17,"This week",IF(C442&gt;=Scoring!$B$18,"Nurture","Low"))))</f>
        <v>Nurture</v>
      </c>
      <c r="C442" s="3" t="n">
        <f aca="false">SUM(AC442:AH442)</f>
        <v>49</v>
      </c>
      <c r="D442" s="15" t="str">
        <f aca="false">IF(T442="Y","Superseded record",IF(AND(U442&lt;&gt;"",AA442&lt;0),"Expired (verified)",IF(AND(U442&lt;&gt;"",AA442&lt;=Scoring!$B$5),"Expiring: notice window (verified)",IF(AND(U442&lt;&gt;"",AA442&lt;=Scoring!$B$6),"Expiring: 10-yr horizon (verified)",IF(M442="No Longer Monitored","Out of program",IF(N442="","Unknown vintage",IF(N442&lt;Scoring!$B$12,"Pre-1990, still listed",IF(AND(U442="",AA442&lt;0),"Past 30-yr mark (verify)",IF(AND(U442="",AA442&lt;=Scoring!$B$5),"30-yr mark: notice window (est.)",IF(AND(O442&gt;=Scoring!$B$7,O442&lt;=Scoring!$B$8),"Year-15 window",IF(O442&gt;=Scoring!$B$9,"Recap window",IF(O442&gt;=11,"Late compliance","Credit period"))))))))))))</f>
        <v>Recap window</v>
      </c>
      <c r="E442" s="15" t="s">
        <v>1644</v>
      </c>
      <c r="F442" s="15" t="s">
        <v>1645</v>
      </c>
      <c r="G442" s="15" t="s">
        <v>1646</v>
      </c>
      <c r="H442" s="15" t="s">
        <v>319</v>
      </c>
      <c r="I442" s="15" t="s">
        <v>320</v>
      </c>
      <c r="J442" s="15" t="n">
        <v>40</v>
      </c>
      <c r="K442" s="15" t="n">
        <v>40</v>
      </c>
      <c r="L442" s="15" t="n">
        <f aca="false">IF(OR(J442="",K442=""),"",MAX(J442-K442,0))</f>
        <v>0</v>
      </c>
      <c r="M442" s="15" t="s">
        <v>99</v>
      </c>
      <c r="N442" s="17" t="n">
        <v>2005</v>
      </c>
      <c r="O442" s="15" t="n">
        <f aca="false">IF(N442="","",Scoring!$B$4-N442)</f>
        <v>21</v>
      </c>
      <c r="P442" s="15" t="n">
        <f aca="false">IF(N442="","",N442+14)</f>
        <v>2019</v>
      </c>
      <c r="Q442" s="15" t="n">
        <f aca="false">IF(N442="","",IF(N442&lt;Scoring!$B$12,"n/a (pre-1990)",N442+Scoring!$B$13))</f>
        <v>2034</v>
      </c>
      <c r="R442" s="15" t="str">
        <f aca="false">IF(J442="","Unknown",IF(J442&gt;=5,"Yes","No (under 5 units)"))</f>
        <v>Yes</v>
      </c>
      <c r="S442" s="15"/>
      <c r="T442" s="18"/>
      <c r="U442" s="19"/>
      <c r="V442" s="18"/>
      <c r="W442" s="18"/>
      <c r="X442" s="20"/>
      <c r="Y442" s="18"/>
      <c r="Z442" s="18"/>
      <c r="AA442" s="21" t="n">
        <f aca="false">IF(U442&lt;&gt;"",(U442-Scoring!$B$3)/365.25,IF(N442="","",IF(N442&lt;Scoring!$B$12,"",(DATE(N442+Scoring!$B$13,12,31)-Scoring!$B$3)/365.25)))</f>
        <v>8.24640657084189</v>
      </c>
      <c r="AB442" s="22" t="n">
        <f aca="false">IF(T442="Y",0,IF(OR(D442="Expired (verified)",D442="Expiring: notice window (verified)",D442="Expiring: 10-yr horizon (verified)",D442="Past 30-yr mark (verify)",D442="30-yr mark: notice window (est.)",D442="Year-15 window"),1,0)+IF(ISNUMBER(O442),IF(O442&gt;=Scoring!$B$10,1,0),0)+IF(AND(ISNUMBER(L442),ISNUMBER(J442)),IF(J442&gt;0,IF(L442/J442&gt;=Scoring!$B$11,1,0),0),0)+IF(ISNUMBER(Z442),MIN(Z442,3),0))</f>
        <v>1</v>
      </c>
      <c r="AC442" s="22" t="n">
        <f aca="false">IF(AB442&gt;=3,Scoring!$C$24,IF(AB442=2,Scoring!$C$23,IF(AB442=1,Scoring!$C$22,0)))</f>
        <v>10</v>
      </c>
      <c r="AD442" s="22" t="n">
        <f aca="false">IF(T442="Y",0,IF(ISNUMBER(X442),IF(X442&gt;0.7,Scoring!$C$25,IF(X442&gt;=0.5,Scoring!$C$26,IF(X442&gt;=0.3,Scoring!$C$27,Scoring!$C$28))),Scoring!$C$29))</f>
        <v>10</v>
      </c>
      <c r="AE442" s="22" t="n">
        <f aca="false">IF(D442="Expiring: notice window (verified)",Scoring!$C$30,IF(OR(D442="Expired (verified)",D442="30-yr mark: notice window (est.)",D442="Year-15 window"),Scoring!$C$31,IF(D442="Expiring: 10-yr horizon (verified)",Scoring!$C$32,IF(D442="Past 30-yr mark (verify)",Scoring!$C$33,IF(OR(D442="Credit period",D442="Superseded record"),Scoring!$C$35,Scoring!$C$34)))))</f>
        <v>4</v>
      </c>
      <c r="AF442" s="22" t="n">
        <f aca="false">IF(T442="Y",0,IF(ISNUMBER(V442),IF(Scoring!$B$4-V442&gt;15,Scoring!$C$36,IF(Scoring!$B$4-V442&gt;=10,Scoring!$C$37,IF(Scoring!$B$4-V442&gt;=5,Scoring!$C$38,Scoring!$C$39))),IF(OR(N442="",D442="Out of program"),Scoring!$C$40,IF(O442&gt;15,Scoring!$C$36,IF(O442&gt;=10,Scoring!$C$37,IF(O442&gt;=5,Scoring!$C$38,Scoring!$C$39))))))</f>
        <v>15</v>
      </c>
      <c r="AG442" s="22" t="n">
        <f aca="false">IF(T442="Y",0,IF(Y442="Y",Scoring!$C$41,IF(ISNUMBER(O442),IF(O442&gt;=25,Scoring!$C$42,IF(O442&gt;=15,Scoring!$C$43,Scoring!$C$44)),Scoring!$C$44)))</f>
        <v>5</v>
      </c>
      <c r="AH442" s="22" t="n">
        <f aca="false">IF(T442="Y",0,IF(W442="",Scoring!$C$49,IFERROR(VLOOKUP(W442,Scoring!$B$45:$C$48,2,FALSE()),Scoring!$C$49)))</f>
        <v>5</v>
      </c>
      <c r="AI442" s="23" t="n">
        <f aca="false">C442+IF(ISNUMBER(J442),J442,0)/100000+(10000-ROW())/1000000000</f>
        <v>49.000409558</v>
      </c>
      <c r="AJ442" s="18"/>
      <c r="AK442" s="18"/>
      <c r="AL442" s="18"/>
      <c r="AM442" s="18"/>
    </row>
    <row r="443" customFormat="false" ht="15" hidden="false" customHeight="false" outlineLevel="0" collapsed="false">
      <c r="A443" s="15" t="n">
        <f aca="false">RANK(AI443,$AI$2:$AI$755)</f>
        <v>442</v>
      </c>
      <c r="B443" s="16" t="str">
        <f aca="false">IF(T443="Y","Superseded",IF(C443&gt;=Scoring!$B$16,"Immediate",IF(C443&gt;=Scoring!$B$17,"This week",IF(C443&gt;=Scoring!$B$18,"Nurture","Low"))))</f>
        <v>Nurture</v>
      </c>
      <c r="C443" s="3" t="n">
        <f aca="false">SUM(AC443:AH443)</f>
        <v>49</v>
      </c>
      <c r="D443" s="15" t="str">
        <f aca="false">IF(T443="Y","Superseded record",IF(AND(U443&lt;&gt;"",AA443&lt;0),"Expired (verified)",IF(AND(U443&lt;&gt;"",AA443&lt;=Scoring!$B$5),"Expiring: notice window (verified)",IF(AND(U443&lt;&gt;"",AA443&lt;=Scoring!$B$6),"Expiring: 10-yr horizon (verified)",IF(M443="No Longer Monitored","Out of program",IF(N443="","Unknown vintage",IF(N443&lt;Scoring!$B$12,"Pre-1990, still listed",IF(AND(U443="",AA443&lt;0),"Past 30-yr mark (verify)",IF(AND(U443="",AA443&lt;=Scoring!$B$5),"30-yr mark: notice window (est.)",IF(AND(O443&gt;=Scoring!$B$7,O443&lt;=Scoring!$B$8),"Year-15 window",IF(O443&gt;=Scoring!$B$9,"Recap window",IF(O443&gt;=11,"Late compliance","Credit period"))))))))))))</f>
        <v>Recap window</v>
      </c>
      <c r="E443" s="15" t="s">
        <v>1647</v>
      </c>
      <c r="F443" s="15" t="s">
        <v>1648</v>
      </c>
      <c r="G443" s="15" t="s">
        <v>1649</v>
      </c>
      <c r="H443" s="15" t="s">
        <v>1642</v>
      </c>
      <c r="I443" s="15" t="s">
        <v>1643</v>
      </c>
      <c r="J443" s="15" t="n">
        <v>40</v>
      </c>
      <c r="K443" s="15" t="n">
        <v>40</v>
      </c>
      <c r="L443" s="15" t="n">
        <f aca="false">IF(OR(J443="",K443=""),"",MAX(J443-K443,0))</f>
        <v>0</v>
      </c>
      <c r="M443" s="15" t="s">
        <v>99</v>
      </c>
      <c r="N443" s="17" t="n">
        <v>2006</v>
      </c>
      <c r="O443" s="15" t="n">
        <f aca="false">IF(N443="","",Scoring!$B$4-N443)</f>
        <v>20</v>
      </c>
      <c r="P443" s="15" t="n">
        <f aca="false">IF(N443="","",N443+14)</f>
        <v>2020</v>
      </c>
      <c r="Q443" s="15" t="n">
        <f aca="false">IF(N443="","",IF(N443&lt;Scoring!$B$12,"n/a (pre-1990)",N443+Scoring!$B$13))</f>
        <v>2035</v>
      </c>
      <c r="R443" s="15" t="str">
        <f aca="false">IF(J443="","Unknown",IF(J443&gt;=5,"Yes","No (under 5 units)"))</f>
        <v>Yes</v>
      </c>
      <c r="S443" s="15"/>
      <c r="T443" s="18"/>
      <c r="U443" s="19"/>
      <c r="V443" s="18"/>
      <c r="W443" s="18"/>
      <c r="X443" s="20"/>
      <c r="Y443" s="18"/>
      <c r="Z443" s="18"/>
      <c r="AA443" s="21" t="n">
        <f aca="false">IF(U443&lt;&gt;"",(U443-Scoring!$B$3)/365.25,IF(N443="","",IF(N443&lt;Scoring!$B$12,"",(DATE(N443+Scoring!$B$13,12,31)-Scoring!$B$3)/365.25)))</f>
        <v>9.24572210814511</v>
      </c>
      <c r="AB443" s="22" t="n">
        <f aca="false">IF(T443="Y",0,IF(OR(D443="Expired (verified)",D443="Expiring: notice window (verified)",D443="Expiring: 10-yr horizon (verified)",D443="Past 30-yr mark (verify)",D443="30-yr mark: notice window (est.)",D443="Year-15 window"),1,0)+IF(ISNUMBER(O443),IF(O443&gt;=Scoring!$B$10,1,0),0)+IF(AND(ISNUMBER(L443),ISNUMBER(J443)),IF(J443&gt;0,IF(L443/J443&gt;=Scoring!$B$11,1,0),0),0)+IF(ISNUMBER(Z443),MIN(Z443,3),0))</f>
        <v>1</v>
      </c>
      <c r="AC443" s="22" t="n">
        <f aca="false">IF(AB443&gt;=3,Scoring!$C$24,IF(AB443=2,Scoring!$C$23,IF(AB443=1,Scoring!$C$22,0)))</f>
        <v>10</v>
      </c>
      <c r="AD443" s="22" t="n">
        <f aca="false">IF(T443="Y",0,IF(ISNUMBER(X443),IF(X443&gt;0.7,Scoring!$C$25,IF(X443&gt;=0.5,Scoring!$C$26,IF(X443&gt;=0.3,Scoring!$C$27,Scoring!$C$28))),Scoring!$C$29))</f>
        <v>10</v>
      </c>
      <c r="AE443" s="22" t="n">
        <f aca="false">IF(D443="Expiring: notice window (verified)",Scoring!$C$30,IF(OR(D443="Expired (verified)",D443="30-yr mark: notice window (est.)",D443="Year-15 window"),Scoring!$C$31,IF(D443="Expiring: 10-yr horizon (verified)",Scoring!$C$32,IF(D443="Past 30-yr mark (verify)",Scoring!$C$33,IF(OR(D443="Credit period",D443="Superseded record"),Scoring!$C$35,Scoring!$C$34)))))</f>
        <v>4</v>
      </c>
      <c r="AF443" s="22" t="n">
        <f aca="false">IF(T443="Y",0,IF(ISNUMBER(V443),IF(Scoring!$B$4-V443&gt;15,Scoring!$C$36,IF(Scoring!$B$4-V443&gt;=10,Scoring!$C$37,IF(Scoring!$B$4-V443&gt;=5,Scoring!$C$38,Scoring!$C$39))),IF(OR(N443="",D443="Out of program"),Scoring!$C$40,IF(O443&gt;15,Scoring!$C$36,IF(O443&gt;=10,Scoring!$C$37,IF(O443&gt;=5,Scoring!$C$38,Scoring!$C$39))))))</f>
        <v>15</v>
      </c>
      <c r="AG443" s="22" t="n">
        <f aca="false">IF(T443="Y",0,IF(Y443="Y",Scoring!$C$41,IF(ISNUMBER(O443),IF(O443&gt;=25,Scoring!$C$42,IF(O443&gt;=15,Scoring!$C$43,Scoring!$C$44)),Scoring!$C$44)))</f>
        <v>5</v>
      </c>
      <c r="AH443" s="22" t="n">
        <f aca="false">IF(T443="Y",0,IF(W443="",Scoring!$C$49,IFERROR(VLOOKUP(W443,Scoring!$B$45:$C$48,2,FALSE()),Scoring!$C$49)))</f>
        <v>5</v>
      </c>
      <c r="AI443" s="23" t="n">
        <f aca="false">C443+IF(ISNUMBER(J443),J443,0)/100000+(10000-ROW())/1000000000</f>
        <v>49.000409557</v>
      </c>
      <c r="AJ443" s="18"/>
      <c r="AK443" s="18"/>
      <c r="AL443" s="18"/>
      <c r="AM443" s="18"/>
    </row>
    <row r="444" customFormat="false" ht="15" hidden="false" customHeight="false" outlineLevel="0" collapsed="false">
      <c r="A444" s="15" t="n">
        <f aca="false">RANK(AI444,$AI$2:$AI$755)</f>
        <v>443</v>
      </c>
      <c r="B444" s="16" t="str">
        <f aca="false">IF(T444="Y","Superseded",IF(C444&gt;=Scoring!$B$16,"Immediate",IF(C444&gt;=Scoring!$B$17,"This week",IF(C444&gt;=Scoring!$B$18,"Nurture","Low"))))</f>
        <v>Nurture</v>
      </c>
      <c r="C444" s="3" t="n">
        <f aca="false">SUM(AC444:AH444)</f>
        <v>49</v>
      </c>
      <c r="D444" s="15" t="str">
        <f aca="false">IF(T444="Y","Superseded record",IF(AND(U444&lt;&gt;"",AA444&lt;0),"Expired (verified)",IF(AND(U444&lt;&gt;"",AA444&lt;=Scoring!$B$5),"Expiring: notice window (verified)",IF(AND(U444&lt;&gt;"",AA444&lt;=Scoring!$B$6),"Expiring: 10-yr horizon (verified)",IF(M444="No Longer Monitored","Out of program",IF(N444="","Unknown vintage",IF(N444&lt;Scoring!$B$12,"Pre-1990, still listed",IF(AND(U444="",AA444&lt;0),"Past 30-yr mark (verify)",IF(AND(U444="",AA444&lt;=Scoring!$B$5),"30-yr mark: notice window (est.)",IF(AND(O444&gt;=Scoring!$B$7,O444&lt;=Scoring!$B$8),"Year-15 window",IF(O444&gt;=Scoring!$B$9,"Recap window",IF(O444&gt;=11,"Late compliance","Credit period"))))))))))))</f>
        <v>Recap window</v>
      </c>
      <c r="E444" s="15" t="s">
        <v>1650</v>
      </c>
      <c r="F444" s="15" t="s">
        <v>1651</v>
      </c>
      <c r="G444" s="15" t="s">
        <v>1652</v>
      </c>
      <c r="H444" s="15" t="s">
        <v>1653</v>
      </c>
      <c r="I444" s="15" t="s">
        <v>1654</v>
      </c>
      <c r="J444" s="15" t="n">
        <v>39</v>
      </c>
      <c r="K444" s="15" t="n">
        <v>39</v>
      </c>
      <c r="L444" s="15" t="n">
        <f aca="false">IF(OR(J444="",K444=""),"",MAX(J444-K444,0))</f>
        <v>0</v>
      </c>
      <c r="M444" s="15" t="s">
        <v>99</v>
      </c>
      <c r="N444" s="17" t="n">
        <v>2006</v>
      </c>
      <c r="O444" s="15" t="n">
        <f aca="false">IF(N444="","",Scoring!$B$4-N444)</f>
        <v>20</v>
      </c>
      <c r="P444" s="15" t="n">
        <f aca="false">IF(N444="","",N444+14)</f>
        <v>2020</v>
      </c>
      <c r="Q444" s="15" t="n">
        <f aca="false">IF(N444="","",IF(N444&lt;Scoring!$B$12,"n/a (pre-1990)",N444+Scoring!$B$13))</f>
        <v>2035</v>
      </c>
      <c r="R444" s="15" t="str">
        <f aca="false">IF(J444="","Unknown",IF(J444&gt;=5,"Yes","No (under 5 units)"))</f>
        <v>Yes</v>
      </c>
      <c r="S444" s="15"/>
      <c r="T444" s="18"/>
      <c r="U444" s="19"/>
      <c r="V444" s="18"/>
      <c r="W444" s="18"/>
      <c r="X444" s="20"/>
      <c r="Y444" s="18"/>
      <c r="Z444" s="18"/>
      <c r="AA444" s="21" t="n">
        <f aca="false">IF(U444&lt;&gt;"",(U444-Scoring!$B$3)/365.25,IF(N444="","",IF(N444&lt;Scoring!$B$12,"",(DATE(N444+Scoring!$B$13,12,31)-Scoring!$B$3)/365.25)))</f>
        <v>9.24572210814511</v>
      </c>
      <c r="AB444" s="22" t="n">
        <f aca="false">IF(T444="Y",0,IF(OR(D444="Expired (verified)",D444="Expiring: notice window (verified)",D444="Expiring: 10-yr horizon (verified)",D444="Past 30-yr mark (verify)",D444="30-yr mark: notice window (est.)",D444="Year-15 window"),1,0)+IF(ISNUMBER(O444),IF(O444&gt;=Scoring!$B$10,1,0),0)+IF(AND(ISNUMBER(L444),ISNUMBER(J444)),IF(J444&gt;0,IF(L444/J444&gt;=Scoring!$B$11,1,0),0),0)+IF(ISNUMBER(Z444),MIN(Z444,3),0))</f>
        <v>1</v>
      </c>
      <c r="AC444" s="22" t="n">
        <f aca="false">IF(AB444&gt;=3,Scoring!$C$24,IF(AB444=2,Scoring!$C$23,IF(AB444=1,Scoring!$C$22,0)))</f>
        <v>10</v>
      </c>
      <c r="AD444" s="22" t="n">
        <f aca="false">IF(T444="Y",0,IF(ISNUMBER(X444),IF(X444&gt;0.7,Scoring!$C$25,IF(X444&gt;=0.5,Scoring!$C$26,IF(X444&gt;=0.3,Scoring!$C$27,Scoring!$C$28))),Scoring!$C$29))</f>
        <v>10</v>
      </c>
      <c r="AE444" s="22" t="n">
        <f aca="false">IF(D444="Expiring: notice window (verified)",Scoring!$C$30,IF(OR(D444="Expired (verified)",D444="30-yr mark: notice window (est.)",D444="Year-15 window"),Scoring!$C$31,IF(D444="Expiring: 10-yr horizon (verified)",Scoring!$C$32,IF(D444="Past 30-yr mark (verify)",Scoring!$C$33,IF(OR(D444="Credit period",D444="Superseded record"),Scoring!$C$35,Scoring!$C$34)))))</f>
        <v>4</v>
      </c>
      <c r="AF444" s="22" t="n">
        <f aca="false">IF(T444="Y",0,IF(ISNUMBER(V444),IF(Scoring!$B$4-V444&gt;15,Scoring!$C$36,IF(Scoring!$B$4-V444&gt;=10,Scoring!$C$37,IF(Scoring!$B$4-V444&gt;=5,Scoring!$C$38,Scoring!$C$39))),IF(OR(N444="",D444="Out of program"),Scoring!$C$40,IF(O444&gt;15,Scoring!$C$36,IF(O444&gt;=10,Scoring!$C$37,IF(O444&gt;=5,Scoring!$C$38,Scoring!$C$39))))))</f>
        <v>15</v>
      </c>
      <c r="AG444" s="22" t="n">
        <f aca="false">IF(T444="Y",0,IF(Y444="Y",Scoring!$C$41,IF(ISNUMBER(O444),IF(O444&gt;=25,Scoring!$C$42,IF(O444&gt;=15,Scoring!$C$43,Scoring!$C$44)),Scoring!$C$44)))</f>
        <v>5</v>
      </c>
      <c r="AH444" s="22" t="n">
        <f aca="false">IF(T444="Y",0,IF(W444="",Scoring!$C$49,IFERROR(VLOOKUP(W444,Scoring!$B$45:$C$48,2,FALSE()),Scoring!$C$49)))</f>
        <v>5</v>
      </c>
      <c r="AI444" s="23" t="n">
        <f aca="false">C444+IF(ISNUMBER(J444),J444,0)/100000+(10000-ROW())/1000000000</f>
        <v>49.000399556</v>
      </c>
      <c r="AJ444" s="18"/>
      <c r="AK444" s="18"/>
      <c r="AL444" s="18"/>
      <c r="AM444" s="18"/>
    </row>
    <row r="445" customFormat="false" ht="15" hidden="false" customHeight="false" outlineLevel="0" collapsed="false">
      <c r="A445" s="15" t="n">
        <f aca="false">RANK(AI445,$AI$2:$AI$755)</f>
        <v>444</v>
      </c>
      <c r="B445" s="16" t="str">
        <f aca="false">IF(T445="Y","Superseded",IF(C445&gt;=Scoring!$B$16,"Immediate",IF(C445&gt;=Scoring!$B$17,"This week",IF(C445&gt;=Scoring!$B$18,"Nurture","Low"))))</f>
        <v>Nurture</v>
      </c>
      <c r="C445" s="3" t="n">
        <f aca="false">SUM(AC445:AH445)</f>
        <v>49</v>
      </c>
      <c r="D445" s="15" t="str">
        <f aca="false">IF(T445="Y","Superseded record",IF(AND(U445&lt;&gt;"",AA445&lt;0),"Expired (verified)",IF(AND(U445&lt;&gt;"",AA445&lt;=Scoring!$B$5),"Expiring: notice window (verified)",IF(AND(U445&lt;&gt;"",AA445&lt;=Scoring!$B$6),"Expiring: 10-yr horizon (verified)",IF(M445="No Longer Monitored","Out of program",IF(N445="","Unknown vintage",IF(N445&lt;Scoring!$B$12,"Pre-1990, still listed",IF(AND(U445="",AA445&lt;0),"Past 30-yr mark (verify)",IF(AND(U445="",AA445&lt;=Scoring!$B$5),"30-yr mark: notice window (est.)",IF(AND(O445&gt;=Scoring!$B$7,O445&lt;=Scoring!$B$8),"Year-15 window",IF(O445&gt;=Scoring!$B$9,"Recap window",IF(O445&gt;=11,"Late compliance","Credit period"))))))))))))</f>
        <v>Recap window</v>
      </c>
      <c r="E445" s="15" t="s">
        <v>1655</v>
      </c>
      <c r="F445" s="15" t="s">
        <v>1656</v>
      </c>
      <c r="G445" s="15" t="s">
        <v>1657</v>
      </c>
      <c r="H445" s="15" t="s">
        <v>541</v>
      </c>
      <c r="I445" s="15" t="s">
        <v>542</v>
      </c>
      <c r="J445" s="15" t="n">
        <v>38</v>
      </c>
      <c r="K445" s="15" t="n">
        <v>38</v>
      </c>
      <c r="L445" s="15" t="n">
        <f aca="false">IF(OR(J445="",K445=""),"",MAX(J445-K445,0))</f>
        <v>0</v>
      </c>
      <c r="M445" s="15" t="s">
        <v>99</v>
      </c>
      <c r="N445" s="17" t="n">
        <v>2006</v>
      </c>
      <c r="O445" s="15" t="n">
        <f aca="false">IF(N445="","",Scoring!$B$4-N445)</f>
        <v>20</v>
      </c>
      <c r="P445" s="15" t="n">
        <f aca="false">IF(N445="","",N445+14)</f>
        <v>2020</v>
      </c>
      <c r="Q445" s="15" t="n">
        <f aca="false">IF(N445="","",IF(N445&lt;Scoring!$B$12,"n/a (pre-1990)",N445+Scoring!$B$13))</f>
        <v>2035</v>
      </c>
      <c r="R445" s="15" t="str">
        <f aca="false">IF(J445="","Unknown",IF(J445&gt;=5,"Yes","No (under 5 units)"))</f>
        <v>Yes</v>
      </c>
      <c r="S445" s="15"/>
      <c r="T445" s="18"/>
      <c r="U445" s="19"/>
      <c r="V445" s="18"/>
      <c r="W445" s="18"/>
      <c r="X445" s="20"/>
      <c r="Y445" s="18"/>
      <c r="Z445" s="18"/>
      <c r="AA445" s="21" t="n">
        <f aca="false">IF(U445&lt;&gt;"",(U445-Scoring!$B$3)/365.25,IF(N445="","",IF(N445&lt;Scoring!$B$12,"",(DATE(N445+Scoring!$B$13,12,31)-Scoring!$B$3)/365.25)))</f>
        <v>9.24572210814511</v>
      </c>
      <c r="AB445" s="22" t="n">
        <f aca="false">IF(T445="Y",0,IF(OR(D445="Expired (verified)",D445="Expiring: notice window (verified)",D445="Expiring: 10-yr horizon (verified)",D445="Past 30-yr mark (verify)",D445="30-yr mark: notice window (est.)",D445="Year-15 window"),1,0)+IF(ISNUMBER(O445),IF(O445&gt;=Scoring!$B$10,1,0),0)+IF(AND(ISNUMBER(L445),ISNUMBER(J445)),IF(J445&gt;0,IF(L445/J445&gt;=Scoring!$B$11,1,0),0),0)+IF(ISNUMBER(Z445),MIN(Z445,3),0))</f>
        <v>1</v>
      </c>
      <c r="AC445" s="22" t="n">
        <f aca="false">IF(AB445&gt;=3,Scoring!$C$24,IF(AB445=2,Scoring!$C$23,IF(AB445=1,Scoring!$C$22,0)))</f>
        <v>10</v>
      </c>
      <c r="AD445" s="22" t="n">
        <f aca="false">IF(T445="Y",0,IF(ISNUMBER(X445),IF(X445&gt;0.7,Scoring!$C$25,IF(X445&gt;=0.5,Scoring!$C$26,IF(X445&gt;=0.3,Scoring!$C$27,Scoring!$C$28))),Scoring!$C$29))</f>
        <v>10</v>
      </c>
      <c r="AE445" s="22" t="n">
        <f aca="false">IF(D445="Expiring: notice window (verified)",Scoring!$C$30,IF(OR(D445="Expired (verified)",D445="30-yr mark: notice window (est.)",D445="Year-15 window"),Scoring!$C$31,IF(D445="Expiring: 10-yr horizon (verified)",Scoring!$C$32,IF(D445="Past 30-yr mark (verify)",Scoring!$C$33,IF(OR(D445="Credit period",D445="Superseded record"),Scoring!$C$35,Scoring!$C$34)))))</f>
        <v>4</v>
      </c>
      <c r="AF445" s="22" t="n">
        <f aca="false">IF(T445="Y",0,IF(ISNUMBER(V445),IF(Scoring!$B$4-V445&gt;15,Scoring!$C$36,IF(Scoring!$B$4-V445&gt;=10,Scoring!$C$37,IF(Scoring!$B$4-V445&gt;=5,Scoring!$C$38,Scoring!$C$39))),IF(OR(N445="",D445="Out of program"),Scoring!$C$40,IF(O445&gt;15,Scoring!$C$36,IF(O445&gt;=10,Scoring!$C$37,IF(O445&gt;=5,Scoring!$C$38,Scoring!$C$39))))))</f>
        <v>15</v>
      </c>
      <c r="AG445" s="22" t="n">
        <f aca="false">IF(T445="Y",0,IF(Y445="Y",Scoring!$C$41,IF(ISNUMBER(O445),IF(O445&gt;=25,Scoring!$C$42,IF(O445&gt;=15,Scoring!$C$43,Scoring!$C$44)),Scoring!$C$44)))</f>
        <v>5</v>
      </c>
      <c r="AH445" s="22" t="n">
        <f aca="false">IF(T445="Y",0,IF(W445="",Scoring!$C$49,IFERROR(VLOOKUP(W445,Scoring!$B$45:$C$48,2,FALSE()),Scoring!$C$49)))</f>
        <v>5</v>
      </c>
      <c r="AI445" s="23" t="n">
        <f aca="false">C445+IF(ISNUMBER(J445),J445,0)/100000+(10000-ROW())/1000000000</f>
        <v>49.000389555</v>
      </c>
      <c r="AJ445" s="18"/>
      <c r="AK445" s="18"/>
      <c r="AL445" s="18"/>
      <c r="AM445" s="18"/>
    </row>
    <row r="446" customFormat="false" ht="15" hidden="false" customHeight="false" outlineLevel="0" collapsed="false">
      <c r="A446" s="15" t="n">
        <f aca="false">RANK(AI446,$AI$2:$AI$755)</f>
        <v>445</v>
      </c>
      <c r="B446" s="16" t="str">
        <f aca="false">IF(T446="Y","Superseded",IF(C446&gt;=Scoring!$B$16,"Immediate",IF(C446&gt;=Scoring!$B$17,"This week",IF(C446&gt;=Scoring!$B$18,"Nurture","Low"))))</f>
        <v>Nurture</v>
      </c>
      <c r="C446" s="3" t="n">
        <f aca="false">SUM(AC446:AH446)</f>
        <v>49</v>
      </c>
      <c r="D446" s="15" t="str">
        <f aca="false">IF(T446="Y","Superseded record",IF(AND(U446&lt;&gt;"",AA446&lt;0),"Expired (verified)",IF(AND(U446&lt;&gt;"",AA446&lt;=Scoring!$B$5),"Expiring: notice window (verified)",IF(AND(U446&lt;&gt;"",AA446&lt;=Scoring!$B$6),"Expiring: 10-yr horizon (verified)",IF(M446="No Longer Monitored","Out of program",IF(N446="","Unknown vintage",IF(N446&lt;Scoring!$B$12,"Pre-1990, still listed",IF(AND(U446="",AA446&lt;0),"Past 30-yr mark (verify)",IF(AND(U446="",AA446&lt;=Scoring!$B$5),"30-yr mark: notice window (est.)",IF(AND(O446&gt;=Scoring!$B$7,O446&lt;=Scoring!$B$8),"Year-15 window",IF(O446&gt;=Scoring!$B$9,"Recap window",IF(O446&gt;=11,"Late compliance","Credit period"))))))))))))</f>
        <v>Recap window</v>
      </c>
      <c r="E446" s="15" t="s">
        <v>1658</v>
      </c>
      <c r="F446" s="15" t="s">
        <v>1659</v>
      </c>
      <c r="G446" s="15" t="s">
        <v>1660</v>
      </c>
      <c r="H446" s="15" t="s">
        <v>97</v>
      </c>
      <c r="I446" s="15" t="s">
        <v>260</v>
      </c>
      <c r="J446" s="15" t="n">
        <v>36</v>
      </c>
      <c r="K446" s="15" t="n">
        <v>36</v>
      </c>
      <c r="L446" s="15" t="n">
        <f aca="false">IF(OR(J446="",K446=""),"",MAX(J446-K446,0))</f>
        <v>0</v>
      </c>
      <c r="M446" s="15" t="s">
        <v>99</v>
      </c>
      <c r="N446" s="17" t="n">
        <v>2003</v>
      </c>
      <c r="O446" s="15" t="n">
        <f aca="false">IF(N446="","",Scoring!$B$4-N446)</f>
        <v>23</v>
      </c>
      <c r="P446" s="15" t="n">
        <f aca="false">IF(N446="","",N446+14)</f>
        <v>2017</v>
      </c>
      <c r="Q446" s="15" t="n">
        <f aca="false">IF(N446="","",IF(N446&lt;Scoring!$B$12,"n/a (pre-1990)",N446+Scoring!$B$13))</f>
        <v>2032</v>
      </c>
      <c r="R446" s="15" t="str">
        <f aca="false">IF(J446="","Unknown",IF(J446&gt;=5,"Yes","No (under 5 units)"))</f>
        <v>Yes</v>
      </c>
      <c r="S446" s="15"/>
      <c r="T446" s="18"/>
      <c r="U446" s="19"/>
      <c r="V446" s="18"/>
      <c r="W446" s="18"/>
      <c r="X446" s="20"/>
      <c r="Y446" s="18"/>
      <c r="Z446" s="18"/>
      <c r="AA446" s="21" t="n">
        <f aca="false">IF(U446&lt;&gt;"",(U446-Scoring!$B$3)/365.25,IF(N446="","",IF(N446&lt;Scoring!$B$12,"",(DATE(N446+Scoring!$B$13,12,31)-Scoring!$B$3)/365.25)))</f>
        <v>6.24777549623546</v>
      </c>
      <c r="AB446" s="22" t="n">
        <f aca="false">IF(T446="Y",0,IF(OR(D446="Expired (verified)",D446="Expiring: notice window (verified)",D446="Expiring: 10-yr horizon (verified)",D446="Past 30-yr mark (verify)",D446="30-yr mark: notice window (est.)",D446="Year-15 window"),1,0)+IF(ISNUMBER(O446),IF(O446&gt;=Scoring!$B$10,1,0),0)+IF(AND(ISNUMBER(L446),ISNUMBER(J446)),IF(J446&gt;0,IF(L446/J446&gt;=Scoring!$B$11,1,0),0),0)+IF(ISNUMBER(Z446),MIN(Z446,3),0))</f>
        <v>1</v>
      </c>
      <c r="AC446" s="22" t="n">
        <f aca="false">IF(AB446&gt;=3,Scoring!$C$24,IF(AB446=2,Scoring!$C$23,IF(AB446=1,Scoring!$C$22,0)))</f>
        <v>10</v>
      </c>
      <c r="AD446" s="22" t="n">
        <f aca="false">IF(T446="Y",0,IF(ISNUMBER(X446),IF(X446&gt;0.7,Scoring!$C$25,IF(X446&gt;=0.5,Scoring!$C$26,IF(X446&gt;=0.3,Scoring!$C$27,Scoring!$C$28))),Scoring!$C$29))</f>
        <v>10</v>
      </c>
      <c r="AE446" s="22" t="n">
        <f aca="false">IF(D446="Expiring: notice window (verified)",Scoring!$C$30,IF(OR(D446="Expired (verified)",D446="30-yr mark: notice window (est.)",D446="Year-15 window"),Scoring!$C$31,IF(D446="Expiring: 10-yr horizon (verified)",Scoring!$C$32,IF(D446="Past 30-yr mark (verify)",Scoring!$C$33,IF(OR(D446="Credit period",D446="Superseded record"),Scoring!$C$35,Scoring!$C$34)))))</f>
        <v>4</v>
      </c>
      <c r="AF446" s="22" t="n">
        <f aca="false">IF(T446="Y",0,IF(ISNUMBER(V446),IF(Scoring!$B$4-V446&gt;15,Scoring!$C$36,IF(Scoring!$B$4-V446&gt;=10,Scoring!$C$37,IF(Scoring!$B$4-V446&gt;=5,Scoring!$C$38,Scoring!$C$39))),IF(OR(N446="",D446="Out of program"),Scoring!$C$40,IF(O446&gt;15,Scoring!$C$36,IF(O446&gt;=10,Scoring!$C$37,IF(O446&gt;=5,Scoring!$C$38,Scoring!$C$39))))))</f>
        <v>15</v>
      </c>
      <c r="AG446" s="22" t="n">
        <f aca="false">IF(T446="Y",0,IF(Y446="Y",Scoring!$C$41,IF(ISNUMBER(O446),IF(O446&gt;=25,Scoring!$C$42,IF(O446&gt;=15,Scoring!$C$43,Scoring!$C$44)),Scoring!$C$44)))</f>
        <v>5</v>
      </c>
      <c r="AH446" s="22" t="n">
        <f aca="false">IF(T446="Y",0,IF(W446="",Scoring!$C$49,IFERROR(VLOOKUP(W446,Scoring!$B$45:$C$48,2,FALSE()),Scoring!$C$49)))</f>
        <v>5</v>
      </c>
      <c r="AI446" s="23" t="n">
        <f aca="false">C446+IF(ISNUMBER(J446),J446,0)/100000+(10000-ROW())/1000000000</f>
        <v>49.000369554</v>
      </c>
      <c r="AJ446" s="18"/>
      <c r="AK446" s="18"/>
      <c r="AL446" s="18"/>
      <c r="AM446" s="18"/>
    </row>
    <row r="447" customFormat="false" ht="15" hidden="false" customHeight="false" outlineLevel="0" collapsed="false">
      <c r="A447" s="15" t="n">
        <f aca="false">RANK(AI447,$AI$2:$AI$755)</f>
        <v>446</v>
      </c>
      <c r="B447" s="16" t="str">
        <f aca="false">IF(T447="Y","Superseded",IF(C447&gt;=Scoring!$B$16,"Immediate",IF(C447&gt;=Scoring!$B$17,"This week",IF(C447&gt;=Scoring!$B$18,"Nurture","Low"))))</f>
        <v>Nurture</v>
      </c>
      <c r="C447" s="3" t="n">
        <f aca="false">SUM(AC447:AH447)</f>
        <v>49</v>
      </c>
      <c r="D447" s="15" t="str">
        <f aca="false">IF(T447="Y","Superseded record",IF(AND(U447&lt;&gt;"",AA447&lt;0),"Expired (verified)",IF(AND(U447&lt;&gt;"",AA447&lt;=Scoring!$B$5),"Expiring: notice window (verified)",IF(AND(U447&lt;&gt;"",AA447&lt;=Scoring!$B$6),"Expiring: 10-yr horizon (verified)",IF(M447="No Longer Monitored","Out of program",IF(N447="","Unknown vintage",IF(N447&lt;Scoring!$B$12,"Pre-1990, still listed",IF(AND(U447="",AA447&lt;0),"Past 30-yr mark (verify)",IF(AND(U447="",AA447&lt;=Scoring!$B$5),"30-yr mark: notice window (est.)",IF(AND(O447&gt;=Scoring!$B$7,O447&lt;=Scoring!$B$8),"Year-15 window",IF(O447&gt;=Scoring!$B$9,"Recap window",IF(O447&gt;=11,"Late compliance","Credit period"))))))))))))</f>
        <v>Recap window</v>
      </c>
      <c r="E447" s="15" t="s">
        <v>1661</v>
      </c>
      <c r="F447" s="15" t="s">
        <v>1662</v>
      </c>
      <c r="G447" s="15" t="s">
        <v>1663</v>
      </c>
      <c r="H447" s="15" t="s">
        <v>97</v>
      </c>
      <c r="I447" s="15" t="s">
        <v>330</v>
      </c>
      <c r="J447" s="15" t="n">
        <v>36</v>
      </c>
      <c r="K447" s="15" t="n">
        <v>36</v>
      </c>
      <c r="L447" s="15" t="n">
        <f aca="false">IF(OR(J447="",K447=""),"",MAX(J447-K447,0))</f>
        <v>0</v>
      </c>
      <c r="M447" s="15" t="s">
        <v>99</v>
      </c>
      <c r="N447" s="17" t="n">
        <v>2004</v>
      </c>
      <c r="O447" s="15" t="n">
        <f aca="false">IF(N447="","",Scoring!$B$4-N447)</f>
        <v>22</v>
      </c>
      <c r="P447" s="15" t="n">
        <f aca="false">IF(N447="","",N447+14)</f>
        <v>2018</v>
      </c>
      <c r="Q447" s="15" t="n">
        <f aca="false">IF(N447="","",IF(N447&lt;Scoring!$B$12,"n/a (pre-1990)",N447+Scoring!$B$13))</f>
        <v>2033</v>
      </c>
      <c r="R447" s="15" t="str">
        <f aca="false">IF(J447="","Unknown",IF(J447&gt;=5,"Yes","No (under 5 units)"))</f>
        <v>Yes</v>
      </c>
      <c r="S447" s="15"/>
      <c r="T447" s="18"/>
      <c r="U447" s="19"/>
      <c r="V447" s="18"/>
      <c r="W447" s="18"/>
      <c r="X447" s="20"/>
      <c r="Y447" s="18"/>
      <c r="Z447" s="18"/>
      <c r="AA447" s="21" t="n">
        <f aca="false">IF(U447&lt;&gt;"",(U447-Scoring!$B$3)/365.25,IF(N447="","",IF(N447&lt;Scoring!$B$12,"",(DATE(N447+Scoring!$B$13,12,31)-Scoring!$B$3)/365.25)))</f>
        <v>7.24709103353867</v>
      </c>
      <c r="AB447" s="22" t="n">
        <f aca="false">IF(T447="Y",0,IF(OR(D447="Expired (verified)",D447="Expiring: notice window (verified)",D447="Expiring: 10-yr horizon (verified)",D447="Past 30-yr mark (verify)",D447="30-yr mark: notice window (est.)",D447="Year-15 window"),1,0)+IF(ISNUMBER(O447),IF(O447&gt;=Scoring!$B$10,1,0),0)+IF(AND(ISNUMBER(L447),ISNUMBER(J447)),IF(J447&gt;0,IF(L447/J447&gt;=Scoring!$B$11,1,0),0),0)+IF(ISNUMBER(Z447),MIN(Z447,3),0))</f>
        <v>1</v>
      </c>
      <c r="AC447" s="22" t="n">
        <f aca="false">IF(AB447&gt;=3,Scoring!$C$24,IF(AB447=2,Scoring!$C$23,IF(AB447=1,Scoring!$C$22,0)))</f>
        <v>10</v>
      </c>
      <c r="AD447" s="22" t="n">
        <f aca="false">IF(T447="Y",0,IF(ISNUMBER(X447),IF(X447&gt;0.7,Scoring!$C$25,IF(X447&gt;=0.5,Scoring!$C$26,IF(X447&gt;=0.3,Scoring!$C$27,Scoring!$C$28))),Scoring!$C$29))</f>
        <v>10</v>
      </c>
      <c r="AE447" s="22" t="n">
        <f aca="false">IF(D447="Expiring: notice window (verified)",Scoring!$C$30,IF(OR(D447="Expired (verified)",D447="30-yr mark: notice window (est.)",D447="Year-15 window"),Scoring!$C$31,IF(D447="Expiring: 10-yr horizon (verified)",Scoring!$C$32,IF(D447="Past 30-yr mark (verify)",Scoring!$C$33,IF(OR(D447="Credit period",D447="Superseded record"),Scoring!$C$35,Scoring!$C$34)))))</f>
        <v>4</v>
      </c>
      <c r="AF447" s="22" t="n">
        <f aca="false">IF(T447="Y",0,IF(ISNUMBER(V447),IF(Scoring!$B$4-V447&gt;15,Scoring!$C$36,IF(Scoring!$B$4-V447&gt;=10,Scoring!$C$37,IF(Scoring!$B$4-V447&gt;=5,Scoring!$C$38,Scoring!$C$39))),IF(OR(N447="",D447="Out of program"),Scoring!$C$40,IF(O447&gt;15,Scoring!$C$36,IF(O447&gt;=10,Scoring!$C$37,IF(O447&gt;=5,Scoring!$C$38,Scoring!$C$39))))))</f>
        <v>15</v>
      </c>
      <c r="AG447" s="22" t="n">
        <f aca="false">IF(T447="Y",0,IF(Y447="Y",Scoring!$C$41,IF(ISNUMBER(O447),IF(O447&gt;=25,Scoring!$C$42,IF(O447&gt;=15,Scoring!$C$43,Scoring!$C$44)),Scoring!$C$44)))</f>
        <v>5</v>
      </c>
      <c r="AH447" s="22" t="n">
        <f aca="false">IF(T447="Y",0,IF(W447="",Scoring!$C$49,IFERROR(VLOOKUP(W447,Scoring!$B$45:$C$48,2,FALSE()),Scoring!$C$49)))</f>
        <v>5</v>
      </c>
      <c r="AI447" s="23" t="n">
        <f aca="false">C447+IF(ISNUMBER(J447),J447,0)/100000+(10000-ROW())/1000000000</f>
        <v>49.000369553</v>
      </c>
      <c r="AJ447" s="18"/>
      <c r="AK447" s="18"/>
      <c r="AL447" s="18"/>
      <c r="AM447" s="18"/>
    </row>
    <row r="448" customFormat="false" ht="15" hidden="false" customHeight="false" outlineLevel="0" collapsed="false">
      <c r="A448" s="15" t="n">
        <f aca="false">RANK(AI448,$AI$2:$AI$755)</f>
        <v>447</v>
      </c>
      <c r="B448" s="16" t="str">
        <f aca="false">IF(T448="Y","Superseded",IF(C448&gt;=Scoring!$B$16,"Immediate",IF(C448&gt;=Scoring!$B$17,"This week",IF(C448&gt;=Scoring!$B$18,"Nurture","Low"))))</f>
        <v>Nurture</v>
      </c>
      <c r="C448" s="3" t="n">
        <f aca="false">SUM(AC448:AH448)</f>
        <v>49</v>
      </c>
      <c r="D448" s="15" t="str">
        <f aca="false">IF(T448="Y","Superseded record",IF(AND(U448&lt;&gt;"",AA448&lt;0),"Expired (verified)",IF(AND(U448&lt;&gt;"",AA448&lt;=Scoring!$B$5),"Expiring: notice window (verified)",IF(AND(U448&lt;&gt;"",AA448&lt;=Scoring!$B$6),"Expiring: 10-yr horizon (verified)",IF(M448="No Longer Monitored","Out of program",IF(N448="","Unknown vintage",IF(N448&lt;Scoring!$B$12,"Pre-1990, still listed",IF(AND(U448="",AA448&lt;0),"Past 30-yr mark (verify)",IF(AND(U448="",AA448&lt;=Scoring!$B$5),"30-yr mark: notice window (est.)",IF(AND(O448&gt;=Scoring!$B$7,O448&lt;=Scoring!$B$8),"Year-15 window",IF(O448&gt;=Scoring!$B$9,"Recap window",IF(O448&gt;=11,"Late compliance","Credit period"))))))))))))</f>
        <v>Recap window</v>
      </c>
      <c r="E448" s="15" t="s">
        <v>1664</v>
      </c>
      <c r="F448" s="15" t="s">
        <v>1665</v>
      </c>
      <c r="G448" s="15" t="s">
        <v>1666</v>
      </c>
      <c r="H448" s="15" t="s">
        <v>1667</v>
      </c>
      <c r="I448" s="15" t="s">
        <v>1668</v>
      </c>
      <c r="J448" s="15" t="n">
        <v>36</v>
      </c>
      <c r="K448" s="15" t="n">
        <v>36</v>
      </c>
      <c r="L448" s="15" t="n">
        <f aca="false">IF(OR(J448="",K448=""),"",MAX(J448-K448,0))</f>
        <v>0</v>
      </c>
      <c r="M448" s="15" t="s">
        <v>99</v>
      </c>
      <c r="N448" s="17" t="n">
        <v>2006</v>
      </c>
      <c r="O448" s="15" t="n">
        <f aca="false">IF(N448="","",Scoring!$B$4-N448)</f>
        <v>20</v>
      </c>
      <c r="P448" s="15" t="n">
        <f aca="false">IF(N448="","",N448+14)</f>
        <v>2020</v>
      </c>
      <c r="Q448" s="15" t="n">
        <f aca="false">IF(N448="","",IF(N448&lt;Scoring!$B$12,"n/a (pre-1990)",N448+Scoring!$B$13))</f>
        <v>2035</v>
      </c>
      <c r="R448" s="15" t="str">
        <f aca="false">IF(J448="","Unknown",IF(J448&gt;=5,"Yes","No (under 5 units)"))</f>
        <v>Yes</v>
      </c>
      <c r="S448" s="15"/>
      <c r="T448" s="18"/>
      <c r="U448" s="19"/>
      <c r="V448" s="18"/>
      <c r="W448" s="18"/>
      <c r="X448" s="20"/>
      <c r="Y448" s="18"/>
      <c r="Z448" s="18"/>
      <c r="AA448" s="21" t="n">
        <f aca="false">IF(U448&lt;&gt;"",(U448-Scoring!$B$3)/365.25,IF(N448="","",IF(N448&lt;Scoring!$B$12,"",(DATE(N448+Scoring!$B$13,12,31)-Scoring!$B$3)/365.25)))</f>
        <v>9.24572210814511</v>
      </c>
      <c r="AB448" s="22" t="n">
        <f aca="false">IF(T448="Y",0,IF(OR(D448="Expired (verified)",D448="Expiring: notice window (verified)",D448="Expiring: 10-yr horizon (verified)",D448="Past 30-yr mark (verify)",D448="30-yr mark: notice window (est.)",D448="Year-15 window"),1,0)+IF(ISNUMBER(O448),IF(O448&gt;=Scoring!$B$10,1,0),0)+IF(AND(ISNUMBER(L448),ISNUMBER(J448)),IF(J448&gt;0,IF(L448/J448&gt;=Scoring!$B$11,1,0),0),0)+IF(ISNUMBER(Z448),MIN(Z448,3),0))</f>
        <v>1</v>
      </c>
      <c r="AC448" s="22" t="n">
        <f aca="false">IF(AB448&gt;=3,Scoring!$C$24,IF(AB448=2,Scoring!$C$23,IF(AB448=1,Scoring!$C$22,0)))</f>
        <v>10</v>
      </c>
      <c r="AD448" s="22" t="n">
        <f aca="false">IF(T448="Y",0,IF(ISNUMBER(X448),IF(X448&gt;0.7,Scoring!$C$25,IF(X448&gt;=0.5,Scoring!$C$26,IF(X448&gt;=0.3,Scoring!$C$27,Scoring!$C$28))),Scoring!$C$29))</f>
        <v>10</v>
      </c>
      <c r="AE448" s="22" t="n">
        <f aca="false">IF(D448="Expiring: notice window (verified)",Scoring!$C$30,IF(OR(D448="Expired (verified)",D448="30-yr mark: notice window (est.)",D448="Year-15 window"),Scoring!$C$31,IF(D448="Expiring: 10-yr horizon (verified)",Scoring!$C$32,IF(D448="Past 30-yr mark (verify)",Scoring!$C$33,IF(OR(D448="Credit period",D448="Superseded record"),Scoring!$C$35,Scoring!$C$34)))))</f>
        <v>4</v>
      </c>
      <c r="AF448" s="22" t="n">
        <f aca="false">IF(T448="Y",0,IF(ISNUMBER(V448),IF(Scoring!$B$4-V448&gt;15,Scoring!$C$36,IF(Scoring!$B$4-V448&gt;=10,Scoring!$C$37,IF(Scoring!$B$4-V448&gt;=5,Scoring!$C$38,Scoring!$C$39))),IF(OR(N448="",D448="Out of program"),Scoring!$C$40,IF(O448&gt;15,Scoring!$C$36,IF(O448&gt;=10,Scoring!$C$37,IF(O448&gt;=5,Scoring!$C$38,Scoring!$C$39))))))</f>
        <v>15</v>
      </c>
      <c r="AG448" s="22" t="n">
        <f aca="false">IF(T448="Y",0,IF(Y448="Y",Scoring!$C$41,IF(ISNUMBER(O448),IF(O448&gt;=25,Scoring!$C$42,IF(O448&gt;=15,Scoring!$C$43,Scoring!$C$44)),Scoring!$C$44)))</f>
        <v>5</v>
      </c>
      <c r="AH448" s="22" t="n">
        <f aca="false">IF(T448="Y",0,IF(W448="",Scoring!$C$49,IFERROR(VLOOKUP(W448,Scoring!$B$45:$C$48,2,FALSE()),Scoring!$C$49)))</f>
        <v>5</v>
      </c>
      <c r="AI448" s="23" t="n">
        <f aca="false">C448+IF(ISNUMBER(J448),J448,0)/100000+(10000-ROW())/1000000000</f>
        <v>49.000369552</v>
      </c>
      <c r="AJ448" s="18"/>
      <c r="AK448" s="18"/>
      <c r="AL448" s="18"/>
      <c r="AM448" s="18"/>
    </row>
    <row r="449" customFormat="false" ht="15" hidden="false" customHeight="false" outlineLevel="0" collapsed="false">
      <c r="A449" s="15" t="n">
        <f aca="false">RANK(AI449,$AI$2:$AI$755)</f>
        <v>448</v>
      </c>
      <c r="B449" s="16" t="str">
        <f aca="false">IF(T449="Y","Superseded",IF(C449&gt;=Scoring!$B$16,"Immediate",IF(C449&gt;=Scoring!$B$17,"This week",IF(C449&gt;=Scoring!$B$18,"Nurture","Low"))))</f>
        <v>Nurture</v>
      </c>
      <c r="C449" s="3" t="n">
        <f aca="false">SUM(AC449:AH449)</f>
        <v>49</v>
      </c>
      <c r="D449" s="15" t="str">
        <f aca="false">IF(T449="Y","Superseded record",IF(AND(U449&lt;&gt;"",AA449&lt;0),"Expired (verified)",IF(AND(U449&lt;&gt;"",AA449&lt;=Scoring!$B$5),"Expiring: notice window (verified)",IF(AND(U449&lt;&gt;"",AA449&lt;=Scoring!$B$6),"Expiring: 10-yr horizon (verified)",IF(M449="No Longer Monitored","Out of program",IF(N449="","Unknown vintage",IF(N449&lt;Scoring!$B$12,"Pre-1990, still listed",IF(AND(U449="",AA449&lt;0),"Past 30-yr mark (verify)",IF(AND(U449="",AA449&lt;=Scoring!$B$5),"30-yr mark: notice window (est.)",IF(AND(O449&gt;=Scoring!$B$7,O449&lt;=Scoring!$B$8),"Year-15 window",IF(O449&gt;=Scoring!$B$9,"Recap window",IF(O449&gt;=11,"Late compliance","Credit period"))))))))))))</f>
        <v>Recap window</v>
      </c>
      <c r="E449" s="15" t="s">
        <v>1669</v>
      </c>
      <c r="F449" s="15" t="s">
        <v>1670</v>
      </c>
      <c r="G449" s="15" t="s">
        <v>1608</v>
      </c>
      <c r="H449" s="15" t="s">
        <v>232</v>
      </c>
      <c r="I449" s="15" t="s">
        <v>640</v>
      </c>
      <c r="J449" s="15" t="n">
        <v>35</v>
      </c>
      <c r="K449" s="15" t="n">
        <v>35</v>
      </c>
      <c r="L449" s="15" t="n">
        <f aca="false">IF(OR(J449="",K449=""),"",MAX(J449-K449,0))</f>
        <v>0</v>
      </c>
      <c r="M449" s="15" t="s">
        <v>99</v>
      </c>
      <c r="N449" s="17" t="n">
        <v>2002</v>
      </c>
      <c r="O449" s="15" t="n">
        <f aca="false">IF(N449="","",Scoring!$B$4-N449)</f>
        <v>24</v>
      </c>
      <c r="P449" s="15" t="n">
        <f aca="false">IF(N449="","",N449+14)</f>
        <v>2016</v>
      </c>
      <c r="Q449" s="15" t="n">
        <f aca="false">IF(N449="","",IF(N449&lt;Scoring!$B$12,"n/a (pre-1990)",N449+Scoring!$B$13))</f>
        <v>2031</v>
      </c>
      <c r="R449" s="15" t="str">
        <f aca="false">IF(J449="","Unknown",IF(J449&gt;=5,"Yes","No (under 5 units)"))</f>
        <v>Yes</v>
      </c>
      <c r="S449" s="15" t="s">
        <v>1671</v>
      </c>
      <c r="T449" s="18"/>
      <c r="U449" s="19"/>
      <c r="V449" s="18"/>
      <c r="W449" s="18"/>
      <c r="X449" s="20"/>
      <c r="Y449" s="18"/>
      <c r="Z449" s="18"/>
      <c r="AA449" s="21" t="n">
        <f aca="false">IF(U449&lt;&gt;"",(U449-Scoring!$B$3)/365.25,IF(N449="","",IF(N449&lt;Scoring!$B$12,"",(DATE(N449+Scoring!$B$13,12,31)-Scoring!$B$3)/365.25)))</f>
        <v>5.24572210814511</v>
      </c>
      <c r="AB449" s="22" t="n">
        <f aca="false">IF(T449="Y",0,IF(OR(D449="Expired (verified)",D449="Expiring: notice window (verified)",D449="Expiring: 10-yr horizon (verified)",D449="Past 30-yr mark (verify)",D449="30-yr mark: notice window (est.)",D449="Year-15 window"),1,0)+IF(ISNUMBER(O449),IF(O449&gt;=Scoring!$B$10,1,0),0)+IF(AND(ISNUMBER(L449),ISNUMBER(J449)),IF(J449&gt;0,IF(L449/J449&gt;=Scoring!$B$11,1,0),0),0)+IF(ISNUMBER(Z449),MIN(Z449,3),0))</f>
        <v>1</v>
      </c>
      <c r="AC449" s="22" t="n">
        <f aca="false">IF(AB449&gt;=3,Scoring!$C$24,IF(AB449=2,Scoring!$C$23,IF(AB449=1,Scoring!$C$22,0)))</f>
        <v>10</v>
      </c>
      <c r="AD449" s="22" t="n">
        <f aca="false">IF(T449="Y",0,IF(ISNUMBER(X449),IF(X449&gt;0.7,Scoring!$C$25,IF(X449&gt;=0.5,Scoring!$C$26,IF(X449&gt;=0.3,Scoring!$C$27,Scoring!$C$28))),Scoring!$C$29))</f>
        <v>10</v>
      </c>
      <c r="AE449" s="22" t="n">
        <f aca="false">IF(D449="Expiring: notice window (verified)",Scoring!$C$30,IF(OR(D449="Expired (verified)",D449="30-yr mark: notice window (est.)",D449="Year-15 window"),Scoring!$C$31,IF(D449="Expiring: 10-yr horizon (verified)",Scoring!$C$32,IF(D449="Past 30-yr mark (verify)",Scoring!$C$33,IF(OR(D449="Credit period",D449="Superseded record"),Scoring!$C$35,Scoring!$C$34)))))</f>
        <v>4</v>
      </c>
      <c r="AF449" s="22" t="n">
        <f aca="false">IF(T449="Y",0,IF(ISNUMBER(V449),IF(Scoring!$B$4-V449&gt;15,Scoring!$C$36,IF(Scoring!$B$4-V449&gt;=10,Scoring!$C$37,IF(Scoring!$B$4-V449&gt;=5,Scoring!$C$38,Scoring!$C$39))),IF(OR(N449="",D449="Out of program"),Scoring!$C$40,IF(O449&gt;15,Scoring!$C$36,IF(O449&gt;=10,Scoring!$C$37,IF(O449&gt;=5,Scoring!$C$38,Scoring!$C$39))))))</f>
        <v>15</v>
      </c>
      <c r="AG449" s="22" t="n">
        <f aca="false">IF(T449="Y",0,IF(Y449="Y",Scoring!$C$41,IF(ISNUMBER(O449),IF(O449&gt;=25,Scoring!$C$42,IF(O449&gt;=15,Scoring!$C$43,Scoring!$C$44)),Scoring!$C$44)))</f>
        <v>5</v>
      </c>
      <c r="AH449" s="22" t="n">
        <f aca="false">IF(T449="Y",0,IF(W449="",Scoring!$C$49,IFERROR(VLOOKUP(W449,Scoring!$B$45:$C$48,2,FALSE()),Scoring!$C$49)))</f>
        <v>5</v>
      </c>
      <c r="AI449" s="23" t="n">
        <f aca="false">C449+IF(ISNUMBER(J449),J449,0)/100000+(10000-ROW())/1000000000</f>
        <v>49.000359551</v>
      </c>
      <c r="AJ449" s="18"/>
      <c r="AK449" s="18"/>
      <c r="AL449" s="18"/>
      <c r="AM449" s="18"/>
    </row>
    <row r="450" customFormat="false" ht="15" hidden="false" customHeight="false" outlineLevel="0" collapsed="false">
      <c r="A450" s="15" t="n">
        <f aca="false">RANK(AI450,$AI$2:$AI$755)</f>
        <v>449</v>
      </c>
      <c r="B450" s="16" t="str">
        <f aca="false">IF(T450="Y","Superseded",IF(C450&gt;=Scoring!$B$16,"Immediate",IF(C450&gt;=Scoring!$B$17,"This week",IF(C450&gt;=Scoring!$B$18,"Nurture","Low"))))</f>
        <v>Nurture</v>
      </c>
      <c r="C450" s="3" t="n">
        <f aca="false">SUM(AC450:AH450)</f>
        <v>49</v>
      </c>
      <c r="D450" s="15" t="str">
        <f aca="false">IF(T450="Y","Superseded record",IF(AND(U450&lt;&gt;"",AA450&lt;0),"Expired (verified)",IF(AND(U450&lt;&gt;"",AA450&lt;=Scoring!$B$5),"Expiring: notice window (verified)",IF(AND(U450&lt;&gt;"",AA450&lt;=Scoring!$B$6),"Expiring: 10-yr horizon (verified)",IF(M450="No Longer Monitored","Out of program",IF(N450="","Unknown vintage",IF(N450&lt;Scoring!$B$12,"Pre-1990, still listed",IF(AND(U450="",AA450&lt;0),"Past 30-yr mark (verify)",IF(AND(U450="",AA450&lt;=Scoring!$B$5),"30-yr mark: notice window (est.)",IF(AND(O450&gt;=Scoring!$B$7,O450&lt;=Scoring!$B$8),"Year-15 window",IF(O450&gt;=Scoring!$B$9,"Recap window",IF(O450&gt;=11,"Late compliance","Credit period"))))))))))))</f>
        <v>Recap window</v>
      </c>
      <c r="E450" s="15" t="s">
        <v>1672</v>
      </c>
      <c r="F450" s="15" t="s">
        <v>1673</v>
      </c>
      <c r="G450" s="15" t="s">
        <v>1674</v>
      </c>
      <c r="H450" s="15" t="s">
        <v>232</v>
      </c>
      <c r="I450" s="15" t="s">
        <v>358</v>
      </c>
      <c r="J450" s="15" t="n">
        <v>34</v>
      </c>
      <c r="K450" s="15" t="n">
        <v>34</v>
      </c>
      <c r="L450" s="15" t="n">
        <f aca="false">IF(OR(J450="",K450=""),"",MAX(J450-K450,0))</f>
        <v>0</v>
      </c>
      <c r="M450" s="15" t="s">
        <v>99</v>
      </c>
      <c r="N450" s="17" t="n">
        <v>2002</v>
      </c>
      <c r="O450" s="15" t="n">
        <f aca="false">IF(N450="","",Scoring!$B$4-N450)</f>
        <v>24</v>
      </c>
      <c r="P450" s="15" t="n">
        <f aca="false">IF(N450="","",N450+14)</f>
        <v>2016</v>
      </c>
      <c r="Q450" s="15" t="n">
        <f aca="false">IF(N450="","",IF(N450&lt;Scoring!$B$12,"n/a (pre-1990)",N450+Scoring!$B$13))</f>
        <v>2031</v>
      </c>
      <c r="R450" s="15" t="str">
        <f aca="false">IF(J450="","Unknown",IF(J450&gt;=5,"Yes","No (under 5 units)"))</f>
        <v>Yes</v>
      </c>
      <c r="S450" s="15"/>
      <c r="T450" s="18"/>
      <c r="U450" s="19"/>
      <c r="V450" s="18"/>
      <c r="W450" s="18"/>
      <c r="X450" s="20"/>
      <c r="Y450" s="18"/>
      <c r="Z450" s="18"/>
      <c r="AA450" s="21" t="n">
        <f aca="false">IF(U450&lt;&gt;"",(U450-Scoring!$B$3)/365.25,IF(N450="","",IF(N450&lt;Scoring!$B$12,"",(DATE(N450+Scoring!$B$13,12,31)-Scoring!$B$3)/365.25)))</f>
        <v>5.24572210814511</v>
      </c>
      <c r="AB450" s="22" t="n">
        <f aca="false">IF(T450="Y",0,IF(OR(D450="Expired (verified)",D450="Expiring: notice window (verified)",D450="Expiring: 10-yr horizon (verified)",D450="Past 30-yr mark (verify)",D450="30-yr mark: notice window (est.)",D450="Year-15 window"),1,0)+IF(ISNUMBER(O450),IF(O450&gt;=Scoring!$B$10,1,0),0)+IF(AND(ISNUMBER(L450),ISNUMBER(J450)),IF(J450&gt;0,IF(L450/J450&gt;=Scoring!$B$11,1,0),0),0)+IF(ISNUMBER(Z450),MIN(Z450,3),0))</f>
        <v>1</v>
      </c>
      <c r="AC450" s="22" t="n">
        <f aca="false">IF(AB450&gt;=3,Scoring!$C$24,IF(AB450=2,Scoring!$C$23,IF(AB450=1,Scoring!$C$22,0)))</f>
        <v>10</v>
      </c>
      <c r="AD450" s="22" t="n">
        <f aca="false">IF(T450="Y",0,IF(ISNUMBER(X450),IF(X450&gt;0.7,Scoring!$C$25,IF(X450&gt;=0.5,Scoring!$C$26,IF(X450&gt;=0.3,Scoring!$C$27,Scoring!$C$28))),Scoring!$C$29))</f>
        <v>10</v>
      </c>
      <c r="AE450" s="22" t="n">
        <f aca="false">IF(D450="Expiring: notice window (verified)",Scoring!$C$30,IF(OR(D450="Expired (verified)",D450="30-yr mark: notice window (est.)",D450="Year-15 window"),Scoring!$C$31,IF(D450="Expiring: 10-yr horizon (verified)",Scoring!$C$32,IF(D450="Past 30-yr mark (verify)",Scoring!$C$33,IF(OR(D450="Credit period",D450="Superseded record"),Scoring!$C$35,Scoring!$C$34)))))</f>
        <v>4</v>
      </c>
      <c r="AF450" s="22" t="n">
        <f aca="false">IF(T450="Y",0,IF(ISNUMBER(V450),IF(Scoring!$B$4-V450&gt;15,Scoring!$C$36,IF(Scoring!$B$4-V450&gt;=10,Scoring!$C$37,IF(Scoring!$B$4-V450&gt;=5,Scoring!$C$38,Scoring!$C$39))),IF(OR(N450="",D450="Out of program"),Scoring!$C$40,IF(O450&gt;15,Scoring!$C$36,IF(O450&gt;=10,Scoring!$C$37,IF(O450&gt;=5,Scoring!$C$38,Scoring!$C$39))))))</f>
        <v>15</v>
      </c>
      <c r="AG450" s="22" t="n">
        <f aca="false">IF(T450="Y",0,IF(Y450="Y",Scoring!$C$41,IF(ISNUMBER(O450),IF(O450&gt;=25,Scoring!$C$42,IF(O450&gt;=15,Scoring!$C$43,Scoring!$C$44)),Scoring!$C$44)))</f>
        <v>5</v>
      </c>
      <c r="AH450" s="22" t="n">
        <f aca="false">IF(T450="Y",0,IF(W450="",Scoring!$C$49,IFERROR(VLOOKUP(W450,Scoring!$B$45:$C$48,2,FALSE()),Scoring!$C$49)))</f>
        <v>5</v>
      </c>
      <c r="AI450" s="23" t="n">
        <f aca="false">C450+IF(ISNUMBER(J450),J450,0)/100000+(10000-ROW())/1000000000</f>
        <v>49.00034955</v>
      </c>
      <c r="AJ450" s="18"/>
      <c r="AK450" s="18"/>
      <c r="AL450" s="18"/>
      <c r="AM450" s="18"/>
    </row>
    <row r="451" customFormat="false" ht="15" hidden="false" customHeight="false" outlineLevel="0" collapsed="false">
      <c r="A451" s="15" t="n">
        <f aca="false">RANK(AI451,$AI$2:$AI$755)</f>
        <v>450</v>
      </c>
      <c r="B451" s="16" t="str">
        <f aca="false">IF(T451="Y","Superseded",IF(C451&gt;=Scoring!$B$16,"Immediate",IF(C451&gt;=Scoring!$B$17,"This week",IF(C451&gt;=Scoring!$B$18,"Nurture","Low"))))</f>
        <v>Nurture</v>
      </c>
      <c r="C451" s="3" t="n">
        <f aca="false">SUM(AC451:AH451)</f>
        <v>49</v>
      </c>
      <c r="D451" s="15" t="str">
        <f aca="false">IF(T451="Y","Superseded record",IF(AND(U451&lt;&gt;"",AA451&lt;0),"Expired (verified)",IF(AND(U451&lt;&gt;"",AA451&lt;=Scoring!$B$5),"Expiring: notice window (verified)",IF(AND(U451&lt;&gt;"",AA451&lt;=Scoring!$B$6),"Expiring: 10-yr horizon (verified)",IF(M451="No Longer Monitored","Out of program",IF(N451="","Unknown vintage",IF(N451&lt;Scoring!$B$12,"Pre-1990, still listed",IF(AND(U451="",AA451&lt;0),"Past 30-yr mark (verify)",IF(AND(U451="",AA451&lt;=Scoring!$B$5),"30-yr mark: notice window (est.)",IF(AND(O451&gt;=Scoring!$B$7,O451&lt;=Scoring!$B$8),"Year-15 window",IF(O451&gt;=Scoring!$B$9,"Recap window",IF(O451&gt;=11,"Late compliance","Credit period"))))))))))))</f>
        <v>Recap window</v>
      </c>
      <c r="E451" s="15" t="s">
        <v>1675</v>
      </c>
      <c r="F451" s="15" t="s">
        <v>1676</v>
      </c>
      <c r="G451" s="15" t="s">
        <v>1677</v>
      </c>
      <c r="H451" s="15" t="s">
        <v>920</v>
      </c>
      <c r="I451" s="15" t="s">
        <v>921</v>
      </c>
      <c r="J451" s="15" t="n">
        <v>34</v>
      </c>
      <c r="K451" s="15" t="n">
        <v>34</v>
      </c>
      <c r="L451" s="15" t="n">
        <f aca="false">IF(OR(J451="",K451=""),"",MAX(J451-K451,0))</f>
        <v>0</v>
      </c>
      <c r="M451" s="15" t="s">
        <v>99</v>
      </c>
      <c r="N451" s="17" t="n">
        <v>2002</v>
      </c>
      <c r="O451" s="15" t="n">
        <f aca="false">IF(N451="","",Scoring!$B$4-N451)</f>
        <v>24</v>
      </c>
      <c r="P451" s="15" t="n">
        <f aca="false">IF(N451="","",N451+14)</f>
        <v>2016</v>
      </c>
      <c r="Q451" s="15" t="n">
        <f aca="false">IF(N451="","",IF(N451&lt;Scoring!$B$12,"n/a (pre-1990)",N451+Scoring!$B$13))</f>
        <v>2031</v>
      </c>
      <c r="R451" s="15" t="str">
        <f aca="false">IF(J451="","Unknown",IF(J451&gt;=5,"Yes","No (under 5 units)"))</f>
        <v>Yes</v>
      </c>
      <c r="S451" s="15"/>
      <c r="T451" s="18"/>
      <c r="U451" s="19"/>
      <c r="V451" s="18"/>
      <c r="W451" s="18"/>
      <c r="X451" s="20"/>
      <c r="Y451" s="18"/>
      <c r="Z451" s="18"/>
      <c r="AA451" s="21" t="n">
        <f aca="false">IF(U451&lt;&gt;"",(U451-Scoring!$B$3)/365.25,IF(N451="","",IF(N451&lt;Scoring!$B$12,"",(DATE(N451+Scoring!$B$13,12,31)-Scoring!$B$3)/365.25)))</f>
        <v>5.24572210814511</v>
      </c>
      <c r="AB451" s="22" t="n">
        <f aca="false">IF(T451="Y",0,IF(OR(D451="Expired (verified)",D451="Expiring: notice window (verified)",D451="Expiring: 10-yr horizon (verified)",D451="Past 30-yr mark (verify)",D451="30-yr mark: notice window (est.)",D451="Year-15 window"),1,0)+IF(ISNUMBER(O451),IF(O451&gt;=Scoring!$B$10,1,0),0)+IF(AND(ISNUMBER(L451),ISNUMBER(J451)),IF(J451&gt;0,IF(L451/J451&gt;=Scoring!$B$11,1,0),0),0)+IF(ISNUMBER(Z451),MIN(Z451,3),0))</f>
        <v>1</v>
      </c>
      <c r="AC451" s="22" t="n">
        <f aca="false">IF(AB451&gt;=3,Scoring!$C$24,IF(AB451=2,Scoring!$C$23,IF(AB451=1,Scoring!$C$22,0)))</f>
        <v>10</v>
      </c>
      <c r="AD451" s="22" t="n">
        <f aca="false">IF(T451="Y",0,IF(ISNUMBER(X451),IF(X451&gt;0.7,Scoring!$C$25,IF(X451&gt;=0.5,Scoring!$C$26,IF(X451&gt;=0.3,Scoring!$C$27,Scoring!$C$28))),Scoring!$C$29))</f>
        <v>10</v>
      </c>
      <c r="AE451" s="22" t="n">
        <f aca="false">IF(D451="Expiring: notice window (verified)",Scoring!$C$30,IF(OR(D451="Expired (verified)",D451="30-yr mark: notice window (est.)",D451="Year-15 window"),Scoring!$C$31,IF(D451="Expiring: 10-yr horizon (verified)",Scoring!$C$32,IF(D451="Past 30-yr mark (verify)",Scoring!$C$33,IF(OR(D451="Credit period",D451="Superseded record"),Scoring!$C$35,Scoring!$C$34)))))</f>
        <v>4</v>
      </c>
      <c r="AF451" s="22" t="n">
        <f aca="false">IF(T451="Y",0,IF(ISNUMBER(V451),IF(Scoring!$B$4-V451&gt;15,Scoring!$C$36,IF(Scoring!$B$4-V451&gt;=10,Scoring!$C$37,IF(Scoring!$B$4-V451&gt;=5,Scoring!$C$38,Scoring!$C$39))),IF(OR(N451="",D451="Out of program"),Scoring!$C$40,IF(O451&gt;15,Scoring!$C$36,IF(O451&gt;=10,Scoring!$C$37,IF(O451&gt;=5,Scoring!$C$38,Scoring!$C$39))))))</f>
        <v>15</v>
      </c>
      <c r="AG451" s="22" t="n">
        <f aca="false">IF(T451="Y",0,IF(Y451="Y",Scoring!$C$41,IF(ISNUMBER(O451),IF(O451&gt;=25,Scoring!$C$42,IF(O451&gt;=15,Scoring!$C$43,Scoring!$C$44)),Scoring!$C$44)))</f>
        <v>5</v>
      </c>
      <c r="AH451" s="22" t="n">
        <f aca="false">IF(T451="Y",0,IF(W451="",Scoring!$C$49,IFERROR(VLOOKUP(W451,Scoring!$B$45:$C$48,2,FALSE()),Scoring!$C$49)))</f>
        <v>5</v>
      </c>
      <c r="AI451" s="23" t="n">
        <f aca="false">C451+IF(ISNUMBER(J451),J451,0)/100000+(10000-ROW())/1000000000</f>
        <v>49.000349549</v>
      </c>
      <c r="AJ451" s="18"/>
      <c r="AK451" s="18"/>
      <c r="AL451" s="18"/>
      <c r="AM451" s="18"/>
    </row>
    <row r="452" customFormat="false" ht="15" hidden="false" customHeight="false" outlineLevel="0" collapsed="false">
      <c r="A452" s="15" t="n">
        <f aca="false">RANK(AI452,$AI$2:$AI$755)</f>
        <v>451</v>
      </c>
      <c r="B452" s="16" t="str">
        <f aca="false">IF(T452="Y","Superseded",IF(C452&gt;=Scoring!$B$16,"Immediate",IF(C452&gt;=Scoring!$B$17,"This week",IF(C452&gt;=Scoring!$B$18,"Nurture","Low"))))</f>
        <v>Nurture</v>
      </c>
      <c r="C452" s="3" t="n">
        <f aca="false">SUM(AC452:AH452)</f>
        <v>49</v>
      </c>
      <c r="D452" s="15" t="str">
        <f aca="false">IF(T452="Y","Superseded record",IF(AND(U452&lt;&gt;"",AA452&lt;0),"Expired (verified)",IF(AND(U452&lt;&gt;"",AA452&lt;=Scoring!$B$5),"Expiring: notice window (verified)",IF(AND(U452&lt;&gt;"",AA452&lt;=Scoring!$B$6),"Expiring: 10-yr horizon (verified)",IF(M452="No Longer Monitored","Out of program",IF(N452="","Unknown vintage",IF(N452&lt;Scoring!$B$12,"Pre-1990, still listed",IF(AND(U452="",AA452&lt;0),"Past 30-yr mark (verify)",IF(AND(U452="",AA452&lt;=Scoring!$B$5),"30-yr mark: notice window (est.)",IF(AND(O452&gt;=Scoring!$B$7,O452&lt;=Scoring!$B$8),"Year-15 window",IF(O452&gt;=Scoring!$B$9,"Recap window",IF(O452&gt;=11,"Late compliance","Credit period"))))))))))))</f>
        <v>Recap window</v>
      </c>
      <c r="E452" s="15" t="s">
        <v>1678</v>
      </c>
      <c r="F452" s="15" t="s">
        <v>1679</v>
      </c>
      <c r="G452" s="15" t="s">
        <v>1680</v>
      </c>
      <c r="H452" s="15" t="s">
        <v>1681</v>
      </c>
      <c r="I452" s="15" t="s">
        <v>1682</v>
      </c>
      <c r="J452" s="15" t="n">
        <v>33</v>
      </c>
      <c r="K452" s="15" t="n">
        <v>33</v>
      </c>
      <c r="L452" s="15" t="n">
        <f aca="false">IF(OR(J452="",K452=""),"",MAX(J452-K452,0))</f>
        <v>0</v>
      </c>
      <c r="M452" s="15" t="s">
        <v>99</v>
      </c>
      <c r="N452" s="17" t="n">
        <v>2003</v>
      </c>
      <c r="O452" s="15" t="n">
        <f aca="false">IF(N452="","",Scoring!$B$4-N452)</f>
        <v>23</v>
      </c>
      <c r="P452" s="15" t="n">
        <f aca="false">IF(N452="","",N452+14)</f>
        <v>2017</v>
      </c>
      <c r="Q452" s="15" t="n">
        <f aca="false">IF(N452="","",IF(N452&lt;Scoring!$B$12,"n/a (pre-1990)",N452+Scoring!$B$13))</f>
        <v>2032</v>
      </c>
      <c r="R452" s="15" t="str">
        <f aca="false">IF(J452="","Unknown",IF(J452&gt;=5,"Yes","No (under 5 units)"))</f>
        <v>Yes</v>
      </c>
      <c r="S452" s="15"/>
      <c r="T452" s="18"/>
      <c r="U452" s="19"/>
      <c r="V452" s="18"/>
      <c r="W452" s="18"/>
      <c r="X452" s="20"/>
      <c r="Y452" s="18"/>
      <c r="Z452" s="18"/>
      <c r="AA452" s="21" t="n">
        <f aca="false">IF(U452&lt;&gt;"",(U452-Scoring!$B$3)/365.25,IF(N452="","",IF(N452&lt;Scoring!$B$12,"",(DATE(N452+Scoring!$B$13,12,31)-Scoring!$B$3)/365.25)))</f>
        <v>6.24777549623546</v>
      </c>
      <c r="AB452" s="22" t="n">
        <f aca="false">IF(T452="Y",0,IF(OR(D452="Expired (verified)",D452="Expiring: notice window (verified)",D452="Expiring: 10-yr horizon (verified)",D452="Past 30-yr mark (verify)",D452="30-yr mark: notice window (est.)",D452="Year-15 window"),1,0)+IF(ISNUMBER(O452),IF(O452&gt;=Scoring!$B$10,1,0),0)+IF(AND(ISNUMBER(L452),ISNUMBER(J452)),IF(J452&gt;0,IF(L452/J452&gt;=Scoring!$B$11,1,0),0),0)+IF(ISNUMBER(Z452),MIN(Z452,3),0))</f>
        <v>1</v>
      </c>
      <c r="AC452" s="22" t="n">
        <f aca="false">IF(AB452&gt;=3,Scoring!$C$24,IF(AB452=2,Scoring!$C$23,IF(AB452=1,Scoring!$C$22,0)))</f>
        <v>10</v>
      </c>
      <c r="AD452" s="22" t="n">
        <f aca="false">IF(T452="Y",0,IF(ISNUMBER(X452),IF(X452&gt;0.7,Scoring!$C$25,IF(X452&gt;=0.5,Scoring!$C$26,IF(X452&gt;=0.3,Scoring!$C$27,Scoring!$C$28))),Scoring!$C$29))</f>
        <v>10</v>
      </c>
      <c r="AE452" s="22" t="n">
        <f aca="false">IF(D452="Expiring: notice window (verified)",Scoring!$C$30,IF(OR(D452="Expired (verified)",D452="30-yr mark: notice window (est.)",D452="Year-15 window"),Scoring!$C$31,IF(D452="Expiring: 10-yr horizon (verified)",Scoring!$C$32,IF(D452="Past 30-yr mark (verify)",Scoring!$C$33,IF(OR(D452="Credit period",D452="Superseded record"),Scoring!$C$35,Scoring!$C$34)))))</f>
        <v>4</v>
      </c>
      <c r="AF452" s="22" t="n">
        <f aca="false">IF(T452="Y",0,IF(ISNUMBER(V452),IF(Scoring!$B$4-V452&gt;15,Scoring!$C$36,IF(Scoring!$B$4-V452&gt;=10,Scoring!$C$37,IF(Scoring!$B$4-V452&gt;=5,Scoring!$C$38,Scoring!$C$39))),IF(OR(N452="",D452="Out of program"),Scoring!$C$40,IF(O452&gt;15,Scoring!$C$36,IF(O452&gt;=10,Scoring!$C$37,IF(O452&gt;=5,Scoring!$C$38,Scoring!$C$39))))))</f>
        <v>15</v>
      </c>
      <c r="AG452" s="22" t="n">
        <f aca="false">IF(T452="Y",0,IF(Y452="Y",Scoring!$C$41,IF(ISNUMBER(O452),IF(O452&gt;=25,Scoring!$C$42,IF(O452&gt;=15,Scoring!$C$43,Scoring!$C$44)),Scoring!$C$44)))</f>
        <v>5</v>
      </c>
      <c r="AH452" s="22" t="n">
        <f aca="false">IF(T452="Y",0,IF(W452="",Scoring!$C$49,IFERROR(VLOOKUP(W452,Scoring!$B$45:$C$48,2,FALSE()),Scoring!$C$49)))</f>
        <v>5</v>
      </c>
      <c r="AI452" s="23" t="n">
        <f aca="false">C452+IF(ISNUMBER(J452),J452,0)/100000+(10000-ROW())/1000000000</f>
        <v>49.000339548</v>
      </c>
      <c r="AJ452" s="18"/>
      <c r="AK452" s="18"/>
      <c r="AL452" s="18"/>
      <c r="AM452" s="18"/>
    </row>
    <row r="453" customFormat="false" ht="15" hidden="false" customHeight="false" outlineLevel="0" collapsed="false">
      <c r="A453" s="15" t="n">
        <f aca="false">RANK(AI453,$AI$2:$AI$755)</f>
        <v>452</v>
      </c>
      <c r="B453" s="16" t="str">
        <f aca="false">IF(T453="Y","Superseded",IF(C453&gt;=Scoring!$B$16,"Immediate",IF(C453&gt;=Scoring!$B$17,"This week",IF(C453&gt;=Scoring!$B$18,"Nurture","Low"))))</f>
        <v>Nurture</v>
      </c>
      <c r="C453" s="3" t="n">
        <f aca="false">SUM(AC453:AH453)</f>
        <v>49</v>
      </c>
      <c r="D453" s="15" t="str">
        <f aca="false">IF(T453="Y","Superseded record",IF(AND(U453&lt;&gt;"",AA453&lt;0),"Expired (verified)",IF(AND(U453&lt;&gt;"",AA453&lt;=Scoring!$B$5),"Expiring: notice window (verified)",IF(AND(U453&lt;&gt;"",AA453&lt;=Scoring!$B$6),"Expiring: 10-yr horizon (verified)",IF(M453="No Longer Monitored","Out of program",IF(N453="","Unknown vintage",IF(N453&lt;Scoring!$B$12,"Pre-1990, still listed",IF(AND(U453="",AA453&lt;0),"Past 30-yr mark (verify)",IF(AND(U453="",AA453&lt;=Scoring!$B$5),"30-yr mark: notice window (est.)",IF(AND(O453&gt;=Scoring!$B$7,O453&lt;=Scoring!$B$8),"Year-15 window",IF(O453&gt;=Scoring!$B$9,"Recap window",IF(O453&gt;=11,"Late compliance","Credit period"))))))))))))</f>
        <v>Recap window</v>
      </c>
      <c r="E453" s="15" t="s">
        <v>1683</v>
      </c>
      <c r="F453" s="15" t="s">
        <v>1684</v>
      </c>
      <c r="G453" s="15" t="s">
        <v>1685</v>
      </c>
      <c r="H453" s="15" t="s">
        <v>565</v>
      </c>
      <c r="I453" s="15" t="s">
        <v>566</v>
      </c>
      <c r="J453" s="15" t="n">
        <v>33</v>
      </c>
      <c r="K453" s="15" t="n">
        <v>33</v>
      </c>
      <c r="L453" s="15" t="n">
        <f aca="false">IF(OR(J453="",K453=""),"",MAX(J453-K453,0))</f>
        <v>0</v>
      </c>
      <c r="M453" s="15" t="s">
        <v>99</v>
      </c>
      <c r="N453" s="17" t="n">
        <v>2006</v>
      </c>
      <c r="O453" s="15" t="n">
        <f aca="false">IF(N453="","",Scoring!$B$4-N453)</f>
        <v>20</v>
      </c>
      <c r="P453" s="15" t="n">
        <f aca="false">IF(N453="","",N453+14)</f>
        <v>2020</v>
      </c>
      <c r="Q453" s="15" t="n">
        <f aca="false">IF(N453="","",IF(N453&lt;Scoring!$B$12,"n/a (pre-1990)",N453+Scoring!$B$13))</f>
        <v>2035</v>
      </c>
      <c r="R453" s="15" t="str">
        <f aca="false">IF(J453="","Unknown",IF(J453&gt;=5,"Yes","No (under 5 units)"))</f>
        <v>Yes</v>
      </c>
      <c r="S453" s="15"/>
      <c r="T453" s="18"/>
      <c r="U453" s="19"/>
      <c r="V453" s="18"/>
      <c r="W453" s="18"/>
      <c r="X453" s="20"/>
      <c r="Y453" s="18"/>
      <c r="Z453" s="18"/>
      <c r="AA453" s="21" t="n">
        <f aca="false">IF(U453&lt;&gt;"",(U453-Scoring!$B$3)/365.25,IF(N453="","",IF(N453&lt;Scoring!$B$12,"",(DATE(N453+Scoring!$B$13,12,31)-Scoring!$B$3)/365.25)))</f>
        <v>9.24572210814511</v>
      </c>
      <c r="AB453" s="22" t="n">
        <f aca="false">IF(T453="Y",0,IF(OR(D453="Expired (verified)",D453="Expiring: notice window (verified)",D453="Expiring: 10-yr horizon (verified)",D453="Past 30-yr mark (verify)",D453="30-yr mark: notice window (est.)",D453="Year-15 window"),1,0)+IF(ISNUMBER(O453),IF(O453&gt;=Scoring!$B$10,1,0),0)+IF(AND(ISNUMBER(L453),ISNUMBER(J453)),IF(J453&gt;0,IF(L453/J453&gt;=Scoring!$B$11,1,0),0),0)+IF(ISNUMBER(Z453),MIN(Z453,3),0))</f>
        <v>1</v>
      </c>
      <c r="AC453" s="22" t="n">
        <f aca="false">IF(AB453&gt;=3,Scoring!$C$24,IF(AB453=2,Scoring!$C$23,IF(AB453=1,Scoring!$C$22,0)))</f>
        <v>10</v>
      </c>
      <c r="AD453" s="22" t="n">
        <f aca="false">IF(T453="Y",0,IF(ISNUMBER(X453),IF(X453&gt;0.7,Scoring!$C$25,IF(X453&gt;=0.5,Scoring!$C$26,IF(X453&gt;=0.3,Scoring!$C$27,Scoring!$C$28))),Scoring!$C$29))</f>
        <v>10</v>
      </c>
      <c r="AE453" s="22" t="n">
        <f aca="false">IF(D453="Expiring: notice window (verified)",Scoring!$C$30,IF(OR(D453="Expired (verified)",D453="30-yr mark: notice window (est.)",D453="Year-15 window"),Scoring!$C$31,IF(D453="Expiring: 10-yr horizon (verified)",Scoring!$C$32,IF(D453="Past 30-yr mark (verify)",Scoring!$C$33,IF(OR(D453="Credit period",D453="Superseded record"),Scoring!$C$35,Scoring!$C$34)))))</f>
        <v>4</v>
      </c>
      <c r="AF453" s="22" t="n">
        <f aca="false">IF(T453="Y",0,IF(ISNUMBER(V453),IF(Scoring!$B$4-V453&gt;15,Scoring!$C$36,IF(Scoring!$B$4-V453&gt;=10,Scoring!$C$37,IF(Scoring!$B$4-V453&gt;=5,Scoring!$C$38,Scoring!$C$39))),IF(OR(N453="",D453="Out of program"),Scoring!$C$40,IF(O453&gt;15,Scoring!$C$36,IF(O453&gt;=10,Scoring!$C$37,IF(O453&gt;=5,Scoring!$C$38,Scoring!$C$39))))))</f>
        <v>15</v>
      </c>
      <c r="AG453" s="22" t="n">
        <f aca="false">IF(T453="Y",0,IF(Y453="Y",Scoring!$C$41,IF(ISNUMBER(O453),IF(O453&gt;=25,Scoring!$C$42,IF(O453&gt;=15,Scoring!$C$43,Scoring!$C$44)),Scoring!$C$44)))</f>
        <v>5</v>
      </c>
      <c r="AH453" s="22" t="n">
        <f aca="false">IF(T453="Y",0,IF(W453="",Scoring!$C$49,IFERROR(VLOOKUP(W453,Scoring!$B$45:$C$48,2,FALSE()),Scoring!$C$49)))</f>
        <v>5</v>
      </c>
      <c r="AI453" s="23" t="n">
        <f aca="false">C453+IF(ISNUMBER(J453),J453,0)/100000+(10000-ROW())/1000000000</f>
        <v>49.000339547</v>
      </c>
      <c r="AJ453" s="18"/>
      <c r="AK453" s="18"/>
      <c r="AL453" s="18"/>
      <c r="AM453" s="18"/>
    </row>
    <row r="454" customFormat="false" ht="15" hidden="false" customHeight="false" outlineLevel="0" collapsed="false">
      <c r="A454" s="15" t="n">
        <f aca="false">RANK(AI454,$AI$2:$AI$755)</f>
        <v>453</v>
      </c>
      <c r="B454" s="16" t="str">
        <f aca="false">IF(T454="Y","Superseded",IF(C454&gt;=Scoring!$B$16,"Immediate",IF(C454&gt;=Scoring!$B$17,"This week",IF(C454&gt;=Scoring!$B$18,"Nurture","Low"))))</f>
        <v>Nurture</v>
      </c>
      <c r="C454" s="3" t="n">
        <f aca="false">SUM(AC454:AH454)</f>
        <v>49</v>
      </c>
      <c r="D454" s="15" t="str">
        <f aca="false">IF(T454="Y","Superseded record",IF(AND(U454&lt;&gt;"",AA454&lt;0),"Expired (verified)",IF(AND(U454&lt;&gt;"",AA454&lt;=Scoring!$B$5),"Expiring: notice window (verified)",IF(AND(U454&lt;&gt;"",AA454&lt;=Scoring!$B$6),"Expiring: 10-yr horizon (verified)",IF(M454="No Longer Monitored","Out of program",IF(N454="","Unknown vintage",IF(N454&lt;Scoring!$B$12,"Pre-1990, still listed",IF(AND(U454="",AA454&lt;0),"Past 30-yr mark (verify)",IF(AND(U454="",AA454&lt;=Scoring!$B$5),"30-yr mark: notice window (est.)",IF(AND(O454&gt;=Scoring!$B$7,O454&lt;=Scoring!$B$8),"Year-15 window",IF(O454&gt;=Scoring!$B$9,"Recap window",IF(O454&gt;=11,"Late compliance","Credit period"))))))))))))</f>
        <v>Recap window</v>
      </c>
      <c r="E454" s="15" t="s">
        <v>1686</v>
      </c>
      <c r="F454" s="15" t="s">
        <v>1687</v>
      </c>
      <c r="G454" s="15" t="s">
        <v>1688</v>
      </c>
      <c r="H454" s="15" t="s">
        <v>255</v>
      </c>
      <c r="I454" s="15" t="s">
        <v>256</v>
      </c>
      <c r="J454" s="15" t="n">
        <v>32</v>
      </c>
      <c r="K454" s="15" t="n">
        <v>32</v>
      </c>
      <c r="L454" s="15" t="n">
        <f aca="false">IF(OR(J454="",K454=""),"",MAX(J454-K454,0))</f>
        <v>0</v>
      </c>
      <c r="M454" s="15" t="s">
        <v>99</v>
      </c>
      <c r="N454" s="17" t="n">
        <v>2003</v>
      </c>
      <c r="O454" s="15" t="n">
        <f aca="false">IF(N454="","",Scoring!$B$4-N454)</f>
        <v>23</v>
      </c>
      <c r="P454" s="15" t="n">
        <f aca="false">IF(N454="","",N454+14)</f>
        <v>2017</v>
      </c>
      <c r="Q454" s="15" t="n">
        <f aca="false">IF(N454="","",IF(N454&lt;Scoring!$B$12,"n/a (pre-1990)",N454+Scoring!$B$13))</f>
        <v>2032</v>
      </c>
      <c r="R454" s="15" t="str">
        <f aca="false">IF(J454="","Unknown",IF(J454&gt;=5,"Yes","No (under 5 units)"))</f>
        <v>Yes</v>
      </c>
      <c r="S454" s="15"/>
      <c r="T454" s="18"/>
      <c r="U454" s="19"/>
      <c r="V454" s="18"/>
      <c r="W454" s="18"/>
      <c r="X454" s="20"/>
      <c r="Y454" s="18"/>
      <c r="Z454" s="18"/>
      <c r="AA454" s="21" t="n">
        <f aca="false">IF(U454&lt;&gt;"",(U454-Scoring!$B$3)/365.25,IF(N454="","",IF(N454&lt;Scoring!$B$12,"",(DATE(N454+Scoring!$B$13,12,31)-Scoring!$B$3)/365.25)))</f>
        <v>6.24777549623546</v>
      </c>
      <c r="AB454" s="22" t="n">
        <f aca="false">IF(T454="Y",0,IF(OR(D454="Expired (verified)",D454="Expiring: notice window (verified)",D454="Expiring: 10-yr horizon (verified)",D454="Past 30-yr mark (verify)",D454="30-yr mark: notice window (est.)",D454="Year-15 window"),1,0)+IF(ISNUMBER(O454),IF(O454&gt;=Scoring!$B$10,1,0),0)+IF(AND(ISNUMBER(L454),ISNUMBER(J454)),IF(J454&gt;0,IF(L454/J454&gt;=Scoring!$B$11,1,0),0),0)+IF(ISNUMBER(Z454),MIN(Z454,3),0))</f>
        <v>1</v>
      </c>
      <c r="AC454" s="22" t="n">
        <f aca="false">IF(AB454&gt;=3,Scoring!$C$24,IF(AB454=2,Scoring!$C$23,IF(AB454=1,Scoring!$C$22,0)))</f>
        <v>10</v>
      </c>
      <c r="AD454" s="22" t="n">
        <f aca="false">IF(T454="Y",0,IF(ISNUMBER(X454),IF(X454&gt;0.7,Scoring!$C$25,IF(X454&gt;=0.5,Scoring!$C$26,IF(X454&gt;=0.3,Scoring!$C$27,Scoring!$C$28))),Scoring!$C$29))</f>
        <v>10</v>
      </c>
      <c r="AE454" s="22" t="n">
        <f aca="false">IF(D454="Expiring: notice window (verified)",Scoring!$C$30,IF(OR(D454="Expired (verified)",D454="30-yr mark: notice window (est.)",D454="Year-15 window"),Scoring!$C$31,IF(D454="Expiring: 10-yr horizon (verified)",Scoring!$C$32,IF(D454="Past 30-yr mark (verify)",Scoring!$C$33,IF(OR(D454="Credit period",D454="Superseded record"),Scoring!$C$35,Scoring!$C$34)))))</f>
        <v>4</v>
      </c>
      <c r="AF454" s="22" t="n">
        <f aca="false">IF(T454="Y",0,IF(ISNUMBER(V454),IF(Scoring!$B$4-V454&gt;15,Scoring!$C$36,IF(Scoring!$B$4-V454&gt;=10,Scoring!$C$37,IF(Scoring!$B$4-V454&gt;=5,Scoring!$C$38,Scoring!$C$39))),IF(OR(N454="",D454="Out of program"),Scoring!$C$40,IF(O454&gt;15,Scoring!$C$36,IF(O454&gt;=10,Scoring!$C$37,IF(O454&gt;=5,Scoring!$C$38,Scoring!$C$39))))))</f>
        <v>15</v>
      </c>
      <c r="AG454" s="22" t="n">
        <f aca="false">IF(T454="Y",0,IF(Y454="Y",Scoring!$C$41,IF(ISNUMBER(O454),IF(O454&gt;=25,Scoring!$C$42,IF(O454&gt;=15,Scoring!$C$43,Scoring!$C$44)),Scoring!$C$44)))</f>
        <v>5</v>
      </c>
      <c r="AH454" s="22" t="n">
        <f aca="false">IF(T454="Y",0,IF(W454="",Scoring!$C$49,IFERROR(VLOOKUP(W454,Scoring!$B$45:$C$48,2,FALSE()),Scoring!$C$49)))</f>
        <v>5</v>
      </c>
      <c r="AI454" s="23" t="n">
        <f aca="false">C454+IF(ISNUMBER(J454),J454,0)/100000+(10000-ROW())/1000000000</f>
        <v>49.000329546</v>
      </c>
      <c r="AJ454" s="18"/>
      <c r="AK454" s="18"/>
      <c r="AL454" s="18"/>
      <c r="AM454" s="18"/>
    </row>
    <row r="455" customFormat="false" ht="15" hidden="false" customHeight="false" outlineLevel="0" collapsed="false">
      <c r="A455" s="15" t="n">
        <f aca="false">RANK(AI455,$AI$2:$AI$755)</f>
        <v>454</v>
      </c>
      <c r="B455" s="16" t="str">
        <f aca="false">IF(T455="Y","Superseded",IF(C455&gt;=Scoring!$B$16,"Immediate",IF(C455&gt;=Scoring!$B$17,"This week",IF(C455&gt;=Scoring!$B$18,"Nurture","Low"))))</f>
        <v>Nurture</v>
      </c>
      <c r="C455" s="3" t="n">
        <f aca="false">SUM(AC455:AH455)</f>
        <v>49</v>
      </c>
      <c r="D455" s="15" t="str">
        <f aca="false">IF(T455="Y","Superseded record",IF(AND(U455&lt;&gt;"",AA455&lt;0),"Expired (verified)",IF(AND(U455&lt;&gt;"",AA455&lt;=Scoring!$B$5),"Expiring: notice window (verified)",IF(AND(U455&lt;&gt;"",AA455&lt;=Scoring!$B$6),"Expiring: 10-yr horizon (verified)",IF(M455="No Longer Monitored","Out of program",IF(N455="","Unknown vintage",IF(N455&lt;Scoring!$B$12,"Pre-1990, still listed",IF(AND(U455="",AA455&lt;0),"Past 30-yr mark (verify)",IF(AND(U455="",AA455&lt;=Scoring!$B$5),"30-yr mark: notice window (est.)",IF(AND(O455&gt;=Scoring!$B$7,O455&lt;=Scoring!$B$8),"Year-15 window",IF(O455&gt;=Scoring!$B$9,"Recap window",IF(O455&gt;=11,"Late compliance","Credit period"))))))))))))</f>
        <v>Recap window</v>
      </c>
      <c r="E455" s="15" t="s">
        <v>1689</v>
      </c>
      <c r="F455" s="15" t="s">
        <v>1690</v>
      </c>
      <c r="G455" s="15" t="s">
        <v>1691</v>
      </c>
      <c r="H455" s="15" t="s">
        <v>473</v>
      </c>
      <c r="I455" s="15" t="s">
        <v>510</v>
      </c>
      <c r="J455" s="15" t="n">
        <v>32</v>
      </c>
      <c r="K455" s="15" t="n">
        <v>32</v>
      </c>
      <c r="L455" s="15" t="n">
        <f aca="false">IF(OR(J455="",K455=""),"",MAX(J455-K455,0))</f>
        <v>0</v>
      </c>
      <c r="M455" s="15" t="s">
        <v>99</v>
      </c>
      <c r="N455" s="17" t="n">
        <v>2005</v>
      </c>
      <c r="O455" s="15" t="n">
        <f aca="false">IF(N455="","",Scoring!$B$4-N455)</f>
        <v>21</v>
      </c>
      <c r="P455" s="15" t="n">
        <f aca="false">IF(N455="","",N455+14)</f>
        <v>2019</v>
      </c>
      <c r="Q455" s="15" t="n">
        <f aca="false">IF(N455="","",IF(N455&lt;Scoring!$B$12,"n/a (pre-1990)",N455+Scoring!$B$13))</f>
        <v>2034</v>
      </c>
      <c r="R455" s="15" t="str">
        <f aca="false">IF(J455="","Unknown",IF(J455&gt;=5,"Yes","No (under 5 units)"))</f>
        <v>Yes</v>
      </c>
      <c r="S455" s="15"/>
      <c r="T455" s="18"/>
      <c r="U455" s="19"/>
      <c r="V455" s="18"/>
      <c r="W455" s="18"/>
      <c r="X455" s="20"/>
      <c r="Y455" s="18"/>
      <c r="Z455" s="18"/>
      <c r="AA455" s="21" t="n">
        <f aca="false">IF(U455&lt;&gt;"",(U455-Scoring!$B$3)/365.25,IF(N455="","",IF(N455&lt;Scoring!$B$12,"",(DATE(N455+Scoring!$B$13,12,31)-Scoring!$B$3)/365.25)))</f>
        <v>8.24640657084189</v>
      </c>
      <c r="AB455" s="22" t="n">
        <f aca="false">IF(T455="Y",0,IF(OR(D455="Expired (verified)",D455="Expiring: notice window (verified)",D455="Expiring: 10-yr horizon (verified)",D455="Past 30-yr mark (verify)",D455="30-yr mark: notice window (est.)",D455="Year-15 window"),1,0)+IF(ISNUMBER(O455),IF(O455&gt;=Scoring!$B$10,1,0),0)+IF(AND(ISNUMBER(L455),ISNUMBER(J455)),IF(J455&gt;0,IF(L455/J455&gt;=Scoring!$B$11,1,0),0),0)+IF(ISNUMBER(Z455),MIN(Z455,3),0))</f>
        <v>1</v>
      </c>
      <c r="AC455" s="22" t="n">
        <f aca="false">IF(AB455&gt;=3,Scoring!$C$24,IF(AB455=2,Scoring!$C$23,IF(AB455=1,Scoring!$C$22,0)))</f>
        <v>10</v>
      </c>
      <c r="AD455" s="22" t="n">
        <f aca="false">IF(T455="Y",0,IF(ISNUMBER(X455),IF(X455&gt;0.7,Scoring!$C$25,IF(X455&gt;=0.5,Scoring!$C$26,IF(X455&gt;=0.3,Scoring!$C$27,Scoring!$C$28))),Scoring!$C$29))</f>
        <v>10</v>
      </c>
      <c r="AE455" s="22" t="n">
        <f aca="false">IF(D455="Expiring: notice window (verified)",Scoring!$C$30,IF(OR(D455="Expired (verified)",D455="30-yr mark: notice window (est.)",D455="Year-15 window"),Scoring!$C$31,IF(D455="Expiring: 10-yr horizon (verified)",Scoring!$C$32,IF(D455="Past 30-yr mark (verify)",Scoring!$C$33,IF(OR(D455="Credit period",D455="Superseded record"),Scoring!$C$35,Scoring!$C$34)))))</f>
        <v>4</v>
      </c>
      <c r="AF455" s="22" t="n">
        <f aca="false">IF(T455="Y",0,IF(ISNUMBER(V455),IF(Scoring!$B$4-V455&gt;15,Scoring!$C$36,IF(Scoring!$B$4-V455&gt;=10,Scoring!$C$37,IF(Scoring!$B$4-V455&gt;=5,Scoring!$C$38,Scoring!$C$39))),IF(OR(N455="",D455="Out of program"),Scoring!$C$40,IF(O455&gt;15,Scoring!$C$36,IF(O455&gt;=10,Scoring!$C$37,IF(O455&gt;=5,Scoring!$C$38,Scoring!$C$39))))))</f>
        <v>15</v>
      </c>
      <c r="AG455" s="22" t="n">
        <f aca="false">IF(T455="Y",0,IF(Y455="Y",Scoring!$C$41,IF(ISNUMBER(O455),IF(O455&gt;=25,Scoring!$C$42,IF(O455&gt;=15,Scoring!$C$43,Scoring!$C$44)),Scoring!$C$44)))</f>
        <v>5</v>
      </c>
      <c r="AH455" s="22" t="n">
        <f aca="false">IF(T455="Y",0,IF(W455="",Scoring!$C$49,IFERROR(VLOOKUP(W455,Scoring!$B$45:$C$48,2,FALSE()),Scoring!$C$49)))</f>
        <v>5</v>
      </c>
      <c r="AI455" s="23" t="n">
        <f aca="false">C455+IF(ISNUMBER(J455),J455,0)/100000+(10000-ROW())/1000000000</f>
        <v>49.000329545</v>
      </c>
      <c r="AJ455" s="18"/>
      <c r="AK455" s="18"/>
      <c r="AL455" s="18"/>
      <c r="AM455" s="18"/>
    </row>
    <row r="456" customFormat="false" ht="15" hidden="false" customHeight="false" outlineLevel="0" collapsed="false">
      <c r="A456" s="15" t="n">
        <f aca="false">RANK(AI456,$AI$2:$AI$755)</f>
        <v>455</v>
      </c>
      <c r="B456" s="16" t="str">
        <f aca="false">IF(T456="Y","Superseded",IF(C456&gt;=Scoring!$B$16,"Immediate",IF(C456&gt;=Scoring!$B$17,"This week",IF(C456&gt;=Scoring!$B$18,"Nurture","Low"))))</f>
        <v>Nurture</v>
      </c>
      <c r="C456" s="3" t="n">
        <f aca="false">SUM(AC456:AH456)</f>
        <v>49</v>
      </c>
      <c r="D456" s="15" t="str">
        <f aca="false">IF(T456="Y","Superseded record",IF(AND(U456&lt;&gt;"",AA456&lt;0),"Expired (verified)",IF(AND(U456&lt;&gt;"",AA456&lt;=Scoring!$B$5),"Expiring: notice window (verified)",IF(AND(U456&lt;&gt;"",AA456&lt;=Scoring!$B$6),"Expiring: 10-yr horizon (verified)",IF(M456="No Longer Monitored","Out of program",IF(N456="","Unknown vintage",IF(N456&lt;Scoring!$B$12,"Pre-1990, still listed",IF(AND(U456="",AA456&lt;0),"Past 30-yr mark (verify)",IF(AND(U456="",AA456&lt;=Scoring!$B$5),"30-yr mark: notice window (est.)",IF(AND(O456&gt;=Scoring!$B$7,O456&lt;=Scoring!$B$8),"Year-15 window",IF(O456&gt;=Scoring!$B$9,"Recap window",IF(O456&gt;=11,"Late compliance","Credit period"))))))))))))</f>
        <v>Recap window</v>
      </c>
      <c r="E456" s="15" t="s">
        <v>1692</v>
      </c>
      <c r="F456" s="15" t="s">
        <v>1693</v>
      </c>
      <c r="G456" s="15" t="s">
        <v>1694</v>
      </c>
      <c r="H456" s="15" t="s">
        <v>303</v>
      </c>
      <c r="I456" s="15" t="s">
        <v>304</v>
      </c>
      <c r="J456" s="15" t="n">
        <v>32</v>
      </c>
      <c r="K456" s="15" t="n">
        <v>32</v>
      </c>
      <c r="L456" s="15" t="n">
        <f aca="false">IF(OR(J456="",K456=""),"",MAX(J456-K456,0))</f>
        <v>0</v>
      </c>
      <c r="M456" s="15" t="s">
        <v>99</v>
      </c>
      <c r="N456" s="17" t="n">
        <v>2006</v>
      </c>
      <c r="O456" s="15" t="n">
        <f aca="false">IF(N456="","",Scoring!$B$4-N456)</f>
        <v>20</v>
      </c>
      <c r="P456" s="15" t="n">
        <f aca="false">IF(N456="","",N456+14)</f>
        <v>2020</v>
      </c>
      <c r="Q456" s="15" t="n">
        <f aca="false">IF(N456="","",IF(N456&lt;Scoring!$B$12,"n/a (pre-1990)",N456+Scoring!$B$13))</f>
        <v>2035</v>
      </c>
      <c r="R456" s="15" t="str">
        <f aca="false">IF(J456="","Unknown",IF(J456&gt;=5,"Yes","No (under 5 units)"))</f>
        <v>Yes</v>
      </c>
      <c r="S456" s="15"/>
      <c r="T456" s="18"/>
      <c r="U456" s="19"/>
      <c r="V456" s="18"/>
      <c r="W456" s="18"/>
      <c r="X456" s="20"/>
      <c r="Y456" s="18"/>
      <c r="Z456" s="18"/>
      <c r="AA456" s="21" t="n">
        <f aca="false">IF(U456&lt;&gt;"",(U456-Scoring!$B$3)/365.25,IF(N456="","",IF(N456&lt;Scoring!$B$12,"",(DATE(N456+Scoring!$B$13,12,31)-Scoring!$B$3)/365.25)))</f>
        <v>9.24572210814511</v>
      </c>
      <c r="AB456" s="22" t="n">
        <f aca="false">IF(T456="Y",0,IF(OR(D456="Expired (verified)",D456="Expiring: notice window (verified)",D456="Expiring: 10-yr horizon (verified)",D456="Past 30-yr mark (verify)",D456="30-yr mark: notice window (est.)",D456="Year-15 window"),1,0)+IF(ISNUMBER(O456),IF(O456&gt;=Scoring!$B$10,1,0),0)+IF(AND(ISNUMBER(L456),ISNUMBER(J456)),IF(J456&gt;0,IF(L456/J456&gt;=Scoring!$B$11,1,0),0),0)+IF(ISNUMBER(Z456),MIN(Z456,3),0))</f>
        <v>1</v>
      </c>
      <c r="AC456" s="22" t="n">
        <f aca="false">IF(AB456&gt;=3,Scoring!$C$24,IF(AB456=2,Scoring!$C$23,IF(AB456=1,Scoring!$C$22,0)))</f>
        <v>10</v>
      </c>
      <c r="AD456" s="22" t="n">
        <f aca="false">IF(T456="Y",0,IF(ISNUMBER(X456),IF(X456&gt;0.7,Scoring!$C$25,IF(X456&gt;=0.5,Scoring!$C$26,IF(X456&gt;=0.3,Scoring!$C$27,Scoring!$C$28))),Scoring!$C$29))</f>
        <v>10</v>
      </c>
      <c r="AE456" s="22" t="n">
        <f aca="false">IF(D456="Expiring: notice window (verified)",Scoring!$C$30,IF(OR(D456="Expired (verified)",D456="30-yr mark: notice window (est.)",D456="Year-15 window"),Scoring!$C$31,IF(D456="Expiring: 10-yr horizon (verified)",Scoring!$C$32,IF(D456="Past 30-yr mark (verify)",Scoring!$C$33,IF(OR(D456="Credit period",D456="Superseded record"),Scoring!$C$35,Scoring!$C$34)))))</f>
        <v>4</v>
      </c>
      <c r="AF456" s="22" t="n">
        <f aca="false">IF(T456="Y",0,IF(ISNUMBER(V456),IF(Scoring!$B$4-V456&gt;15,Scoring!$C$36,IF(Scoring!$B$4-V456&gt;=10,Scoring!$C$37,IF(Scoring!$B$4-V456&gt;=5,Scoring!$C$38,Scoring!$C$39))),IF(OR(N456="",D456="Out of program"),Scoring!$C$40,IF(O456&gt;15,Scoring!$C$36,IF(O456&gt;=10,Scoring!$C$37,IF(O456&gt;=5,Scoring!$C$38,Scoring!$C$39))))))</f>
        <v>15</v>
      </c>
      <c r="AG456" s="22" t="n">
        <f aca="false">IF(T456="Y",0,IF(Y456="Y",Scoring!$C$41,IF(ISNUMBER(O456),IF(O456&gt;=25,Scoring!$C$42,IF(O456&gt;=15,Scoring!$C$43,Scoring!$C$44)),Scoring!$C$44)))</f>
        <v>5</v>
      </c>
      <c r="AH456" s="22" t="n">
        <f aca="false">IF(T456="Y",0,IF(W456="",Scoring!$C$49,IFERROR(VLOOKUP(W456,Scoring!$B$45:$C$48,2,FALSE()),Scoring!$C$49)))</f>
        <v>5</v>
      </c>
      <c r="AI456" s="23" t="n">
        <f aca="false">C456+IF(ISNUMBER(J456),J456,0)/100000+(10000-ROW())/1000000000</f>
        <v>49.000329544</v>
      </c>
      <c r="AJ456" s="18"/>
      <c r="AK456" s="18"/>
      <c r="AL456" s="18"/>
      <c r="AM456" s="18"/>
    </row>
    <row r="457" customFormat="false" ht="15" hidden="false" customHeight="false" outlineLevel="0" collapsed="false">
      <c r="A457" s="15" t="n">
        <f aca="false">RANK(AI457,$AI$2:$AI$755)</f>
        <v>456</v>
      </c>
      <c r="B457" s="16" t="str">
        <f aca="false">IF(T457="Y","Superseded",IF(C457&gt;=Scoring!$B$16,"Immediate",IF(C457&gt;=Scoring!$B$17,"This week",IF(C457&gt;=Scoring!$B$18,"Nurture","Low"))))</f>
        <v>Nurture</v>
      </c>
      <c r="C457" s="3" t="n">
        <f aca="false">SUM(AC457:AH457)</f>
        <v>49</v>
      </c>
      <c r="D457" s="15" t="str">
        <f aca="false">IF(T457="Y","Superseded record",IF(AND(U457&lt;&gt;"",AA457&lt;0),"Expired (verified)",IF(AND(U457&lt;&gt;"",AA457&lt;=Scoring!$B$5),"Expiring: notice window (verified)",IF(AND(U457&lt;&gt;"",AA457&lt;=Scoring!$B$6),"Expiring: 10-yr horizon (verified)",IF(M457="No Longer Monitored","Out of program",IF(N457="","Unknown vintage",IF(N457&lt;Scoring!$B$12,"Pre-1990, still listed",IF(AND(U457="",AA457&lt;0),"Past 30-yr mark (verify)",IF(AND(U457="",AA457&lt;=Scoring!$B$5),"30-yr mark: notice window (est.)",IF(AND(O457&gt;=Scoring!$B$7,O457&lt;=Scoring!$B$8),"Year-15 window",IF(O457&gt;=Scoring!$B$9,"Recap window",IF(O457&gt;=11,"Late compliance","Credit period"))))))))))))</f>
        <v>Recap window</v>
      </c>
      <c r="E457" s="15" t="s">
        <v>1695</v>
      </c>
      <c r="F457" s="15" t="s">
        <v>1696</v>
      </c>
      <c r="G457" s="15" t="s">
        <v>1697</v>
      </c>
      <c r="H457" s="15" t="s">
        <v>97</v>
      </c>
      <c r="I457" s="15" t="s">
        <v>260</v>
      </c>
      <c r="J457" s="15" t="n">
        <v>29</v>
      </c>
      <c r="K457" s="15" t="n">
        <v>28</v>
      </c>
      <c r="L457" s="15" t="n">
        <f aca="false">IF(OR(J457="",K457=""),"",MAX(J457-K457,0))</f>
        <v>1</v>
      </c>
      <c r="M457" s="15" t="s">
        <v>99</v>
      </c>
      <c r="N457" s="17" t="n">
        <v>2003</v>
      </c>
      <c r="O457" s="15" t="n">
        <f aca="false">IF(N457="","",Scoring!$B$4-N457)</f>
        <v>23</v>
      </c>
      <c r="P457" s="15" t="n">
        <f aca="false">IF(N457="","",N457+14)</f>
        <v>2017</v>
      </c>
      <c r="Q457" s="15" t="n">
        <f aca="false">IF(N457="","",IF(N457&lt;Scoring!$B$12,"n/a (pre-1990)",N457+Scoring!$B$13))</f>
        <v>2032</v>
      </c>
      <c r="R457" s="15" t="str">
        <f aca="false">IF(J457="","Unknown",IF(J457&gt;=5,"Yes","No (under 5 units)"))</f>
        <v>Yes</v>
      </c>
      <c r="S457" s="15"/>
      <c r="T457" s="18"/>
      <c r="U457" s="19"/>
      <c r="V457" s="18"/>
      <c r="W457" s="18"/>
      <c r="X457" s="20"/>
      <c r="Y457" s="18"/>
      <c r="Z457" s="18"/>
      <c r="AA457" s="21" t="n">
        <f aca="false">IF(U457&lt;&gt;"",(U457-Scoring!$B$3)/365.25,IF(N457="","",IF(N457&lt;Scoring!$B$12,"",(DATE(N457+Scoring!$B$13,12,31)-Scoring!$B$3)/365.25)))</f>
        <v>6.24777549623546</v>
      </c>
      <c r="AB457" s="22" t="n">
        <f aca="false">IF(T457="Y",0,IF(OR(D457="Expired (verified)",D457="Expiring: notice window (verified)",D457="Expiring: 10-yr horizon (verified)",D457="Past 30-yr mark (verify)",D457="30-yr mark: notice window (est.)",D457="Year-15 window"),1,0)+IF(ISNUMBER(O457),IF(O457&gt;=Scoring!$B$10,1,0),0)+IF(AND(ISNUMBER(L457),ISNUMBER(J457)),IF(J457&gt;0,IF(L457/J457&gt;=Scoring!$B$11,1,0),0),0)+IF(ISNUMBER(Z457),MIN(Z457,3),0))</f>
        <v>1</v>
      </c>
      <c r="AC457" s="22" t="n">
        <f aca="false">IF(AB457&gt;=3,Scoring!$C$24,IF(AB457=2,Scoring!$C$23,IF(AB457=1,Scoring!$C$22,0)))</f>
        <v>10</v>
      </c>
      <c r="AD457" s="22" t="n">
        <f aca="false">IF(T457="Y",0,IF(ISNUMBER(X457),IF(X457&gt;0.7,Scoring!$C$25,IF(X457&gt;=0.5,Scoring!$C$26,IF(X457&gt;=0.3,Scoring!$C$27,Scoring!$C$28))),Scoring!$C$29))</f>
        <v>10</v>
      </c>
      <c r="AE457" s="22" t="n">
        <f aca="false">IF(D457="Expiring: notice window (verified)",Scoring!$C$30,IF(OR(D457="Expired (verified)",D457="30-yr mark: notice window (est.)",D457="Year-15 window"),Scoring!$C$31,IF(D457="Expiring: 10-yr horizon (verified)",Scoring!$C$32,IF(D457="Past 30-yr mark (verify)",Scoring!$C$33,IF(OR(D457="Credit period",D457="Superseded record"),Scoring!$C$35,Scoring!$C$34)))))</f>
        <v>4</v>
      </c>
      <c r="AF457" s="22" t="n">
        <f aca="false">IF(T457="Y",0,IF(ISNUMBER(V457),IF(Scoring!$B$4-V457&gt;15,Scoring!$C$36,IF(Scoring!$B$4-V457&gt;=10,Scoring!$C$37,IF(Scoring!$B$4-V457&gt;=5,Scoring!$C$38,Scoring!$C$39))),IF(OR(N457="",D457="Out of program"),Scoring!$C$40,IF(O457&gt;15,Scoring!$C$36,IF(O457&gt;=10,Scoring!$C$37,IF(O457&gt;=5,Scoring!$C$38,Scoring!$C$39))))))</f>
        <v>15</v>
      </c>
      <c r="AG457" s="22" t="n">
        <f aca="false">IF(T457="Y",0,IF(Y457="Y",Scoring!$C$41,IF(ISNUMBER(O457),IF(O457&gt;=25,Scoring!$C$42,IF(O457&gt;=15,Scoring!$C$43,Scoring!$C$44)),Scoring!$C$44)))</f>
        <v>5</v>
      </c>
      <c r="AH457" s="22" t="n">
        <f aca="false">IF(T457="Y",0,IF(W457="",Scoring!$C$49,IFERROR(VLOOKUP(W457,Scoring!$B$45:$C$48,2,FALSE()),Scoring!$C$49)))</f>
        <v>5</v>
      </c>
      <c r="AI457" s="23" t="n">
        <f aca="false">C457+IF(ISNUMBER(J457),J457,0)/100000+(10000-ROW())/1000000000</f>
        <v>49.000299543</v>
      </c>
      <c r="AJ457" s="18"/>
      <c r="AK457" s="18"/>
      <c r="AL457" s="18"/>
      <c r="AM457" s="18"/>
    </row>
    <row r="458" customFormat="false" ht="15" hidden="false" customHeight="false" outlineLevel="0" collapsed="false">
      <c r="A458" s="15" t="n">
        <f aca="false">RANK(AI458,$AI$2:$AI$755)</f>
        <v>457</v>
      </c>
      <c r="B458" s="16" t="str">
        <f aca="false">IF(T458="Y","Superseded",IF(C458&gt;=Scoring!$B$16,"Immediate",IF(C458&gt;=Scoring!$B$17,"This week",IF(C458&gt;=Scoring!$B$18,"Nurture","Low"))))</f>
        <v>Nurture</v>
      </c>
      <c r="C458" s="3" t="n">
        <f aca="false">SUM(AC458:AH458)</f>
        <v>49</v>
      </c>
      <c r="D458" s="15" t="str">
        <f aca="false">IF(T458="Y","Superseded record",IF(AND(U458&lt;&gt;"",AA458&lt;0),"Expired (verified)",IF(AND(U458&lt;&gt;"",AA458&lt;=Scoring!$B$5),"Expiring: notice window (verified)",IF(AND(U458&lt;&gt;"",AA458&lt;=Scoring!$B$6),"Expiring: 10-yr horizon (verified)",IF(M458="No Longer Monitored","Out of program",IF(N458="","Unknown vintage",IF(N458&lt;Scoring!$B$12,"Pre-1990, still listed",IF(AND(U458="",AA458&lt;0),"Past 30-yr mark (verify)",IF(AND(U458="",AA458&lt;=Scoring!$B$5),"30-yr mark: notice window (est.)",IF(AND(O458&gt;=Scoring!$B$7,O458&lt;=Scoring!$B$8),"Year-15 window",IF(O458&gt;=Scoring!$B$9,"Recap window",IF(O458&gt;=11,"Late compliance","Credit period"))))))))))))</f>
        <v>Recap window</v>
      </c>
      <c r="E458" s="15" t="s">
        <v>1698</v>
      </c>
      <c r="F458" s="15" t="s">
        <v>1699</v>
      </c>
      <c r="G458" s="15" t="s">
        <v>1700</v>
      </c>
      <c r="H458" s="15" t="s">
        <v>1701</v>
      </c>
      <c r="I458" s="15" t="s">
        <v>1702</v>
      </c>
      <c r="J458" s="15" t="n">
        <v>28</v>
      </c>
      <c r="K458" s="15" t="n">
        <v>27</v>
      </c>
      <c r="L458" s="15" t="n">
        <f aca="false">IF(OR(J458="",K458=""),"",MAX(J458-K458,0))</f>
        <v>1</v>
      </c>
      <c r="M458" s="15" t="s">
        <v>99</v>
      </c>
      <c r="N458" s="17" t="n">
        <v>2003</v>
      </c>
      <c r="O458" s="15" t="n">
        <f aca="false">IF(N458="","",Scoring!$B$4-N458)</f>
        <v>23</v>
      </c>
      <c r="P458" s="15" t="n">
        <f aca="false">IF(N458="","",N458+14)</f>
        <v>2017</v>
      </c>
      <c r="Q458" s="15" t="n">
        <f aca="false">IF(N458="","",IF(N458&lt;Scoring!$B$12,"n/a (pre-1990)",N458+Scoring!$B$13))</f>
        <v>2032</v>
      </c>
      <c r="R458" s="15" t="str">
        <f aca="false">IF(J458="","Unknown",IF(J458&gt;=5,"Yes","No (under 5 units)"))</f>
        <v>Yes</v>
      </c>
      <c r="S458" s="15"/>
      <c r="T458" s="18"/>
      <c r="U458" s="19"/>
      <c r="V458" s="18"/>
      <c r="W458" s="18"/>
      <c r="X458" s="20"/>
      <c r="Y458" s="18"/>
      <c r="Z458" s="18"/>
      <c r="AA458" s="21" t="n">
        <f aca="false">IF(U458&lt;&gt;"",(U458-Scoring!$B$3)/365.25,IF(N458="","",IF(N458&lt;Scoring!$B$12,"",(DATE(N458+Scoring!$B$13,12,31)-Scoring!$B$3)/365.25)))</f>
        <v>6.24777549623546</v>
      </c>
      <c r="AB458" s="22" t="n">
        <f aca="false">IF(T458="Y",0,IF(OR(D458="Expired (verified)",D458="Expiring: notice window (verified)",D458="Expiring: 10-yr horizon (verified)",D458="Past 30-yr mark (verify)",D458="30-yr mark: notice window (est.)",D458="Year-15 window"),1,0)+IF(ISNUMBER(O458),IF(O458&gt;=Scoring!$B$10,1,0),0)+IF(AND(ISNUMBER(L458),ISNUMBER(J458)),IF(J458&gt;0,IF(L458/J458&gt;=Scoring!$B$11,1,0),0),0)+IF(ISNUMBER(Z458),MIN(Z458,3),0))</f>
        <v>1</v>
      </c>
      <c r="AC458" s="22" t="n">
        <f aca="false">IF(AB458&gt;=3,Scoring!$C$24,IF(AB458=2,Scoring!$C$23,IF(AB458=1,Scoring!$C$22,0)))</f>
        <v>10</v>
      </c>
      <c r="AD458" s="22" t="n">
        <f aca="false">IF(T458="Y",0,IF(ISNUMBER(X458),IF(X458&gt;0.7,Scoring!$C$25,IF(X458&gt;=0.5,Scoring!$C$26,IF(X458&gt;=0.3,Scoring!$C$27,Scoring!$C$28))),Scoring!$C$29))</f>
        <v>10</v>
      </c>
      <c r="AE458" s="22" t="n">
        <f aca="false">IF(D458="Expiring: notice window (verified)",Scoring!$C$30,IF(OR(D458="Expired (verified)",D458="30-yr mark: notice window (est.)",D458="Year-15 window"),Scoring!$C$31,IF(D458="Expiring: 10-yr horizon (verified)",Scoring!$C$32,IF(D458="Past 30-yr mark (verify)",Scoring!$C$33,IF(OR(D458="Credit period",D458="Superseded record"),Scoring!$C$35,Scoring!$C$34)))))</f>
        <v>4</v>
      </c>
      <c r="AF458" s="22" t="n">
        <f aca="false">IF(T458="Y",0,IF(ISNUMBER(V458),IF(Scoring!$B$4-V458&gt;15,Scoring!$C$36,IF(Scoring!$B$4-V458&gt;=10,Scoring!$C$37,IF(Scoring!$B$4-V458&gt;=5,Scoring!$C$38,Scoring!$C$39))),IF(OR(N458="",D458="Out of program"),Scoring!$C$40,IF(O458&gt;15,Scoring!$C$36,IF(O458&gt;=10,Scoring!$C$37,IF(O458&gt;=5,Scoring!$C$38,Scoring!$C$39))))))</f>
        <v>15</v>
      </c>
      <c r="AG458" s="22" t="n">
        <f aca="false">IF(T458="Y",0,IF(Y458="Y",Scoring!$C$41,IF(ISNUMBER(O458),IF(O458&gt;=25,Scoring!$C$42,IF(O458&gt;=15,Scoring!$C$43,Scoring!$C$44)),Scoring!$C$44)))</f>
        <v>5</v>
      </c>
      <c r="AH458" s="22" t="n">
        <f aca="false">IF(T458="Y",0,IF(W458="",Scoring!$C$49,IFERROR(VLOOKUP(W458,Scoring!$B$45:$C$48,2,FALSE()),Scoring!$C$49)))</f>
        <v>5</v>
      </c>
      <c r="AI458" s="23" t="n">
        <f aca="false">C458+IF(ISNUMBER(J458),J458,0)/100000+(10000-ROW())/1000000000</f>
        <v>49.000289542</v>
      </c>
      <c r="AJ458" s="18"/>
      <c r="AK458" s="18"/>
      <c r="AL458" s="18"/>
      <c r="AM458" s="18"/>
    </row>
    <row r="459" customFormat="false" ht="15" hidden="false" customHeight="false" outlineLevel="0" collapsed="false">
      <c r="A459" s="15" t="n">
        <f aca="false">RANK(AI459,$AI$2:$AI$755)</f>
        <v>458</v>
      </c>
      <c r="B459" s="16" t="str">
        <f aca="false">IF(T459="Y","Superseded",IF(C459&gt;=Scoring!$B$16,"Immediate",IF(C459&gt;=Scoring!$B$17,"This week",IF(C459&gt;=Scoring!$B$18,"Nurture","Low"))))</f>
        <v>Nurture</v>
      </c>
      <c r="C459" s="3" t="n">
        <f aca="false">SUM(AC459:AH459)</f>
        <v>49</v>
      </c>
      <c r="D459" s="15" t="str">
        <f aca="false">IF(T459="Y","Superseded record",IF(AND(U459&lt;&gt;"",AA459&lt;0),"Expired (verified)",IF(AND(U459&lt;&gt;"",AA459&lt;=Scoring!$B$5),"Expiring: notice window (verified)",IF(AND(U459&lt;&gt;"",AA459&lt;=Scoring!$B$6),"Expiring: 10-yr horizon (verified)",IF(M459="No Longer Monitored","Out of program",IF(N459="","Unknown vintage",IF(N459&lt;Scoring!$B$12,"Pre-1990, still listed",IF(AND(U459="",AA459&lt;0),"Past 30-yr mark (verify)",IF(AND(U459="",AA459&lt;=Scoring!$B$5),"30-yr mark: notice window (est.)",IF(AND(O459&gt;=Scoring!$B$7,O459&lt;=Scoring!$B$8),"Year-15 window",IF(O459&gt;=Scoring!$B$9,"Recap window",IF(O459&gt;=11,"Late compliance","Credit period"))))))))))))</f>
        <v>Recap window</v>
      </c>
      <c r="E459" s="15" t="s">
        <v>1703</v>
      </c>
      <c r="F459" s="15" t="s">
        <v>1704</v>
      </c>
      <c r="G459" s="15" t="s">
        <v>1705</v>
      </c>
      <c r="H459" s="15" t="s">
        <v>1706</v>
      </c>
      <c r="I459" s="15" t="s">
        <v>1707</v>
      </c>
      <c r="J459" s="15" t="n">
        <v>28</v>
      </c>
      <c r="K459" s="15" t="n">
        <v>27</v>
      </c>
      <c r="L459" s="15" t="n">
        <f aca="false">IF(OR(J459="",K459=""),"",MAX(J459-K459,0))</f>
        <v>1</v>
      </c>
      <c r="M459" s="15" t="s">
        <v>99</v>
      </c>
      <c r="N459" s="17" t="n">
        <v>2005</v>
      </c>
      <c r="O459" s="15" t="n">
        <f aca="false">IF(N459="","",Scoring!$B$4-N459)</f>
        <v>21</v>
      </c>
      <c r="P459" s="15" t="n">
        <f aca="false">IF(N459="","",N459+14)</f>
        <v>2019</v>
      </c>
      <c r="Q459" s="15" t="n">
        <f aca="false">IF(N459="","",IF(N459&lt;Scoring!$B$12,"n/a (pre-1990)",N459+Scoring!$B$13))</f>
        <v>2034</v>
      </c>
      <c r="R459" s="15" t="str">
        <f aca="false">IF(J459="","Unknown",IF(J459&gt;=5,"Yes","No (under 5 units)"))</f>
        <v>Yes</v>
      </c>
      <c r="S459" s="15"/>
      <c r="T459" s="18"/>
      <c r="U459" s="19"/>
      <c r="V459" s="18"/>
      <c r="W459" s="18"/>
      <c r="X459" s="20"/>
      <c r="Y459" s="18"/>
      <c r="Z459" s="18"/>
      <c r="AA459" s="21" t="n">
        <f aca="false">IF(U459&lt;&gt;"",(U459-Scoring!$B$3)/365.25,IF(N459="","",IF(N459&lt;Scoring!$B$12,"",(DATE(N459+Scoring!$B$13,12,31)-Scoring!$B$3)/365.25)))</f>
        <v>8.24640657084189</v>
      </c>
      <c r="AB459" s="22" t="n">
        <f aca="false">IF(T459="Y",0,IF(OR(D459="Expired (verified)",D459="Expiring: notice window (verified)",D459="Expiring: 10-yr horizon (verified)",D459="Past 30-yr mark (verify)",D459="30-yr mark: notice window (est.)",D459="Year-15 window"),1,0)+IF(ISNUMBER(O459),IF(O459&gt;=Scoring!$B$10,1,0),0)+IF(AND(ISNUMBER(L459),ISNUMBER(J459)),IF(J459&gt;0,IF(L459/J459&gt;=Scoring!$B$11,1,0),0),0)+IF(ISNUMBER(Z459),MIN(Z459,3),0))</f>
        <v>1</v>
      </c>
      <c r="AC459" s="22" t="n">
        <f aca="false">IF(AB459&gt;=3,Scoring!$C$24,IF(AB459=2,Scoring!$C$23,IF(AB459=1,Scoring!$C$22,0)))</f>
        <v>10</v>
      </c>
      <c r="AD459" s="22" t="n">
        <f aca="false">IF(T459="Y",0,IF(ISNUMBER(X459),IF(X459&gt;0.7,Scoring!$C$25,IF(X459&gt;=0.5,Scoring!$C$26,IF(X459&gt;=0.3,Scoring!$C$27,Scoring!$C$28))),Scoring!$C$29))</f>
        <v>10</v>
      </c>
      <c r="AE459" s="22" t="n">
        <f aca="false">IF(D459="Expiring: notice window (verified)",Scoring!$C$30,IF(OR(D459="Expired (verified)",D459="30-yr mark: notice window (est.)",D459="Year-15 window"),Scoring!$C$31,IF(D459="Expiring: 10-yr horizon (verified)",Scoring!$C$32,IF(D459="Past 30-yr mark (verify)",Scoring!$C$33,IF(OR(D459="Credit period",D459="Superseded record"),Scoring!$C$35,Scoring!$C$34)))))</f>
        <v>4</v>
      </c>
      <c r="AF459" s="22" t="n">
        <f aca="false">IF(T459="Y",0,IF(ISNUMBER(V459),IF(Scoring!$B$4-V459&gt;15,Scoring!$C$36,IF(Scoring!$B$4-V459&gt;=10,Scoring!$C$37,IF(Scoring!$B$4-V459&gt;=5,Scoring!$C$38,Scoring!$C$39))),IF(OR(N459="",D459="Out of program"),Scoring!$C$40,IF(O459&gt;15,Scoring!$C$36,IF(O459&gt;=10,Scoring!$C$37,IF(O459&gt;=5,Scoring!$C$38,Scoring!$C$39))))))</f>
        <v>15</v>
      </c>
      <c r="AG459" s="22" t="n">
        <f aca="false">IF(T459="Y",0,IF(Y459="Y",Scoring!$C$41,IF(ISNUMBER(O459),IF(O459&gt;=25,Scoring!$C$42,IF(O459&gt;=15,Scoring!$C$43,Scoring!$C$44)),Scoring!$C$44)))</f>
        <v>5</v>
      </c>
      <c r="AH459" s="22" t="n">
        <f aca="false">IF(T459="Y",0,IF(W459="",Scoring!$C$49,IFERROR(VLOOKUP(W459,Scoring!$B$45:$C$48,2,FALSE()),Scoring!$C$49)))</f>
        <v>5</v>
      </c>
      <c r="AI459" s="23" t="n">
        <f aca="false">C459+IF(ISNUMBER(J459),J459,0)/100000+(10000-ROW())/1000000000</f>
        <v>49.000289541</v>
      </c>
      <c r="AJ459" s="18"/>
      <c r="AK459" s="18"/>
      <c r="AL459" s="18"/>
      <c r="AM459" s="18"/>
    </row>
    <row r="460" customFormat="false" ht="15" hidden="false" customHeight="false" outlineLevel="0" collapsed="false">
      <c r="A460" s="15" t="n">
        <f aca="false">RANK(AI460,$AI$2:$AI$755)</f>
        <v>459</v>
      </c>
      <c r="B460" s="16" t="str">
        <f aca="false">IF(T460="Y","Superseded",IF(C460&gt;=Scoring!$B$16,"Immediate",IF(C460&gt;=Scoring!$B$17,"This week",IF(C460&gt;=Scoring!$B$18,"Nurture","Low"))))</f>
        <v>Nurture</v>
      </c>
      <c r="C460" s="3" t="n">
        <f aca="false">SUM(AC460:AH460)</f>
        <v>49</v>
      </c>
      <c r="D460" s="15" t="str">
        <f aca="false">IF(T460="Y","Superseded record",IF(AND(U460&lt;&gt;"",AA460&lt;0),"Expired (verified)",IF(AND(U460&lt;&gt;"",AA460&lt;=Scoring!$B$5),"Expiring: notice window (verified)",IF(AND(U460&lt;&gt;"",AA460&lt;=Scoring!$B$6),"Expiring: 10-yr horizon (verified)",IF(M460="No Longer Monitored","Out of program",IF(N460="","Unknown vintage",IF(N460&lt;Scoring!$B$12,"Pre-1990, still listed",IF(AND(U460="",AA460&lt;0),"Past 30-yr mark (verify)",IF(AND(U460="",AA460&lt;=Scoring!$B$5),"30-yr mark: notice window (est.)",IF(AND(O460&gt;=Scoring!$B$7,O460&lt;=Scoring!$B$8),"Year-15 window",IF(O460&gt;=Scoring!$B$9,"Recap window",IF(O460&gt;=11,"Late compliance","Credit period"))))))))))))</f>
        <v>Recap window</v>
      </c>
      <c r="E460" s="15" t="s">
        <v>1708</v>
      </c>
      <c r="F460" s="15" t="s">
        <v>1709</v>
      </c>
      <c r="G460" s="15" t="s">
        <v>1710</v>
      </c>
      <c r="H460" s="15" t="s">
        <v>97</v>
      </c>
      <c r="I460" s="15" t="s">
        <v>362</v>
      </c>
      <c r="J460" s="15" t="n">
        <v>27</v>
      </c>
      <c r="K460" s="15" t="n">
        <v>26</v>
      </c>
      <c r="L460" s="15" t="n">
        <f aca="false">IF(OR(J460="",K460=""),"",MAX(J460-K460,0))</f>
        <v>1</v>
      </c>
      <c r="M460" s="15" t="s">
        <v>99</v>
      </c>
      <c r="N460" s="17" t="n">
        <v>2005</v>
      </c>
      <c r="O460" s="15" t="n">
        <f aca="false">IF(N460="","",Scoring!$B$4-N460)</f>
        <v>21</v>
      </c>
      <c r="P460" s="15" t="n">
        <f aca="false">IF(N460="","",N460+14)</f>
        <v>2019</v>
      </c>
      <c r="Q460" s="15" t="n">
        <f aca="false">IF(N460="","",IF(N460&lt;Scoring!$B$12,"n/a (pre-1990)",N460+Scoring!$B$13))</f>
        <v>2034</v>
      </c>
      <c r="R460" s="15" t="str">
        <f aca="false">IF(J460="","Unknown",IF(J460&gt;=5,"Yes","No (under 5 units)"))</f>
        <v>Yes</v>
      </c>
      <c r="S460" s="15"/>
      <c r="T460" s="18"/>
      <c r="U460" s="19"/>
      <c r="V460" s="18"/>
      <c r="W460" s="18"/>
      <c r="X460" s="20"/>
      <c r="Y460" s="18"/>
      <c r="Z460" s="18"/>
      <c r="AA460" s="21" t="n">
        <f aca="false">IF(U460&lt;&gt;"",(U460-Scoring!$B$3)/365.25,IF(N460="","",IF(N460&lt;Scoring!$B$12,"",(DATE(N460+Scoring!$B$13,12,31)-Scoring!$B$3)/365.25)))</f>
        <v>8.24640657084189</v>
      </c>
      <c r="AB460" s="22" t="n">
        <f aca="false">IF(T460="Y",0,IF(OR(D460="Expired (verified)",D460="Expiring: notice window (verified)",D460="Expiring: 10-yr horizon (verified)",D460="Past 30-yr mark (verify)",D460="30-yr mark: notice window (est.)",D460="Year-15 window"),1,0)+IF(ISNUMBER(O460),IF(O460&gt;=Scoring!$B$10,1,0),0)+IF(AND(ISNUMBER(L460),ISNUMBER(J460)),IF(J460&gt;0,IF(L460/J460&gt;=Scoring!$B$11,1,0),0),0)+IF(ISNUMBER(Z460),MIN(Z460,3),0))</f>
        <v>1</v>
      </c>
      <c r="AC460" s="22" t="n">
        <f aca="false">IF(AB460&gt;=3,Scoring!$C$24,IF(AB460=2,Scoring!$C$23,IF(AB460=1,Scoring!$C$22,0)))</f>
        <v>10</v>
      </c>
      <c r="AD460" s="22" t="n">
        <f aca="false">IF(T460="Y",0,IF(ISNUMBER(X460),IF(X460&gt;0.7,Scoring!$C$25,IF(X460&gt;=0.5,Scoring!$C$26,IF(X460&gt;=0.3,Scoring!$C$27,Scoring!$C$28))),Scoring!$C$29))</f>
        <v>10</v>
      </c>
      <c r="AE460" s="22" t="n">
        <f aca="false">IF(D460="Expiring: notice window (verified)",Scoring!$C$30,IF(OR(D460="Expired (verified)",D460="30-yr mark: notice window (est.)",D460="Year-15 window"),Scoring!$C$31,IF(D460="Expiring: 10-yr horizon (verified)",Scoring!$C$32,IF(D460="Past 30-yr mark (verify)",Scoring!$C$33,IF(OR(D460="Credit period",D460="Superseded record"),Scoring!$C$35,Scoring!$C$34)))))</f>
        <v>4</v>
      </c>
      <c r="AF460" s="22" t="n">
        <f aca="false">IF(T460="Y",0,IF(ISNUMBER(V460),IF(Scoring!$B$4-V460&gt;15,Scoring!$C$36,IF(Scoring!$B$4-V460&gt;=10,Scoring!$C$37,IF(Scoring!$B$4-V460&gt;=5,Scoring!$C$38,Scoring!$C$39))),IF(OR(N460="",D460="Out of program"),Scoring!$C$40,IF(O460&gt;15,Scoring!$C$36,IF(O460&gt;=10,Scoring!$C$37,IF(O460&gt;=5,Scoring!$C$38,Scoring!$C$39))))))</f>
        <v>15</v>
      </c>
      <c r="AG460" s="22" t="n">
        <f aca="false">IF(T460="Y",0,IF(Y460="Y",Scoring!$C$41,IF(ISNUMBER(O460),IF(O460&gt;=25,Scoring!$C$42,IF(O460&gt;=15,Scoring!$C$43,Scoring!$C$44)),Scoring!$C$44)))</f>
        <v>5</v>
      </c>
      <c r="AH460" s="22" t="n">
        <f aca="false">IF(T460="Y",0,IF(W460="",Scoring!$C$49,IFERROR(VLOOKUP(W460,Scoring!$B$45:$C$48,2,FALSE()),Scoring!$C$49)))</f>
        <v>5</v>
      </c>
      <c r="AI460" s="23" t="n">
        <f aca="false">C460+IF(ISNUMBER(J460),J460,0)/100000+(10000-ROW())/1000000000</f>
        <v>49.00027954</v>
      </c>
      <c r="AJ460" s="18"/>
      <c r="AK460" s="18"/>
      <c r="AL460" s="18"/>
      <c r="AM460" s="18"/>
    </row>
    <row r="461" customFormat="false" ht="15" hidden="false" customHeight="false" outlineLevel="0" collapsed="false">
      <c r="A461" s="15" t="n">
        <f aca="false">RANK(AI461,$AI$2:$AI$755)</f>
        <v>460</v>
      </c>
      <c r="B461" s="16" t="str">
        <f aca="false">IF(T461="Y","Superseded",IF(C461&gt;=Scoring!$B$16,"Immediate",IF(C461&gt;=Scoring!$B$17,"This week",IF(C461&gt;=Scoring!$B$18,"Nurture","Low"))))</f>
        <v>Nurture</v>
      </c>
      <c r="C461" s="3" t="n">
        <f aca="false">SUM(AC461:AH461)</f>
        <v>49</v>
      </c>
      <c r="D461" s="15" t="str">
        <f aca="false">IF(T461="Y","Superseded record",IF(AND(U461&lt;&gt;"",AA461&lt;0),"Expired (verified)",IF(AND(U461&lt;&gt;"",AA461&lt;=Scoring!$B$5),"Expiring: notice window (verified)",IF(AND(U461&lt;&gt;"",AA461&lt;=Scoring!$B$6),"Expiring: 10-yr horizon (verified)",IF(M461="No Longer Monitored","Out of program",IF(N461="","Unknown vintage",IF(N461&lt;Scoring!$B$12,"Pre-1990, still listed",IF(AND(U461="",AA461&lt;0),"Past 30-yr mark (verify)",IF(AND(U461="",AA461&lt;=Scoring!$B$5),"30-yr mark: notice window (est.)",IF(AND(O461&gt;=Scoring!$B$7,O461&lt;=Scoring!$B$8),"Year-15 window",IF(O461&gt;=Scoring!$B$9,"Recap window",IF(O461&gt;=11,"Late compliance","Credit period"))))))))))))</f>
        <v>Recap window</v>
      </c>
      <c r="E461" s="15" t="s">
        <v>1711</v>
      </c>
      <c r="F461" s="15" t="s">
        <v>1712</v>
      </c>
      <c r="G461" s="15" t="s">
        <v>1713</v>
      </c>
      <c r="H461" s="15" t="s">
        <v>275</v>
      </c>
      <c r="I461" s="15" t="s">
        <v>276</v>
      </c>
      <c r="J461" s="15" t="n">
        <v>26</v>
      </c>
      <c r="K461" s="15" t="n">
        <v>25</v>
      </c>
      <c r="L461" s="15" t="n">
        <f aca="false">IF(OR(J461="",K461=""),"",MAX(J461-K461,0))</f>
        <v>1</v>
      </c>
      <c r="M461" s="15" t="s">
        <v>99</v>
      </c>
      <c r="N461" s="17" t="n">
        <v>2002</v>
      </c>
      <c r="O461" s="15" t="n">
        <f aca="false">IF(N461="","",Scoring!$B$4-N461)</f>
        <v>24</v>
      </c>
      <c r="P461" s="15" t="n">
        <f aca="false">IF(N461="","",N461+14)</f>
        <v>2016</v>
      </c>
      <c r="Q461" s="15" t="n">
        <f aca="false">IF(N461="","",IF(N461&lt;Scoring!$B$12,"n/a (pre-1990)",N461+Scoring!$B$13))</f>
        <v>2031</v>
      </c>
      <c r="R461" s="15" t="str">
        <f aca="false">IF(J461="","Unknown",IF(J461&gt;=5,"Yes","No (under 5 units)"))</f>
        <v>Yes</v>
      </c>
      <c r="S461" s="15"/>
      <c r="T461" s="18"/>
      <c r="U461" s="19"/>
      <c r="V461" s="18"/>
      <c r="W461" s="18"/>
      <c r="X461" s="20"/>
      <c r="Y461" s="18"/>
      <c r="Z461" s="18"/>
      <c r="AA461" s="21" t="n">
        <f aca="false">IF(U461&lt;&gt;"",(U461-Scoring!$B$3)/365.25,IF(N461="","",IF(N461&lt;Scoring!$B$12,"",(DATE(N461+Scoring!$B$13,12,31)-Scoring!$B$3)/365.25)))</f>
        <v>5.24572210814511</v>
      </c>
      <c r="AB461" s="22" t="n">
        <f aca="false">IF(T461="Y",0,IF(OR(D461="Expired (verified)",D461="Expiring: notice window (verified)",D461="Expiring: 10-yr horizon (verified)",D461="Past 30-yr mark (verify)",D461="30-yr mark: notice window (est.)",D461="Year-15 window"),1,0)+IF(ISNUMBER(O461),IF(O461&gt;=Scoring!$B$10,1,0),0)+IF(AND(ISNUMBER(L461),ISNUMBER(J461)),IF(J461&gt;0,IF(L461/J461&gt;=Scoring!$B$11,1,0),0),0)+IF(ISNUMBER(Z461),MIN(Z461,3),0))</f>
        <v>1</v>
      </c>
      <c r="AC461" s="22" t="n">
        <f aca="false">IF(AB461&gt;=3,Scoring!$C$24,IF(AB461=2,Scoring!$C$23,IF(AB461=1,Scoring!$C$22,0)))</f>
        <v>10</v>
      </c>
      <c r="AD461" s="22" t="n">
        <f aca="false">IF(T461="Y",0,IF(ISNUMBER(X461),IF(X461&gt;0.7,Scoring!$C$25,IF(X461&gt;=0.5,Scoring!$C$26,IF(X461&gt;=0.3,Scoring!$C$27,Scoring!$C$28))),Scoring!$C$29))</f>
        <v>10</v>
      </c>
      <c r="AE461" s="22" t="n">
        <f aca="false">IF(D461="Expiring: notice window (verified)",Scoring!$C$30,IF(OR(D461="Expired (verified)",D461="30-yr mark: notice window (est.)",D461="Year-15 window"),Scoring!$C$31,IF(D461="Expiring: 10-yr horizon (verified)",Scoring!$C$32,IF(D461="Past 30-yr mark (verify)",Scoring!$C$33,IF(OR(D461="Credit period",D461="Superseded record"),Scoring!$C$35,Scoring!$C$34)))))</f>
        <v>4</v>
      </c>
      <c r="AF461" s="22" t="n">
        <f aca="false">IF(T461="Y",0,IF(ISNUMBER(V461),IF(Scoring!$B$4-V461&gt;15,Scoring!$C$36,IF(Scoring!$B$4-V461&gt;=10,Scoring!$C$37,IF(Scoring!$B$4-V461&gt;=5,Scoring!$C$38,Scoring!$C$39))),IF(OR(N461="",D461="Out of program"),Scoring!$C$40,IF(O461&gt;15,Scoring!$C$36,IF(O461&gt;=10,Scoring!$C$37,IF(O461&gt;=5,Scoring!$C$38,Scoring!$C$39))))))</f>
        <v>15</v>
      </c>
      <c r="AG461" s="22" t="n">
        <f aca="false">IF(T461="Y",0,IF(Y461="Y",Scoring!$C$41,IF(ISNUMBER(O461),IF(O461&gt;=25,Scoring!$C$42,IF(O461&gt;=15,Scoring!$C$43,Scoring!$C$44)),Scoring!$C$44)))</f>
        <v>5</v>
      </c>
      <c r="AH461" s="22" t="n">
        <f aca="false">IF(T461="Y",0,IF(W461="",Scoring!$C$49,IFERROR(VLOOKUP(W461,Scoring!$B$45:$C$48,2,FALSE()),Scoring!$C$49)))</f>
        <v>5</v>
      </c>
      <c r="AI461" s="23" t="n">
        <f aca="false">C461+IF(ISNUMBER(J461),J461,0)/100000+(10000-ROW())/1000000000</f>
        <v>49.000269539</v>
      </c>
      <c r="AJ461" s="18"/>
      <c r="AK461" s="18"/>
      <c r="AL461" s="18"/>
      <c r="AM461" s="18"/>
    </row>
    <row r="462" customFormat="false" ht="15" hidden="false" customHeight="false" outlineLevel="0" collapsed="false">
      <c r="A462" s="15" t="n">
        <f aca="false">RANK(AI462,$AI$2:$AI$755)</f>
        <v>461</v>
      </c>
      <c r="B462" s="16" t="str">
        <f aca="false">IF(T462="Y","Superseded",IF(C462&gt;=Scoring!$B$16,"Immediate",IF(C462&gt;=Scoring!$B$17,"This week",IF(C462&gt;=Scoring!$B$18,"Nurture","Low"))))</f>
        <v>Nurture</v>
      </c>
      <c r="C462" s="3" t="n">
        <f aca="false">SUM(AC462:AH462)</f>
        <v>49</v>
      </c>
      <c r="D462" s="15" t="str">
        <f aca="false">IF(T462="Y","Superseded record",IF(AND(U462&lt;&gt;"",AA462&lt;0),"Expired (verified)",IF(AND(U462&lt;&gt;"",AA462&lt;=Scoring!$B$5),"Expiring: notice window (verified)",IF(AND(U462&lt;&gt;"",AA462&lt;=Scoring!$B$6),"Expiring: 10-yr horizon (verified)",IF(M462="No Longer Monitored","Out of program",IF(N462="","Unknown vintage",IF(N462&lt;Scoring!$B$12,"Pre-1990, still listed",IF(AND(U462="",AA462&lt;0),"Past 30-yr mark (verify)",IF(AND(U462="",AA462&lt;=Scoring!$B$5),"30-yr mark: notice window (est.)",IF(AND(O462&gt;=Scoring!$B$7,O462&lt;=Scoring!$B$8),"Year-15 window",IF(O462&gt;=Scoring!$B$9,"Recap window",IF(O462&gt;=11,"Late compliance","Credit period"))))))))))))</f>
        <v>Recap window</v>
      </c>
      <c r="E462" s="15" t="s">
        <v>1714</v>
      </c>
      <c r="F462" s="15" t="s">
        <v>1715</v>
      </c>
      <c r="G462" s="15" t="s">
        <v>1716</v>
      </c>
      <c r="H462" s="15" t="s">
        <v>473</v>
      </c>
      <c r="I462" s="15" t="s">
        <v>510</v>
      </c>
      <c r="J462" s="15" t="n">
        <v>26</v>
      </c>
      <c r="K462" s="15" t="n">
        <v>26</v>
      </c>
      <c r="L462" s="15" t="n">
        <f aca="false">IF(OR(J462="",K462=""),"",MAX(J462-K462,0))</f>
        <v>0</v>
      </c>
      <c r="M462" s="15" t="s">
        <v>99</v>
      </c>
      <c r="N462" s="17" t="n">
        <v>2002</v>
      </c>
      <c r="O462" s="15" t="n">
        <f aca="false">IF(N462="","",Scoring!$B$4-N462)</f>
        <v>24</v>
      </c>
      <c r="P462" s="15" t="n">
        <f aca="false">IF(N462="","",N462+14)</f>
        <v>2016</v>
      </c>
      <c r="Q462" s="15" t="n">
        <f aca="false">IF(N462="","",IF(N462&lt;Scoring!$B$12,"n/a (pre-1990)",N462+Scoring!$B$13))</f>
        <v>2031</v>
      </c>
      <c r="R462" s="15" t="str">
        <f aca="false">IF(J462="","Unknown",IF(J462&gt;=5,"Yes","No (under 5 units)"))</f>
        <v>Yes</v>
      </c>
      <c r="S462" s="15"/>
      <c r="T462" s="18"/>
      <c r="U462" s="19"/>
      <c r="V462" s="18"/>
      <c r="W462" s="18"/>
      <c r="X462" s="20"/>
      <c r="Y462" s="18"/>
      <c r="Z462" s="18"/>
      <c r="AA462" s="21" t="n">
        <f aca="false">IF(U462&lt;&gt;"",(U462-Scoring!$B$3)/365.25,IF(N462="","",IF(N462&lt;Scoring!$B$12,"",(DATE(N462+Scoring!$B$13,12,31)-Scoring!$B$3)/365.25)))</f>
        <v>5.24572210814511</v>
      </c>
      <c r="AB462" s="22" t="n">
        <f aca="false">IF(T462="Y",0,IF(OR(D462="Expired (verified)",D462="Expiring: notice window (verified)",D462="Expiring: 10-yr horizon (verified)",D462="Past 30-yr mark (verify)",D462="30-yr mark: notice window (est.)",D462="Year-15 window"),1,0)+IF(ISNUMBER(O462),IF(O462&gt;=Scoring!$B$10,1,0),0)+IF(AND(ISNUMBER(L462),ISNUMBER(J462)),IF(J462&gt;0,IF(L462/J462&gt;=Scoring!$B$11,1,0),0),0)+IF(ISNUMBER(Z462),MIN(Z462,3),0))</f>
        <v>1</v>
      </c>
      <c r="AC462" s="22" t="n">
        <f aca="false">IF(AB462&gt;=3,Scoring!$C$24,IF(AB462=2,Scoring!$C$23,IF(AB462=1,Scoring!$C$22,0)))</f>
        <v>10</v>
      </c>
      <c r="AD462" s="22" t="n">
        <f aca="false">IF(T462="Y",0,IF(ISNUMBER(X462),IF(X462&gt;0.7,Scoring!$C$25,IF(X462&gt;=0.5,Scoring!$C$26,IF(X462&gt;=0.3,Scoring!$C$27,Scoring!$C$28))),Scoring!$C$29))</f>
        <v>10</v>
      </c>
      <c r="AE462" s="22" t="n">
        <f aca="false">IF(D462="Expiring: notice window (verified)",Scoring!$C$30,IF(OR(D462="Expired (verified)",D462="30-yr mark: notice window (est.)",D462="Year-15 window"),Scoring!$C$31,IF(D462="Expiring: 10-yr horizon (verified)",Scoring!$C$32,IF(D462="Past 30-yr mark (verify)",Scoring!$C$33,IF(OR(D462="Credit period",D462="Superseded record"),Scoring!$C$35,Scoring!$C$34)))))</f>
        <v>4</v>
      </c>
      <c r="AF462" s="22" t="n">
        <f aca="false">IF(T462="Y",0,IF(ISNUMBER(V462),IF(Scoring!$B$4-V462&gt;15,Scoring!$C$36,IF(Scoring!$B$4-V462&gt;=10,Scoring!$C$37,IF(Scoring!$B$4-V462&gt;=5,Scoring!$C$38,Scoring!$C$39))),IF(OR(N462="",D462="Out of program"),Scoring!$C$40,IF(O462&gt;15,Scoring!$C$36,IF(O462&gt;=10,Scoring!$C$37,IF(O462&gt;=5,Scoring!$C$38,Scoring!$C$39))))))</f>
        <v>15</v>
      </c>
      <c r="AG462" s="22" t="n">
        <f aca="false">IF(T462="Y",0,IF(Y462="Y",Scoring!$C$41,IF(ISNUMBER(O462),IF(O462&gt;=25,Scoring!$C$42,IF(O462&gt;=15,Scoring!$C$43,Scoring!$C$44)),Scoring!$C$44)))</f>
        <v>5</v>
      </c>
      <c r="AH462" s="22" t="n">
        <f aca="false">IF(T462="Y",0,IF(W462="",Scoring!$C$49,IFERROR(VLOOKUP(W462,Scoring!$B$45:$C$48,2,FALSE()),Scoring!$C$49)))</f>
        <v>5</v>
      </c>
      <c r="AI462" s="23" t="n">
        <f aca="false">C462+IF(ISNUMBER(J462),J462,0)/100000+(10000-ROW())/1000000000</f>
        <v>49.000269538</v>
      </c>
      <c r="AJ462" s="18"/>
      <c r="AK462" s="18"/>
      <c r="AL462" s="18"/>
      <c r="AM462" s="18"/>
    </row>
    <row r="463" customFormat="false" ht="15" hidden="false" customHeight="false" outlineLevel="0" collapsed="false">
      <c r="A463" s="15" t="n">
        <f aca="false">RANK(AI463,$AI$2:$AI$755)</f>
        <v>462</v>
      </c>
      <c r="B463" s="16" t="str">
        <f aca="false">IF(T463="Y","Superseded",IF(C463&gt;=Scoring!$B$16,"Immediate",IF(C463&gt;=Scoring!$B$17,"This week",IF(C463&gt;=Scoring!$B$18,"Nurture","Low"))))</f>
        <v>Nurture</v>
      </c>
      <c r="C463" s="3" t="n">
        <f aca="false">SUM(AC463:AH463)</f>
        <v>49</v>
      </c>
      <c r="D463" s="15" t="str">
        <f aca="false">IF(T463="Y","Superseded record",IF(AND(U463&lt;&gt;"",AA463&lt;0),"Expired (verified)",IF(AND(U463&lt;&gt;"",AA463&lt;=Scoring!$B$5),"Expiring: notice window (verified)",IF(AND(U463&lt;&gt;"",AA463&lt;=Scoring!$B$6),"Expiring: 10-yr horizon (verified)",IF(M463="No Longer Monitored","Out of program",IF(N463="","Unknown vintage",IF(N463&lt;Scoring!$B$12,"Pre-1990, still listed",IF(AND(U463="",AA463&lt;0),"Past 30-yr mark (verify)",IF(AND(U463="",AA463&lt;=Scoring!$B$5),"30-yr mark: notice window (est.)",IF(AND(O463&gt;=Scoring!$B$7,O463&lt;=Scoring!$B$8),"Year-15 window",IF(O463&gt;=Scoring!$B$9,"Recap window",IF(O463&gt;=11,"Late compliance","Credit period"))))))))))))</f>
        <v>Recap window</v>
      </c>
      <c r="E463" s="15" t="s">
        <v>1717</v>
      </c>
      <c r="F463" s="15" t="s">
        <v>1718</v>
      </c>
      <c r="G463" s="15" t="s">
        <v>1719</v>
      </c>
      <c r="H463" s="15" t="s">
        <v>311</v>
      </c>
      <c r="I463" s="15" t="s">
        <v>312</v>
      </c>
      <c r="J463" s="15" t="n">
        <v>24</v>
      </c>
      <c r="K463" s="15" t="n">
        <v>23</v>
      </c>
      <c r="L463" s="15" t="n">
        <f aca="false">IF(OR(J463="",K463=""),"",MAX(J463-K463,0))</f>
        <v>1</v>
      </c>
      <c r="M463" s="15" t="s">
        <v>99</v>
      </c>
      <c r="N463" s="17" t="n">
        <v>2003</v>
      </c>
      <c r="O463" s="15" t="n">
        <f aca="false">IF(N463="","",Scoring!$B$4-N463)</f>
        <v>23</v>
      </c>
      <c r="P463" s="15" t="n">
        <f aca="false">IF(N463="","",N463+14)</f>
        <v>2017</v>
      </c>
      <c r="Q463" s="15" t="n">
        <f aca="false">IF(N463="","",IF(N463&lt;Scoring!$B$12,"n/a (pre-1990)",N463+Scoring!$B$13))</f>
        <v>2032</v>
      </c>
      <c r="R463" s="15" t="str">
        <f aca="false">IF(J463="","Unknown",IF(J463&gt;=5,"Yes","No (under 5 units)"))</f>
        <v>Yes</v>
      </c>
      <c r="S463" s="15"/>
      <c r="T463" s="18"/>
      <c r="U463" s="19"/>
      <c r="V463" s="18"/>
      <c r="W463" s="18"/>
      <c r="X463" s="20"/>
      <c r="Y463" s="18"/>
      <c r="Z463" s="18"/>
      <c r="AA463" s="21" t="n">
        <f aca="false">IF(U463&lt;&gt;"",(U463-Scoring!$B$3)/365.25,IF(N463="","",IF(N463&lt;Scoring!$B$12,"",(DATE(N463+Scoring!$B$13,12,31)-Scoring!$B$3)/365.25)))</f>
        <v>6.24777549623546</v>
      </c>
      <c r="AB463" s="22" t="n">
        <f aca="false">IF(T463="Y",0,IF(OR(D463="Expired (verified)",D463="Expiring: notice window (verified)",D463="Expiring: 10-yr horizon (verified)",D463="Past 30-yr mark (verify)",D463="30-yr mark: notice window (est.)",D463="Year-15 window"),1,0)+IF(ISNUMBER(O463),IF(O463&gt;=Scoring!$B$10,1,0),0)+IF(AND(ISNUMBER(L463),ISNUMBER(J463)),IF(J463&gt;0,IF(L463/J463&gt;=Scoring!$B$11,1,0),0),0)+IF(ISNUMBER(Z463),MIN(Z463,3),0))</f>
        <v>1</v>
      </c>
      <c r="AC463" s="22" t="n">
        <f aca="false">IF(AB463&gt;=3,Scoring!$C$24,IF(AB463=2,Scoring!$C$23,IF(AB463=1,Scoring!$C$22,0)))</f>
        <v>10</v>
      </c>
      <c r="AD463" s="22" t="n">
        <f aca="false">IF(T463="Y",0,IF(ISNUMBER(X463),IF(X463&gt;0.7,Scoring!$C$25,IF(X463&gt;=0.5,Scoring!$C$26,IF(X463&gt;=0.3,Scoring!$C$27,Scoring!$C$28))),Scoring!$C$29))</f>
        <v>10</v>
      </c>
      <c r="AE463" s="22" t="n">
        <f aca="false">IF(D463="Expiring: notice window (verified)",Scoring!$C$30,IF(OR(D463="Expired (verified)",D463="30-yr mark: notice window (est.)",D463="Year-15 window"),Scoring!$C$31,IF(D463="Expiring: 10-yr horizon (verified)",Scoring!$C$32,IF(D463="Past 30-yr mark (verify)",Scoring!$C$33,IF(OR(D463="Credit period",D463="Superseded record"),Scoring!$C$35,Scoring!$C$34)))))</f>
        <v>4</v>
      </c>
      <c r="AF463" s="22" t="n">
        <f aca="false">IF(T463="Y",0,IF(ISNUMBER(V463),IF(Scoring!$B$4-V463&gt;15,Scoring!$C$36,IF(Scoring!$B$4-V463&gt;=10,Scoring!$C$37,IF(Scoring!$B$4-V463&gt;=5,Scoring!$C$38,Scoring!$C$39))),IF(OR(N463="",D463="Out of program"),Scoring!$C$40,IF(O463&gt;15,Scoring!$C$36,IF(O463&gt;=10,Scoring!$C$37,IF(O463&gt;=5,Scoring!$C$38,Scoring!$C$39))))))</f>
        <v>15</v>
      </c>
      <c r="AG463" s="22" t="n">
        <f aca="false">IF(T463="Y",0,IF(Y463="Y",Scoring!$C$41,IF(ISNUMBER(O463),IF(O463&gt;=25,Scoring!$C$42,IF(O463&gt;=15,Scoring!$C$43,Scoring!$C$44)),Scoring!$C$44)))</f>
        <v>5</v>
      </c>
      <c r="AH463" s="22" t="n">
        <f aca="false">IF(T463="Y",0,IF(W463="",Scoring!$C$49,IFERROR(VLOOKUP(W463,Scoring!$B$45:$C$48,2,FALSE()),Scoring!$C$49)))</f>
        <v>5</v>
      </c>
      <c r="AI463" s="23" t="n">
        <f aca="false">C463+IF(ISNUMBER(J463),J463,0)/100000+(10000-ROW())/1000000000</f>
        <v>49.000249537</v>
      </c>
      <c r="AJ463" s="18"/>
      <c r="AK463" s="18"/>
      <c r="AL463" s="18"/>
      <c r="AM463" s="18"/>
    </row>
    <row r="464" customFormat="false" ht="15" hidden="false" customHeight="false" outlineLevel="0" collapsed="false">
      <c r="A464" s="15" t="n">
        <f aca="false">RANK(AI464,$AI$2:$AI$755)</f>
        <v>463</v>
      </c>
      <c r="B464" s="16" t="str">
        <f aca="false">IF(T464="Y","Superseded",IF(C464&gt;=Scoring!$B$16,"Immediate",IF(C464&gt;=Scoring!$B$17,"This week",IF(C464&gt;=Scoring!$B$18,"Nurture","Low"))))</f>
        <v>Nurture</v>
      </c>
      <c r="C464" s="3" t="n">
        <f aca="false">SUM(AC464:AH464)</f>
        <v>49</v>
      </c>
      <c r="D464" s="15" t="str">
        <f aca="false">IF(T464="Y","Superseded record",IF(AND(U464&lt;&gt;"",AA464&lt;0),"Expired (verified)",IF(AND(U464&lt;&gt;"",AA464&lt;=Scoring!$B$5),"Expiring: notice window (verified)",IF(AND(U464&lt;&gt;"",AA464&lt;=Scoring!$B$6),"Expiring: 10-yr horizon (verified)",IF(M464="No Longer Monitored","Out of program",IF(N464="","Unknown vintage",IF(N464&lt;Scoring!$B$12,"Pre-1990, still listed",IF(AND(U464="",AA464&lt;0),"Past 30-yr mark (verify)",IF(AND(U464="",AA464&lt;=Scoring!$B$5),"30-yr mark: notice window (est.)",IF(AND(O464&gt;=Scoring!$B$7,O464&lt;=Scoring!$B$8),"Year-15 window",IF(O464&gt;=Scoring!$B$9,"Recap window",IF(O464&gt;=11,"Late compliance","Credit period"))))))))))))</f>
        <v>Recap window</v>
      </c>
      <c r="E464" s="15" t="s">
        <v>1720</v>
      </c>
      <c r="F464" s="15" t="s">
        <v>1721</v>
      </c>
      <c r="G464" s="15" t="s">
        <v>1722</v>
      </c>
      <c r="H464" s="15" t="s">
        <v>107</v>
      </c>
      <c r="I464" s="15" t="s">
        <v>594</v>
      </c>
      <c r="J464" s="15" t="n">
        <v>24</v>
      </c>
      <c r="K464" s="15" t="n">
        <v>24</v>
      </c>
      <c r="L464" s="15" t="n">
        <f aca="false">IF(OR(J464="",K464=""),"",MAX(J464-K464,0))</f>
        <v>0</v>
      </c>
      <c r="M464" s="15" t="s">
        <v>99</v>
      </c>
      <c r="N464" s="17" t="n">
        <v>2003</v>
      </c>
      <c r="O464" s="15" t="n">
        <f aca="false">IF(N464="","",Scoring!$B$4-N464)</f>
        <v>23</v>
      </c>
      <c r="P464" s="15" t="n">
        <f aca="false">IF(N464="","",N464+14)</f>
        <v>2017</v>
      </c>
      <c r="Q464" s="15" t="n">
        <f aca="false">IF(N464="","",IF(N464&lt;Scoring!$B$12,"n/a (pre-1990)",N464+Scoring!$B$13))</f>
        <v>2032</v>
      </c>
      <c r="R464" s="15" t="str">
        <f aca="false">IF(J464="","Unknown",IF(J464&gt;=5,"Yes","No (under 5 units)"))</f>
        <v>Yes</v>
      </c>
      <c r="S464" s="15"/>
      <c r="T464" s="18"/>
      <c r="U464" s="19"/>
      <c r="V464" s="18"/>
      <c r="W464" s="18"/>
      <c r="X464" s="20"/>
      <c r="Y464" s="18"/>
      <c r="Z464" s="18"/>
      <c r="AA464" s="21" t="n">
        <f aca="false">IF(U464&lt;&gt;"",(U464-Scoring!$B$3)/365.25,IF(N464="","",IF(N464&lt;Scoring!$B$12,"",(DATE(N464+Scoring!$B$13,12,31)-Scoring!$B$3)/365.25)))</f>
        <v>6.24777549623546</v>
      </c>
      <c r="AB464" s="22" t="n">
        <f aca="false">IF(T464="Y",0,IF(OR(D464="Expired (verified)",D464="Expiring: notice window (verified)",D464="Expiring: 10-yr horizon (verified)",D464="Past 30-yr mark (verify)",D464="30-yr mark: notice window (est.)",D464="Year-15 window"),1,0)+IF(ISNUMBER(O464),IF(O464&gt;=Scoring!$B$10,1,0),0)+IF(AND(ISNUMBER(L464),ISNUMBER(J464)),IF(J464&gt;0,IF(L464/J464&gt;=Scoring!$B$11,1,0),0),0)+IF(ISNUMBER(Z464),MIN(Z464,3),0))</f>
        <v>1</v>
      </c>
      <c r="AC464" s="22" t="n">
        <f aca="false">IF(AB464&gt;=3,Scoring!$C$24,IF(AB464=2,Scoring!$C$23,IF(AB464=1,Scoring!$C$22,0)))</f>
        <v>10</v>
      </c>
      <c r="AD464" s="22" t="n">
        <f aca="false">IF(T464="Y",0,IF(ISNUMBER(X464),IF(X464&gt;0.7,Scoring!$C$25,IF(X464&gt;=0.5,Scoring!$C$26,IF(X464&gt;=0.3,Scoring!$C$27,Scoring!$C$28))),Scoring!$C$29))</f>
        <v>10</v>
      </c>
      <c r="AE464" s="22" t="n">
        <f aca="false">IF(D464="Expiring: notice window (verified)",Scoring!$C$30,IF(OR(D464="Expired (verified)",D464="30-yr mark: notice window (est.)",D464="Year-15 window"),Scoring!$C$31,IF(D464="Expiring: 10-yr horizon (verified)",Scoring!$C$32,IF(D464="Past 30-yr mark (verify)",Scoring!$C$33,IF(OR(D464="Credit period",D464="Superseded record"),Scoring!$C$35,Scoring!$C$34)))))</f>
        <v>4</v>
      </c>
      <c r="AF464" s="22" t="n">
        <f aca="false">IF(T464="Y",0,IF(ISNUMBER(V464),IF(Scoring!$B$4-V464&gt;15,Scoring!$C$36,IF(Scoring!$B$4-V464&gt;=10,Scoring!$C$37,IF(Scoring!$B$4-V464&gt;=5,Scoring!$C$38,Scoring!$C$39))),IF(OR(N464="",D464="Out of program"),Scoring!$C$40,IF(O464&gt;15,Scoring!$C$36,IF(O464&gt;=10,Scoring!$C$37,IF(O464&gt;=5,Scoring!$C$38,Scoring!$C$39))))))</f>
        <v>15</v>
      </c>
      <c r="AG464" s="22" t="n">
        <f aca="false">IF(T464="Y",0,IF(Y464="Y",Scoring!$C$41,IF(ISNUMBER(O464),IF(O464&gt;=25,Scoring!$C$42,IF(O464&gt;=15,Scoring!$C$43,Scoring!$C$44)),Scoring!$C$44)))</f>
        <v>5</v>
      </c>
      <c r="AH464" s="22" t="n">
        <f aca="false">IF(T464="Y",0,IF(W464="",Scoring!$C$49,IFERROR(VLOOKUP(W464,Scoring!$B$45:$C$48,2,FALSE()),Scoring!$C$49)))</f>
        <v>5</v>
      </c>
      <c r="AI464" s="23" t="n">
        <f aca="false">C464+IF(ISNUMBER(J464),J464,0)/100000+(10000-ROW())/1000000000</f>
        <v>49.000249536</v>
      </c>
      <c r="AJ464" s="18"/>
      <c r="AK464" s="18"/>
      <c r="AL464" s="18"/>
      <c r="AM464" s="18"/>
    </row>
    <row r="465" customFormat="false" ht="15" hidden="false" customHeight="false" outlineLevel="0" collapsed="false">
      <c r="A465" s="15" t="n">
        <f aca="false">RANK(AI465,$AI$2:$AI$755)</f>
        <v>464</v>
      </c>
      <c r="B465" s="16" t="str">
        <f aca="false">IF(T465="Y","Superseded",IF(C465&gt;=Scoring!$B$16,"Immediate",IF(C465&gt;=Scoring!$B$17,"This week",IF(C465&gt;=Scoring!$B$18,"Nurture","Low"))))</f>
        <v>Nurture</v>
      </c>
      <c r="C465" s="3" t="n">
        <f aca="false">SUM(AC465:AH465)</f>
        <v>49</v>
      </c>
      <c r="D465" s="15" t="str">
        <f aca="false">IF(T465="Y","Superseded record",IF(AND(U465&lt;&gt;"",AA465&lt;0),"Expired (verified)",IF(AND(U465&lt;&gt;"",AA465&lt;=Scoring!$B$5),"Expiring: notice window (verified)",IF(AND(U465&lt;&gt;"",AA465&lt;=Scoring!$B$6),"Expiring: 10-yr horizon (verified)",IF(M465="No Longer Monitored","Out of program",IF(N465="","Unknown vintage",IF(N465&lt;Scoring!$B$12,"Pre-1990, still listed",IF(AND(U465="",AA465&lt;0),"Past 30-yr mark (verify)",IF(AND(U465="",AA465&lt;=Scoring!$B$5),"30-yr mark: notice window (est.)",IF(AND(O465&gt;=Scoring!$B$7,O465&lt;=Scoring!$B$8),"Year-15 window",IF(O465&gt;=Scoring!$B$9,"Recap window",IF(O465&gt;=11,"Late compliance","Credit period"))))))))))))</f>
        <v>Recap window</v>
      </c>
      <c r="E465" s="15" t="s">
        <v>1723</v>
      </c>
      <c r="F465" s="15" t="s">
        <v>1724</v>
      </c>
      <c r="G465" s="15" t="s">
        <v>1725</v>
      </c>
      <c r="H465" s="15" t="s">
        <v>1471</v>
      </c>
      <c r="I465" s="15" t="s">
        <v>1472</v>
      </c>
      <c r="J465" s="15" t="n">
        <v>24</v>
      </c>
      <c r="K465" s="15" t="n">
        <v>24</v>
      </c>
      <c r="L465" s="15" t="n">
        <f aca="false">IF(OR(J465="",K465=""),"",MAX(J465-K465,0))</f>
        <v>0</v>
      </c>
      <c r="M465" s="15" t="s">
        <v>99</v>
      </c>
      <c r="N465" s="17" t="n">
        <v>2004</v>
      </c>
      <c r="O465" s="15" t="n">
        <f aca="false">IF(N465="","",Scoring!$B$4-N465)</f>
        <v>22</v>
      </c>
      <c r="P465" s="15" t="n">
        <f aca="false">IF(N465="","",N465+14)</f>
        <v>2018</v>
      </c>
      <c r="Q465" s="15" t="n">
        <f aca="false">IF(N465="","",IF(N465&lt;Scoring!$B$12,"n/a (pre-1990)",N465+Scoring!$B$13))</f>
        <v>2033</v>
      </c>
      <c r="R465" s="15" t="str">
        <f aca="false">IF(J465="","Unknown",IF(J465&gt;=5,"Yes","No (under 5 units)"))</f>
        <v>Yes</v>
      </c>
      <c r="S465" s="15"/>
      <c r="T465" s="18"/>
      <c r="U465" s="19"/>
      <c r="V465" s="18"/>
      <c r="W465" s="18"/>
      <c r="X465" s="20"/>
      <c r="Y465" s="18"/>
      <c r="Z465" s="18"/>
      <c r="AA465" s="21" t="n">
        <f aca="false">IF(U465&lt;&gt;"",(U465-Scoring!$B$3)/365.25,IF(N465="","",IF(N465&lt;Scoring!$B$12,"",(DATE(N465+Scoring!$B$13,12,31)-Scoring!$B$3)/365.25)))</f>
        <v>7.24709103353867</v>
      </c>
      <c r="AB465" s="22" t="n">
        <f aca="false">IF(T465="Y",0,IF(OR(D465="Expired (verified)",D465="Expiring: notice window (verified)",D465="Expiring: 10-yr horizon (verified)",D465="Past 30-yr mark (verify)",D465="30-yr mark: notice window (est.)",D465="Year-15 window"),1,0)+IF(ISNUMBER(O465),IF(O465&gt;=Scoring!$B$10,1,0),0)+IF(AND(ISNUMBER(L465),ISNUMBER(J465)),IF(J465&gt;0,IF(L465/J465&gt;=Scoring!$B$11,1,0),0),0)+IF(ISNUMBER(Z465),MIN(Z465,3),0))</f>
        <v>1</v>
      </c>
      <c r="AC465" s="22" t="n">
        <f aca="false">IF(AB465&gt;=3,Scoring!$C$24,IF(AB465=2,Scoring!$C$23,IF(AB465=1,Scoring!$C$22,0)))</f>
        <v>10</v>
      </c>
      <c r="AD465" s="22" t="n">
        <f aca="false">IF(T465="Y",0,IF(ISNUMBER(X465),IF(X465&gt;0.7,Scoring!$C$25,IF(X465&gt;=0.5,Scoring!$C$26,IF(X465&gt;=0.3,Scoring!$C$27,Scoring!$C$28))),Scoring!$C$29))</f>
        <v>10</v>
      </c>
      <c r="AE465" s="22" t="n">
        <f aca="false">IF(D465="Expiring: notice window (verified)",Scoring!$C$30,IF(OR(D465="Expired (verified)",D465="30-yr mark: notice window (est.)",D465="Year-15 window"),Scoring!$C$31,IF(D465="Expiring: 10-yr horizon (verified)",Scoring!$C$32,IF(D465="Past 30-yr mark (verify)",Scoring!$C$33,IF(OR(D465="Credit period",D465="Superseded record"),Scoring!$C$35,Scoring!$C$34)))))</f>
        <v>4</v>
      </c>
      <c r="AF465" s="22" t="n">
        <f aca="false">IF(T465="Y",0,IF(ISNUMBER(V465),IF(Scoring!$B$4-V465&gt;15,Scoring!$C$36,IF(Scoring!$B$4-V465&gt;=10,Scoring!$C$37,IF(Scoring!$B$4-V465&gt;=5,Scoring!$C$38,Scoring!$C$39))),IF(OR(N465="",D465="Out of program"),Scoring!$C$40,IF(O465&gt;15,Scoring!$C$36,IF(O465&gt;=10,Scoring!$C$37,IF(O465&gt;=5,Scoring!$C$38,Scoring!$C$39))))))</f>
        <v>15</v>
      </c>
      <c r="AG465" s="22" t="n">
        <f aca="false">IF(T465="Y",0,IF(Y465="Y",Scoring!$C$41,IF(ISNUMBER(O465),IF(O465&gt;=25,Scoring!$C$42,IF(O465&gt;=15,Scoring!$C$43,Scoring!$C$44)),Scoring!$C$44)))</f>
        <v>5</v>
      </c>
      <c r="AH465" s="22" t="n">
        <f aca="false">IF(T465="Y",0,IF(W465="",Scoring!$C$49,IFERROR(VLOOKUP(W465,Scoring!$B$45:$C$48,2,FALSE()),Scoring!$C$49)))</f>
        <v>5</v>
      </c>
      <c r="AI465" s="23" t="n">
        <f aca="false">C465+IF(ISNUMBER(J465),J465,0)/100000+(10000-ROW())/1000000000</f>
        <v>49.000249535</v>
      </c>
      <c r="AJ465" s="18"/>
      <c r="AK465" s="18"/>
      <c r="AL465" s="18"/>
      <c r="AM465" s="18"/>
    </row>
    <row r="466" customFormat="false" ht="15" hidden="false" customHeight="false" outlineLevel="0" collapsed="false">
      <c r="A466" s="15" t="n">
        <f aca="false">RANK(AI466,$AI$2:$AI$755)</f>
        <v>465</v>
      </c>
      <c r="B466" s="16" t="str">
        <f aca="false">IF(T466="Y","Superseded",IF(C466&gt;=Scoring!$B$16,"Immediate",IF(C466&gt;=Scoring!$B$17,"This week",IF(C466&gt;=Scoring!$B$18,"Nurture","Low"))))</f>
        <v>Nurture</v>
      </c>
      <c r="C466" s="3" t="n">
        <f aca="false">SUM(AC466:AH466)</f>
        <v>49</v>
      </c>
      <c r="D466" s="15" t="str">
        <f aca="false">IF(T466="Y","Superseded record",IF(AND(U466&lt;&gt;"",AA466&lt;0),"Expired (verified)",IF(AND(U466&lt;&gt;"",AA466&lt;=Scoring!$B$5),"Expiring: notice window (verified)",IF(AND(U466&lt;&gt;"",AA466&lt;=Scoring!$B$6),"Expiring: 10-yr horizon (verified)",IF(M466="No Longer Monitored","Out of program",IF(N466="","Unknown vintage",IF(N466&lt;Scoring!$B$12,"Pre-1990, still listed",IF(AND(U466="",AA466&lt;0),"Past 30-yr mark (verify)",IF(AND(U466="",AA466&lt;=Scoring!$B$5),"30-yr mark: notice window (est.)",IF(AND(O466&gt;=Scoring!$B$7,O466&lt;=Scoring!$B$8),"Year-15 window",IF(O466&gt;=Scoring!$B$9,"Recap window",IF(O466&gt;=11,"Late compliance","Credit period"))))))))))))</f>
        <v>Recap window</v>
      </c>
      <c r="E466" s="15" t="s">
        <v>1726</v>
      </c>
      <c r="F466" s="15" t="s">
        <v>1727</v>
      </c>
      <c r="G466" s="15" t="s">
        <v>1728</v>
      </c>
      <c r="H466" s="15" t="s">
        <v>700</v>
      </c>
      <c r="I466" s="15" t="s">
        <v>701</v>
      </c>
      <c r="J466" s="15" t="n">
        <v>24</v>
      </c>
      <c r="K466" s="15" t="n">
        <v>24</v>
      </c>
      <c r="L466" s="15" t="n">
        <f aca="false">IF(OR(J466="",K466=""),"",MAX(J466-K466,0))</f>
        <v>0</v>
      </c>
      <c r="M466" s="15" t="s">
        <v>99</v>
      </c>
      <c r="N466" s="17" t="n">
        <v>2005</v>
      </c>
      <c r="O466" s="15" t="n">
        <f aca="false">IF(N466="","",Scoring!$B$4-N466)</f>
        <v>21</v>
      </c>
      <c r="P466" s="15" t="n">
        <f aca="false">IF(N466="","",N466+14)</f>
        <v>2019</v>
      </c>
      <c r="Q466" s="15" t="n">
        <f aca="false">IF(N466="","",IF(N466&lt;Scoring!$B$12,"n/a (pre-1990)",N466+Scoring!$B$13))</f>
        <v>2034</v>
      </c>
      <c r="R466" s="15" t="str">
        <f aca="false">IF(J466="","Unknown",IF(J466&gt;=5,"Yes","No (under 5 units)"))</f>
        <v>Yes</v>
      </c>
      <c r="S466" s="15"/>
      <c r="T466" s="18"/>
      <c r="U466" s="19"/>
      <c r="V466" s="18"/>
      <c r="W466" s="18"/>
      <c r="X466" s="20"/>
      <c r="Y466" s="18"/>
      <c r="Z466" s="18"/>
      <c r="AA466" s="21" t="n">
        <f aca="false">IF(U466&lt;&gt;"",(U466-Scoring!$B$3)/365.25,IF(N466="","",IF(N466&lt;Scoring!$B$12,"",(DATE(N466+Scoring!$B$13,12,31)-Scoring!$B$3)/365.25)))</f>
        <v>8.24640657084189</v>
      </c>
      <c r="AB466" s="22" t="n">
        <f aca="false">IF(T466="Y",0,IF(OR(D466="Expired (verified)",D466="Expiring: notice window (verified)",D466="Expiring: 10-yr horizon (verified)",D466="Past 30-yr mark (verify)",D466="30-yr mark: notice window (est.)",D466="Year-15 window"),1,0)+IF(ISNUMBER(O466),IF(O466&gt;=Scoring!$B$10,1,0),0)+IF(AND(ISNUMBER(L466),ISNUMBER(J466)),IF(J466&gt;0,IF(L466/J466&gt;=Scoring!$B$11,1,0),0),0)+IF(ISNUMBER(Z466),MIN(Z466,3),0))</f>
        <v>1</v>
      </c>
      <c r="AC466" s="22" t="n">
        <f aca="false">IF(AB466&gt;=3,Scoring!$C$24,IF(AB466=2,Scoring!$C$23,IF(AB466=1,Scoring!$C$22,0)))</f>
        <v>10</v>
      </c>
      <c r="AD466" s="22" t="n">
        <f aca="false">IF(T466="Y",0,IF(ISNUMBER(X466),IF(X466&gt;0.7,Scoring!$C$25,IF(X466&gt;=0.5,Scoring!$C$26,IF(X466&gt;=0.3,Scoring!$C$27,Scoring!$C$28))),Scoring!$C$29))</f>
        <v>10</v>
      </c>
      <c r="AE466" s="22" t="n">
        <f aca="false">IF(D466="Expiring: notice window (verified)",Scoring!$C$30,IF(OR(D466="Expired (verified)",D466="30-yr mark: notice window (est.)",D466="Year-15 window"),Scoring!$C$31,IF(D466="Expiring: 10-yr horizon (verified)",Scoring!$C$32,IF(D466="Past 30-yr mark (verify)",Scoring!$C$33,IF(OR(D466="Credit period",D466="Superseded record"),Scoring!$C$35,Scoring!$C$34)))))</f>
        <v>4</v>
      </c>
      <c r="AF466" s="22" t="n">
        <f aca="false">IF(T466="Y",0,IF(ISNUMBER(V466),IF(Scoring!$B$4-V466&gt;15,Scoring!$C$36,IF(Scoring!$B$4-V466&gt;=10,Scoring!$C$37,IF(Scoring!$B$4-V466&gt;=5,Scoring!$C$38,Scoring!$C$39))),IF(OR(N466="",D466="Out of program"),Scoring!$C$40,IF(O466&gt;15,Scoring!$C$36,IF(O466&gt;=10,Scoring!$C$37,IF(O466&gt;=5,Scoring!$C$38,Scoring!$C$39))))))</f>
        <v>15</v>
      </c>
      <c r="AG466" s="22" t="n">
        <f aca="false">IF(T466="Y",0,IF(Y466="Y",Scoring!$C$41,IF(ISNUMBER(O466),IF(O466&gt;=25,Scoring!$C$42,IF(O466&gt;=15,Scoring!$C$43,Scoring!$C$44)),Scoring!$C$44)))</f>
        <v>5</v>
      </c>
      <c r="AH466" s="22" t="n">
        <f aca="false">IF(T466="Y",0,IF(W466="",Scoring!$C$49,IFERROR(VLOOKUP(W466,Scoring!$B$45:$C$48,2,FALSE()),Scoring!$C$49)))</f>
        <v>5</v>
      </c>
      <c r="AI466" s="23" t="n">
        <f aca="false">C466+IF(ISNUMBER(J466),J466,0)/100000+(10000-ROW())/1000000000</f>
        <v>49.000249534</v>
      </c>
      <c r="AJ466" s="18"/>
      <c r="AK466" s="18"/>
      <c r="AL466" s="18"/>
      <c r="AM466" s="18"/>
    </row>
    <row r="467" customFormat="false" ht="15" hidden="false" customHeight="false" outlineLevel="0" collapsed="false">
      <c r="A467" s="15" t="n">
        <f aca="false">RANK(AI467,$AI$2:$AI$755)</f>
        <v>466</v>
      </c>
      <c r="B467" s="16" t="str">
        <f aca="false">IF(T467="Y","Superseded",IF(C467&gt;=Scoring!$B$16,"Immediate",IF(C467&gt;=Scoring!$B$17,"This week",IF(C467&gt;=Scoring!$B$18,"Nurture","Low"))))</f>
        <v>Nurture</v>
      </c>
      <c r="C467" s="3" t="n">
        <f aca="false">SUM(AC467:AH467)</f>
        <v>49</v>
      </c>
      <c r="D467" s="15" t="str">
        <f aca="false">IF(T467="Y","Superseded record",IF(AND(U467&lt;&gt;"",AA467&lt;0),"Expired (verified)",IF(AND(U467&lt;&gt;"",AA467&lt;=Scoring!$B$5),"Expiring: notice window (verified)",IF(AND(U467&lt;&gt;"",AA467&lt;=Scoring!$B$6),"Expiring: 10-yr horizon (verified)",IF(M467="No Longer Monitored","Out of program",IF(N467="","Unknown vintage",IF(N467&lt;Scoring!$B$12,"Pre-1990, still listed",IF(AND(U467="",AA467&lt;0),"Past 30-yr mark (verify)",IF(AND(U467="",AA467&lt;=Scoring!$B$5),"30-yr mark: notice window (est.)",IF(AND(O467&gt;=Scoring!$B$7,O467&lt;=Scoring!$B$8),"Year-15 window",IF(O467&gt;=Scoring!$B$9,"Recap window",IF(O467&gt;=11,"Late compliance","Credit period"))))))))))))</f>
        <v>Recap window</v>
      </c>
      <c r="E467" s="15" t="s">
        <v>1729</v>
      </c>
      <c r="F467" s="15" t="s">
        <v>1730</v>
      </c>
      <c r="G467" s="15" t="s">
        <v>1731</v>
      </c>
      <c r="H467" s="15" t="s">
        <v>1732</v>
      </c>
      <c r="I467" s="15" t="s">
        <v>1733</v>
      </c>
      <c r="J467" s="15" t="n">
        <v>24</v>
      </c>
      <c r="K467" s="15" t="n">
        <v>24</v>
      </c>
      <c r="L467" s="15" t="n">
        <f aca="false">IF(OR(J467="",K467=""),"",MAX(J467-K467,0))</f>
        <v>0</v>
      </c>
      <c r="M467" s="15" t="s">
        <v>99</v>
      </c>
      <c r="N467" s="17" t="n">
        <v>2006</v>
      </c>
      <c r="O467" s="15" t="n">
        <f aca="false">IF(N467="","",Scoring!$B$4-N467)</f>
        <v>20</v>
      </c>
      <c r="P467" s="15" t="n">
        <f aca="false">IF(N467="","",N467+14)</f>
        <v>2020</v>
      </c>
      <c r="Q467" s="15" t="n">
        <f aca="false">IF(N467="","",IF(N467&lt;Scoring!$B$12,"n/a (pre-1990)",N467+Scoring!$B$13))</f>
        <v>2035</v>
      </c>
      <c r="R467" s="15" t="str">
        <f aca="false">IF(J467="","Unknown",IF(J467&gt;=5,"Yes","No (under 5 units)"))</f>
        <v>Yes</v>
      </c>
      <c r="S467" s="15"/>
      <c r="T467" s="18"/>
      <c r="U467" s="19"/>
      <c r="V467" s="18"/>
      <c r="W467" s="18"/>
      <c r="X467" s="20"/>
      <c r="Y467" s="18"/>
      <c r="Z467" s="18"/>
      <c r="AA467" s="21" t="n">
        <f aca="false">IF(U467&lt;&gt;"",(U467-Scoring!$B$3)/365.25,IF(N467="","",IF(N467&lt;Scoring!$B$12,"",(DATE(N467+Scoring!$B$13,12,31)-Scoring!$B$3)/365.25)))</f>
        <v>9.24572210814511</v>
      </c>
      <c r="AB467" s="22" t="n">
        <f aca="false">IF(T467="Y",0,IF(OR(D467="Expired (verified)",D467="Expiring: notice window (verified)",D467="Expiring: 10-yr horizon (verified)",D467="Past 30-yr mark (verify)",D467="30-yr mark: notice window (est.)",D467="Year-15 window"),1,0)+IF(ISNUMBER(O467),IF(O467&gt;=Scoring!$B$10,1,0),0)+IF(AND(ISNUMBER(L467),ISNUMBER(J467)),IF(J467&gt;0,IF(L467/J467&gt;=Scoring!$B$11,1,0),0),0)+IF(ISNUMBER(Z467),MIN(Z467,3),0))</f>
        <v>1</v>
      </c>
      <c r="AC467" s="22" t="n">
        <f aca="false">IF(AB467&gt;=3,Scoring!$C$24,IF(AB467=2,Scoring!$C$23,IF(AB467=1,Scoring!$C$22,0)))</f>
        <v>10</v>
      </c>
      <c r="AD467" s="22" t="n">
        <f aca="false">IF(T467="Y",0,IF(ISNUMBER(X467),IF(X467&gt;0.7,Scoring!$C$25,IF(X467&gt;=0.5,Scoring!$C$26,IF(X467&gt;=0.3,Scoring!$C$27,Scoring!$C$28))),Scoring!$C$29))</f>
        <v>10</v>
      </c>
      <c r="AE467" s="22" t="n">
        <f aca="false">IF(D467="Expiring: notice window (verified)",Scoring!$C$30,IF(OR(D467="Expired (verified)",D467="30-yr mark: notice window (est.)",D467="Year-15 window"),Scoring!$C$31,IF(D467="Expiring: 10-yr horizon (verified)",Scoring!$C$32,IF(D467="Past 30-yr mark (verify)",Scoring!$C$33,IF(OR(D467="Credit period",D467="Superseded record"),Scoring!$C$35,Scoring!$C$34)))))</f>
        <v>4</v>
      </c>
      <c r="AF467" s="22" t="n">
        <f aca="false">IF(T467="Y",0,IF(ISNUMBER(V467),IF(Scoring!$B$4-V467&gt;15,Scoring!$C$36,IF(Scoring!$B$4-V467&gt;=10,Scoring!$C$37,IF(Scoring!$B$4-V467&gt;=5,Scoring!$C$38,Scoring!$C$39))),IF(OR(N467="",D467="Out of program"),Scoring!$C$40,IF(O467&gt;15,Scoring!$C$36,IF(O467&gt;=10,Scoring!$C$37,IF(O467&gt;=5,Scoring!$C$38,Scoring!$C$39))))))</f>
        <v>15</v>
      </c>
      <c r="AG467" s="22" t="n">
        <f aca="false">IF(T467="Y",0,IF(Y467="Y",Scoring!$C$41,IF(ISNUMBER(O467),IF(O467&gt;=25,Scoring!$C$42,IF(O467&gt;=15,Scoring!$C$43,Scoring!$C$44)),Scoring!$C$44)))</f>
        <v>5</v>
      </c>
      <c r="AH467" s="22" t="n">
        <f aca="false">IF(T467="Y",0,IF(W467="",Scoring!$C$49,IFERROR(VLOOKUP(W467,Scoring!$B$45:$C$48,2,FALSE()),Scoring!$C$49)))</f>
        <v>5</v>
      </c>
      <c r="AI467" s="23" t="n">
        <f aca="false">C467+IF(ISNUMBER(J467),J467,0)/100000+(10000-ROW())/1000000000</f>
        <v>49.000249533</v>
      </c>
      <c r="AJ467" s="18"/>
      <c r="AK467" s="18"/>
      <c r="AL467" s="18"/>
      <c r="AM467" s="18"/>
    </row>
    <row r="468" customFormat="false" ht="15" hidden="false" customHeight="false" outlineLevel="0" collapsed="false">
      <c r="A468" s="15" t="n">
        <f aca="false">RANK(AI468,$AI$2:$AI$755)</f>
        <v>467</v>
      </c>
      <c r="B468" s="16" t="str">
        <f aca="false">IF(T468="Y","Superseded",IF(C468&gt;=Scoring!$B$16,"Immediate",IF(C468&gt;=Scoring!$B$17,"This week",IF(C468&gt;=Scoring!$B$18,"Nurture","Low"))))</f>
        <v>Nurture</v>
      </c>
      <c r="C468" s="3" t="n">
        <f aca="false">SUM(AC468:AH468)</f>
        <v>49</v>
      </c>
      <c r="D468" s="15" t="str">
        <f aca="false">IF(T468="Y","Superseded record",IF(AND(U468&lt;&gt;"",AA468&lt;0),"Expired (verified)",IF(AND(U468&lt;&gt;"",AA468&lt;=Scoring!$B$5),"Expiring: notice window (verified)",IF(AND(U468&lt;&gt;"",AA468&lt;=Scoring!$B$6),"Expiring: 10-yr horizon (verified)",IF(M468="No Longer Monitored","Out of program",IF(N468="","Unknown vintage",IF(N468&lt;Scoring!$B$12,"Pre-1990, still listed",IF(AND(U468="",AA468&lt;0),"Past 30-yr mark (verify)",IF(AND(U468="",AA468&lt;=Scoring!$B$5),"30-yr mark: notice window (est.)",IF(AND(O468&gt;=Scoring!$B$7,O468&lt;=Scoring!$B$8),"Year-15 window",IF(O468&gt;=Scoring!$B$9,"Recap window",IF(O468&gt;=11,"Late compliance","Credit period"))))))))))))</f>
        <v>Recap window</v>
      </c>
      <c r="E468" s="15" t="s">
        <v>1734</v>
      </c>
      <c r="F468" s="15" t="s">
        <v>1735</v>
      </c>
      <c r="G468" s="15" t="s">
        <v>1736</v>
      </c>
      <c r="H468" s="15" t="s">
        <v>107</v>
      </c>
      <c r="I468" s="15" t="s">
        <v>570</v>
      </c>
      <c r="J468" s="15" t="n">
        <v>22</v>
      </c>
      <c r="K468" s="15" t="n">
        <v>22</v>
      </c>
      <c r="L468" s="15" t="n">
        <f aca="false">IF(OR(J468="",K468=""),"",MAX(J468-K468,0))</f>
        <v>0</v>
      </c>
      <c r="M468" s="15" t="s">
        <v>99</v>
      </c>
      <c r="N468" s="17" t="n">
        <v>2003</v>
      </c>
      <c r="O468" s="15" t="n">
        <f aca="false">IF(N468="","",Scoring!$B$4-N468)</f>
        <v>23</v>
      </c>
      <c r="P468" s="15" t="n">
        <f aca="false">IF(N468="","",N468+14)</f>
        <v>2017</v>
      </c>
      <c r="Q468" s="15" t="n">
        <f aca="false">IF(N468="","",IF(N468&lt;Scoring!$B$12,"n/a (pre-1990)",N468+Scoring!$B$13))</f>
        <v>2032</v>
      </c>
      <c r="R468" s="15" t="str">
        <f aca="false">IF(J468="","Unknown",IF(J468&gt;=5,"Yes","No (under 5 units)"))</f>
        <v>Yes</v>
      </c>
      <c r="S468" s="15"/>
      <c r="T468" s="18"/>
      <c r="U468" s="19"/>
      <c r="V468" s="18"/>
      <c r="W468" s="18"/>
      <c r="X468" s="20"/>
      <c r="Y468" s="18"/>
      <c r="Z468" s="18"/>
      <c r="AA468" s="21" t="n">
        <f aca="false">IF(U468&lt;&gt;"",(U468-Scoring!$B$3)/365.25,IF(N468="","",IF(N468&lt;Scoring!$B$12,"",(DATE(N468+Scoring!$B$13,12,31)-Scoring!$B$3)/365.25)))</f>
        <v>6.24777549623546</v>
      </c>
      <c r="AB468" s="22" t="n">
        <f aca="false">IF(T468="Y",0,IF(OR(D468="Expired (verified)",D468="Expiring: notice window (verified)",D468="Expiring: 10-yr horizon (verified)",D468="Past 30-yr mark (verify)",D468="30-yr mark: notice window (est.)",D468="Year-15 window"),1,0)+IF(ISNUMBER(O468),IF(O468&gt;=Scoring!$B$10,1,0),0)+IF(AND(ISNUMBER(L468),ISNUMBER(J468)),IF(J468&gt;0,IF(L468/J468&gt;=Scoring!$B$11,1,0),0),0)+IF(ISNUMBER(Z468),MIN(Z468,3),0))</f>
        <v>1</v>
      </c>
      <c r="AC468" s="22" t="n">
        <f aca="false">IF(AB468&gt;=3,Scoring!$C$24,IF(AB468=2,Scoring!$C$23,IF(AB468=1,Scoring!$C$22,0)))</f>
        <v>10</v>
      </c>
      <c r="AD468" s="22" t="n">
        <f aca="false">IF(T468="Y",0,IF(ISNUMBER(X468),IF(X468&gt;0.7,Scoring!$C$25,IF(X468&gt;=0.5,Scoring!$C$26,IF(X468&gt;=0.3,Scoring!$C$27,Scoring!$C$28))),Scoring!$C$29))</f>
        <v>10</v>
      </c>
      <c r="AE468" s="22" t="n">
        <f aca="false">IF(D468="Expiring: notice window (verified)",Scoring!$C$30,IF(OR(D468="Expired (verified)",D468="30-yr mark: notice window (est.)",D468="Year-15 window"),Scoring!$C$31,IF(D468="Expiring: 10-yr horizon (verified)",Scoring!$C$32,IF(D468="Past 30-yr mark (verify)",Scoring!$C$33,IF(OR(D468="Credit period",D468="Superseded record"),Scoring!$C$35,Scoring!$C$34)))))</f>
        <v>4</v>
      </c>
      <c r="AF468" s="22" t="n">
        <f aca="false">IF(T468="Y",0,IF(ISNUMBER(V468),IF(Scoring!$B$4-V468&gt;15,Scoring!$C$36,IF(Scoring!$B$4-V468&gt;=10,Scoring!$C$37,IF(Scoring!$B$4-V468&gt;=5,Scoring!$C$38,Scoring!$C$39))),IF(OR(N468="",D468="Out of program"),Scoring!$C$40,IF(O468&gt;15,Scoring!$C$36,IF(O468&gt;=10,Scoring!$C$37,IF(O468&gt;=5,Scoring!$C$38,Scoring!$C$39))))))</f>
        <v>15</v>
      </c>
      <c r="AG468" s="22" t="n">
        <f aca="false">IF(T468="Y",0,IF(Y468="Y",Scoring!$C$41,IF(ISNUMBER(O468),IF(O468&gt;=25,Scoring!$C$42,IF(O468&gt;=15,Scoring!$C$43,Scoring!$C$44)),Scoring!$C$44)))</f>
        <v>5</v>
      </c>
      <c r="AH468" s="22" t="n">
        <f aca="false">IF(T468="Y",0,IF(W468="",Scoring!$C$49,IFERROR(VLOOKUP(W468,Scoring!$B$45:$C$48,2,FALSE()),Scoring!$C$49)))</f>
        <v>5</v>
      </c>
      <c r="AI468" s="23" t="n">
        <f aca="false">C468+IF(ISNUMBER(J468),J468,0)/100000+(10000-ROW())/1000000000</f>
        <v>49.000229532</v>
      </c>
      <c r="AJ468" s="18"/>
      <c r="AK468" s="18"/>
      <c r="AL468" s="18"/>
      <c r="AM468" s="18"/>
    </row>
    <row r="469" customFormat="false" ht="15" hidden="false" customHeight="false" outlineLevel="0" collapsed="false">
      <c r="A469" s="15" t="n">
        <f aca="false">RANK(AI469,$AI$2:$AI$755)</f>
        <v>468</v>
      </c>
      <c r="B469" s="16" t="str">
        <f aca="false">IF(T469="Y","Superseded",IF(C469&gt;=Scoring!$B$16,"Immediate",IF(C469&gt;=Scoring!$B$17,"This week",IF(C469&gt;=Scoring!$B$18,"Nurture","Low"))))</f>
        <v>Nurture</v>
      </c>
      <c r="C469" s="3" t="n">
        <f aca="false">SUM(AC469:AH469)</f>
        <v>49</v>
      </c>
      <c r="D469" s="15" t="str">
        <f aca="false">IF(T469="Y","Superseded record",IF(AND(U469&lt;&gt;"",AA469&lt;0),"Expired (verified)",IF(AND(U469&lt;&gt;"",AA469&lt;=Scoring!$B$5),"Expiring: notice window (verified)",IF(AND(U469&lt;&gt;"",AA469&lt;=Scoring!$B$6),"Expiring: 10-yr horizon (verified)",IF(M469="No Longer Monitored","Out of program",IF(N469="","Unknown vintage",IF(N469&lt;Scoring!$B$12,"Pre-1990, still listed",IF(AND(U469="",AA469&lt;0),"Past 30-yr mark (verify)",IF(AND(U469="",AA469&lt;=Scoring!$B$5),"30-yr mark: notice window (est.)",IF(AND(O469&gt;=Scoring!$B$7,O469&lt;=Scoring!$B$8),"Year-15 window",IF(O469&gt;=Scoring!$B$9,"Recap window",IF(O469&gt;=11,"Late compliance","Credit period"))))))))))))</f>
        <v>Recap window</v>
      </c>
      <c r="E469" s="15" t="s">
        <v>1737</v>
      </c>
      <c r="F469" s="15" t="s">
        <v>1738</v>
      </c>
      <c r="G469" s="15" t="s">
        <v>1739</v>
      </c>
      <c r="H469" s="15" t="s">
        <v>783</v>
      </c>
      <c r="I469" s="15" t="s">
        <v>784</v>
      </c>
      <c r="J469" s="15" t="n">
        <v>21</v>
      </c>
      <c r="K469" s="15" t="n">
        <v>21</v>
      </c>
      <c r="L469" s="15" t="n">
        <f aca="false">IF(OR(J469="",K469=""),"",MAX(J469-K469,0))</f>
        <v>0</v>
      </c>
      <c r="M469" s="15" t="s">
        <v>99</v>
      </c>
      <c r="N469" s="17" t="n">
        <v>2004</v>
      </c>
      <c r="O469" s="15" t="n">
        <f aca="false">IF(N469="","",Scoring!$B$4-N469)</f>
        <v>22</v>
      </c>
      <c r="P469" s="15" t="n">
        <f aca="false">IF(N469="","",N469+14)</f>
        <v>2018</v>
      </c>
      <c r="Q469" s="15" t="n">
        <f aca="false">IF(N469="","",IF(N469&lt;Scoring!$B$12,"n/a (pre-1990)",N469+Scoring!$B$13))</f>
        <v>2033</v>
      </c>
      <c r="R469" s="15" t="str">
        <f aca="false">IF(J469="","Unknown",IF(J469&gt;=5,"Yes","No (under 5 units)"))</f>
        <v>Yes</v>
      </c>
      <c r="S469" s="15"/>
      <c r="T469" s="18"/>
      <c r="U469" s="19"/>
      <c r="V469" s="18"/>
      <c r="W469" s="18"/>
      <c r="X469" s="20"/>
      <c r="Y469" s="18"/>
      <c r="Z469" s="18"/>
      <c r="AA469" s="21" t="n">
        <f aca="false">IF(U469&lt;&gt;"",(U469-Scoring!$B$3)/365.25,IF(N469="","",IF(N469&lt;Scoring!$B$12,"",(DATE(N469+Scoring!$B$13,12,31)-Scoring!$B$3)/365.25)))</f>
        <v>7.24709103353867</v>
      </c>
      <c r="AB469" s="22" t="n">
        <f aca="false">IF(T469="Y",0,IF(OR(D469="Expired (verified)",D469="Expiring: notice window (verified)",D469="Expiring: 10-yr horizon (verified)",D469="Past 30-yr mark (verify)",D469="30-yr mark: notice window (est.)",D469="Year-15 window"),1,0)+IF(ISNUMBER(O469),IF(O469&gt;=Scoring!$B$10,1,0),0)+IF(AND(ISNUMBER(L469),ISNUMBER(J469)),IF(J469&gt;0,IF(L469/J469&gt;=Scoring!$B$11,1,0),0),0)+IF(ISNUMBER(Z469),MIN(Z469,3),0))</f>
        <v>1</v>
      </c>
      <c r="AC469" s="22" t="n">
        <f aca="false">IF(AB469&gt;=3,Scoring!$C$24,IF(AB469=2,Scoring!$C$23,IF(AB469=1,Scoring!$C$22,0)))</f>
        <v>10</v>
      </c>
      <c r="AD469" s="22" t="n">
        <f aca="false">IF(T469="Y",0,IF(ISNUMBER(X469),IF(X469&gt;0.7,Scoring!$C$25,IF(X469&gt;=0.5,Scoring!$C$26,IF(X469&gt;=0.3,Scoring!$C$27,Scoring!$C$28))),Scoring!$C$29))</f>
        <v>10</v>
      </c>
      <c r="AE469" s="22" t="n">
        <f aca="false">IF(D469="Expiring: notice window (verified)",Scoring!$C$30,IF(OR(D469="Expired (verified)",D469="30-yr mark: notice window (est.)",D469="Year-15 window"),Scoring!$C$31,IF(D469="Expiring: 10-yr horizon (verified)",Scoring!$C$32,IF(D469="Past 30-yr mark (verify)",Scoring!$C$33,IF(OR(D469="Credit period",D469="Superseded record"),Scoring!$C$35,Scoring!$C$34)))))</f>
        <v>4</v>
      </c>
      <c r="AF469" s="22" t="n">
        <f aca="false">IF(T469="Y",0,IF(ISNUMBER(V469),IF(Scoring!$B$4-V469&gt;15,Scoring!$C$36,IF(Scoring!$B$4-V469&gt;=10,Scoring!$C$37,IF(Scoring!$B$4-V469&gt;=5,Scoring!$C$38,Scoring!$C$39))),IF(OR(N469="",D469="Out of program"),Scoring!$C$40,IF(O469&gt;15,Scoring!$C$36,IF(O469&gt;=10,Scoring!$C$37,IF(O469&gt;=5,Scoring!$C$38,Scoring!$C$39))))))</f>
        <v>15</v>
      </c>
      <c r="AG469" s="22" t="n">
        <f aca="false">IF(T469="Y",0,IF(Y469="Y",Scoring!$C$41,IF(ISNUMBER(O469),IF(O469&gt;=25,Scoring!$C$42,IF(O469&gt;=15,Scoring!$C$43,Scoring!$C$44)),Scoring!$C$44)))</f>
        <v>5</v>
      </c>
      <c r="AH469" s="22" t="n">
        <f aca="false">IF(T469="Y",0,IF(W469="",Scoring!$C$49,IFERROR(VLOOKUP(W469,Scoring!$B$45:$C$48,2,FALSE()),Scoring!$C$49)))</f>
        <v>5</v>
      </c>
      <c r="AI469" s="23" t="n">
        <f aca="false">C469+IF(ISNUMBER(J469),J469,0)/100000+(10000-ROW())/1000000000</f>
        <v>49.000219531</v>
      </c>
      <c r="AJ469" s="18"/>
      <c r="AK469" s="18"/>
      <c r="AL469" s="18"/>
      <c r="AM469" s="18"/>
    </row>
    <row r="470" customFormat="false" ht="15" hidden="false" customHeight="false" outlineLevel="0" collapsed="false">
      <c r="A470" s="15" t="n">
        <f aca="false">RANK(AI470,$AI$2:$AI$755)</f>
        <v>469</v>
      </c>
      <c r="B470" s="16" t="str">
        <f aca="false">IF(T470="Y","Superseded",IF(C470&gt;=Scoring!$B$16,"Immediate",IF(C470&gt;=Scoring!$B$17,"This week",IF(C470&gt;=Scoring!$B$18,"Nurture","Low"))))</f>
        <v>Nurture</v>
      </c>
      <c r="C470" s="3" t="n">
        <f aca="false">SUM(AC470:AH470)</f>
        <v>49</v>
      </c>
      <c r="D470" s="15" t="str">
        <f aca="false">IF(T470="Y","Superseded record",IF(AND(U470&lt;&gt;"",AA470&lt;0),"Expired (verified)",IF(AND(U470&lt;&gt;"",AA470&lt;=Scoring!$B$5),"Expiring: notice window (verified)",IF(AND(U470&lt;&gt;"",AA470&lt;=Scoring!$B$6),"Expiring: 10-yr horizon (verified)",IF(M470="No Longer Monitored","Out of program",IF(N470="","Unknown vintage",IF(N470&lt;Scoring!$B$12,"Pre-1990, still listed",IF(AND(U470="",AA470&lt;0),"Past 30-yr mark (verify)",IF(AND(U470="",AA470&lt;=Scoring!$B$5),"30-yr mark: notice window (est.)",IF(AND(O470&gt;=Scoring!$B$7,O470&lt;=Scoring!$B$8),"Year-15 window",IF(O470&gt;=Scoring!$B$9,"Recap window",IF(O470&gt;=11,"Late compliance","Credit period"))))))))))))</f>
        <v>Recap window</v>
      </c>
      <c r="E470" s="15" t="s">
        <v>1740</v>
      </c>
      <c r="F470" s="15" t="s">
        <v>1741</v>
      </c>
      <c r="G470" s="15" t="s">
        <v>1586</v>
      </c>
      <c r="H470" s="15" t="s">
        <v>97</v>
      </c>
      <c r="I470" s="15" t="s">
        <v>330</v>
      </c>
      <c r="J470" s="15" t="n">
        <v>20</v>
      </c>
      <c r="K470" s="15" t="n">
        <v>20</v>
      </c>
      <c r="L470" s="15" t="n">
        <f aca="false">IF(OR(J470="",K470=""),"",MAX(J470-K470,0))</f>
        <v>0</v>
      </c>
      <c r="M470" s="15" t="s">
        <v>99</v>
      </c>
      <c r="N470" s="17" t="n">
        <v>2005</v>
      </c>
      <c r="O470" s="15" t="n">
        <f aca="false">IF(N470="","",Scoring!$B$4-N470)</f>
        <v>21</v>
      </c>
      <c r="P470" s="15" t="n">
        <f aca="false">IF(N470="","",N470+14)</f>
        <v>2019</v>
      </c>
      <c r="Q470" s="15" t="n">
        <f aca="false">IF(N470="","",IF(N470&lt;Scoring!$B$12,"n/a (pre-1990)",N470+Scoring!$B$13))</f>
        <v>2034</v>
      </c>
      <c r="R470" s="15" t="str">
        <f aca="false">IF(J470="","Unknown",IF(J470&gt;=5,"Yes","No (under 5 units)"))</f>
        <v>Yes</v>
      </c>
      <c r="S470" s="15" t="s">
        <v>1742</v>
      </c>
      <c r="T470" s="18"/>
      <c r="U470" s="19"/>
      <c r="V470" s="18"/>
      <c r="W470" s="18"/>
      <c r="X470" s="20"/>
      <c r="Y470" s="18"/>
      <c r="Z470" s="18"/>
      <c r="AA470" s="21" t="n">
        <f aca="false">IF(U470&lt;&gt;"",(U470-Scoring!$B$3)/365.25,IF(N470="","",IF(N470&lt;Scoring!$B$12,"",(DATE(N470+Scoring!$B$13,12,31)-Scoring!$B$3)/365.25)))</f>
        <v>8.24640657084189</v>
      </c>
      <c r="AB470" s="22" t="n">
        <f aca="false">IF(T470="Y",0,IF(OR(D470="Expired (verified)",D470="Expiring: notice window (verified)",D470="Expiring: 10-yr horizon (verified)",D470="Past 30-yr mark (verify)",D470="30-yr mark: notice window (est.)",D470="Year-15 window"),1,0)+IF(ISNUMBER(O470),IF(O470&gt;=Scoring!$B$10,1,0),0)+IF(AND(ISNUMBER(L470),ISNUMBER(J470)),IF(J470&gt;0,IF(L470/J470&gt;=Scoring!$B$11,1,0),0),0)+IF(ISNUMBER(Z470),MIN(Z470,3),0))</f>
        <v>1</v>
      </c>
      <c r="AC470" s="22" t="n">
        <f aca="false">IF(AB470&gt;=3,Scoring!$C$24,IF(AB470=2,Scoring!$C$23,IF(AB470=1,Scoring!$C$22,0)))</f>
        <v>10</v>
      </c>
      <c r="AD470" s="22" t="n">
        <f aca="false">IF(T470="Y",0,IF(ISNUMBER(X470),IF(X470&gt;0.7,Scoring!$C$25,IF(X470&gt;=0.5,Scoring!$C$26,IF(X470&gt;=0.3,Scoring!$C$27,Scoring!$C$28))),Scoring!$C$29))</f>
        <v>10</v>
      </c>
      <c r="AE470" s="22" t="n">
        <f aca="false">IF(D470="Expiring: notice window (verified)",Scoring!$C$30,IF(OR(D470="Expired (verified)",D470="30-yr mark: notice window (est.)",D470="Year-15 window"),Scoring!$C$31,IF(D470="Expiring: 10-yr horizon (verified)",Scoring!$C$32,IF(D470="Past 30-yr mark (verify)",Scoring!$C$33,IF(OR(D470="Credit period",D470="Superseded record"),Scoring!$C$35,Scoring!$C$34)))))</f>
        <v>4</v>
      </c>
      <c r="AF470" s="22" t="n">
        <f aca="false">IF(T470="Y",0,IF(ISNUMBER(V470),IF(Scoring!$B$4-V470&gt;15,Scoring!$C$36,IF(Scoring!$B$4-V470&gt;=10,Scoring!$C$37,IF(Scoring!$B$4-V470&gt;=5,Scoring!$C$38,Scoring!$C$39))),IF(OR(N470="",D470="Out of program"),Scoring!$C$40,IF(O470&gt;15,Scoring!$C$36,IF(O470&gt;=10,Scoring!$C$37,IF(O470&gt;=5,Scoring!$C$38,Scoring!$C$39))))))</f>
        <v>15</v>
      </c>
      <c r="AG470" s="22" t="n">
        <f aca="false">IF(T470="Y",0,IF(Y470="Y",Scoring!$C$41,IF(ISNUMBER(O470),IF(O470&gt;=25,Scoring!$C$42,IF(O470&gt;=15,Scoring!$C$43,Scoring!$C$44)),Scoring!$C$44)))</f>
        <v>5</v>
      </c>
      <c r="AH470" s="22" t="n">
        <f aca="false">IF(T470="Y",0,IF(W470="",Scoring!$C$49,IFERROR(VLOOKUP(W470,Scoring!$B$45:$C$48,2,FALSE()),Scoring!$C$49)))</f>
        <v>5</v>
      </c>
      <c r="AI470" s="23" t="n">
        <f aca="false">C470+IF(ISNUMBER(J470),J470,0)/100000+(10000-ROW())/1000000000</f>
        <v>49.00020953</v>
      </c>
      <c r="AJ470" s="18"/>
      <c r="AK470" s="18"/>
      <c r="AL470" s="18"/>
      <c r="AM470" s="18"/>
    </row>
    <row r="471" customFormat="false" ht="15" hidden="false" customHeight="false" outlineLevel="0" collapsed="false">
      <c r="A471" s="15" t="n">
        <f aca="false">RANK(AI471,$AI$2:$AI$755)</f>
        <v>470</v>
      </c>
      <c r="B471" s="16" t="str">
        <f aca="false">IF(T471="Y","Superseded",IF(C471&gt;=Scoring!$B$16,"Immediate",IF(C471&gt;=Scoring!$B$17,"This week",IF(C471&gt;=Scoring!$B$18,"Nurture","Low"))))</f>
        <v>Nurture</v>
      </c>
      <c r="C471" s="3" t="n">
        <f aca="false">SUM(AC471:AH471)</f>
        <v>49</v>
      </c>
      <c r="D471" s="15" t="str">
        <f aca="false">IF(T471="Y","Superseded record",IF(AND(U471&lt;&gt;"",AA471&lt;0),"Expired (verified)",IF(AND(U471&lt;&gt;"",AA471&lt;=Scoring!$B$5),"Expiring: notice window (verified)",IF(AND(U471&lt;&gt;"",AA471&lt;=Scoring!$B$6),"Expiring: 10-yr horizon (verified)",IF(M471="No Longer Monitored","Out of program",IF(N471="","Unknown vintage",IF(N471&lt;Scoring!$B$12,"Pre-1990, still listed",IF(AND(U471="",AA471&lt;0),"Past 30-yr mark (verify)",IF(AND(U471="",AA471&lt;=Scoring!$B$5),"30-yr mark: notice window (est.)",IF(AND(O471&gt;=Scoring!$B$7,O471&lt;=Scoring!$B$8),"Year-15 window",IF(O471&gt;=Scoring!$B$9,"Recap window",IF(O471&gt;=11,"Late compliance","Credit period"))))))))))))</f>
        <v>Recap window</v>
      </c>
      <c r="E471" s="15" t="s">
        <v>1743</v>
      </c>
      <c r="F471" s="15" t="s">
        <v>1744</v>
      </c>
      <c r="G471" s="15" t="s">
        <v>1745</v>
      </c>
      <c r="H471" s="15" t="s">
        <v>1746</v>
      </c>
      <c r="I471" s="15" t="s">
        <v>1747</v>
      </c>
      <c r="J471" s="15" t="n">
        <v>16</v>
      </c>
      <c r="K471" s="15" t="n">
        <v>16</v>
      </c>
      <c r="L471" s="15" t="n">
        <f aca="false">IF(OR(J471="",K471=""),"",MAX(J471-K471,0))</f>
        <v>0</v>
      </c>
      <c r="M471" s="15" t="s">
        <v>99</v>
      </c>
      <c r="N471" s="17" t="n">
        <v>2003</v>
      </c>
      <c r="O471" s="15" t="n">
        <f aca="false">IF(N471="","",Scoring!$B$4-N471)</f>
        <v>23</v>
      </c>
      <c r="P471" s="15" t="n">
        <f aca="false">IF(N471="","",N471+14)</f>
        <v>2017</v>
      </c>
      <c r="Q471" s="15" t="n">
        <f aca="false">IF(N471="","",IF(N471&lt;Scoring!$B$12,"n/a (pre-1990)",N471+Scoring!$B$13))</f>
        <v>2032</v>
      </c>
      <c r="R471" s="15" t="str">
        <f aca="false">IF(J471="","Unknown",IF(J471&gt;=5,"Yes","No (under 5 units)"))</f>
        <v>Yes</v>
      </c>
      <c r="S471" s="15"/>
      <c r="T471" s="18"/>
      <c r="U471" s="19"/>
      <c r="V471" s="18"/>
      <c r="W471" s="18"/>
      <c r="X471" s="20"/>
      <c r="Y471" s="18"/>
      <c r="Z471" s="18"/>
      <c r="AA471" s="21" t="n">
        <f aca="false">IF(U471&lt;&gt;"",(U471-Scoring!$B$3)/365.25,IF(N471="","",IF(N471&lt;Scoring!$B$12,"",(DATE(N471+Scoring!$B$13,12,31)-Scoring!$B$3)/365.25)))</f>
        <v>6.24777549623546</v>
      </c>
      <c r="AB471" s="22" t="n">
        <f aca="false">IF(T471="Y",0,IF(OR(D471="Expired (verified)",D471="Expiring: notice window (verified)",D471="Expiring: 10-yr horizon (verified)",D471="Past 30-yr mark (verify)",D471="30-yr mark: notice window (est.)",D471="Year-15 window"),1,0)+IF(ISNUMBER(O471),IF(O471&gt;=Scoring!$B$10,1,0),0)+IF(AND(ISNUMBER(L471),ISNUMBER(J471)),IF(J471&gt;0,IF(L471/J471&gt;=Scoring!$B$11,1,0),0),0)+IF(ISNUMBER(Z471),MIN(Z471,3),0))</f>
        <v>1</v>
      </c>
      <c r="AC471" s="22" t="n">
        <f aca="false">IF(AB471&gt;=3,Scoring!$C$24,IF(AB471=2,Scoring!$C$23,IF(AB471=1,Scoring!$C$22,0)))</f>
        <v>10</v>
      </c>
      <c r="AD471" s="22" t="n">
        <f aca="false">IF(T471="Y",0,IF(ISNUMBER(X471),IF(X471&gt;0.7,Scoring!$C$25,IF(X471&gt;=0.5,Scoring!$C$26,IF(X471&gt;=0.3,Scoring!$C$27,Scoring!$C$28))),Scoring!$C$29))</f>
        <v>10</v>
      </c>
      <c r="AE471" s="22" t="n">
        <f aca="false">IF(D471="Expiring: notice window (verified)",Scoring!$C$30,IF(OR(D471="Expired (verified)",D471="30-yr mark: notice window (est.)",D471="Year-15 window"),Scoring!$C$31,IF(D471="Expiring: 10-yr horizon (verified)",Scoring!$C$32,IF(D471="Past 30-yr mark (verify)",Scoring!$C$33,IF(OR(D471="Credit period",D471="Superseded record"),Scoring!$C$35,Scoring!$C$34)))))</f>
        <v>4</v>
      </c>
      <c r="AF471" s="22" t="n">
        <f aca="false">IF(T471="Y",0,IF(ISNUMBER(V471),IF(Scoring!$B$4-V471&gt;15,Scoring!$C$36,IF(Scoring!$B$4-V471&gt;=10,Scoring!$C$37,IF(Scoring!$B$4-V471&gt;=5,Scoring!$C$38,Scoring!$C$39))),IF(OR(N471="",D471="Out of program"),Scoring!$C$40,IF(O471&gt;15,Scoring!$C$36,IF(O471&gt;=10,Scoring!$C$37,IF(O471&gt;=5,Scoring!$C$38,Scoring!$C$39))))))</f>
        <v>15</v>
      </c>
      <c r="AG471" s="22" t="n">
        <f aca="false">IF(T471="Y",0,IF(Y471="Y",Scoring!$C$41,IF(ISNUMBER(O471),IF(O471&gt;=25,Scoring!$C$42,IF(O471&gt;=15,Scoring!$C$43,Scoring!$C$44)),Scoring!$C$44)))</f>
        <v>5</v>
      </c>
      <c r="AH471" s="22" t="n">
        <f aca="false">IF(T471="Y",0,IF(W471="",Scoring!$C$49,IFERROR(VLOOKUP(W471,Scoring!$B$45:$C$48,2,FALSE()),Scoring!$C$49)))</f>
        <v>5</v>
      </c>
      <c r="AI471" s="23" t="n">
        <f aca="false">C471+IF(ISNUMBER(J471),J471,0)/100000+(10000-ROW())/1000000000</f>
        <v>49.000169529</v>
      </c>
      <c r="AJ471" s="18"/>
      <c r="AK471" s="18"/>
      <c r="AL471" s="18"/>
      <c r="AM471" s="18"/>
    </row>
    <row r="472" customFormat="false" ht="15" hidden="false" customHeight="false" outlineLevel="0" collapsed="false">
      <c r="A472" s="15" t="n">
        <f aca="false">RANK(AI472,$AI$2:$AI$755)</f>
        <v>471</v>
      </c>
      <c r="B472" s="16" t="str">
        <f aca="false">IF(T472="Y","Superseded",IF(C472&gt;=Scoring!$B$16,"Immediate",IF(C472&gt;=Scoring!$B$17,"This week",IF(C472&gt;=Scoring!$B$18,"Nurture","Low"))))</f>
        <v>Nurture</v>
      </c>
      <c r="C472" s="3" t="n">
        <f aca="false">SUM(AC472:AH472)</f>
        <v>49</v>
      </c>
      <c r="D472" s="15" t="str">
        <f aca="false">IF(T472="Y","Superseded record",IF(AND(U472&lt;&gt;"",AA472&lt;0),"Expired (verified)",IF(AND(U472&lt;&gt;"",AA472&lt;=Scoring!$B$5),"Expiring: notice window (verified)",IF(AND(U472&lt;&gt;"",AA472&lt;=Scoring!$B$6),"Expiring: 10-yr horizon (verified)",IF(M472="No Longer Monitored","Out of program",IF(N472="","Unknown vintage",IF(N472&lt;Scoring!$B$12,"Pre-1990, still listed",IF(AND(U472="",AA472&lt;0),"Past 30-yr mark (verify)",IF(AND(U472="",AA472&lt;=Scoring!$B$5),"30-yr mark: notice window (est.)",IF(AND(O472&gt;=Scoring!$B$7,O472&lt;=Scoring!$B$8),"Year-15 window",IF(O472&gt;=Scoring!$B$9,"Recap window",IF(O472&gt;=11,"Late compliance","Credit period"))))))))))))</f>
        <v>Recap window</v>
      </c>
      <c r="E472" s="15" t="s">
        <v>1748</v>
      </c>
      <c r="F472" s="15" t="s">
        <v>1749</v>
      </c>
      <c r="G472" s="15" t="s">
        <v>1750</v>
      </c>
      <c r="H472" s="15" t="s">
        <v>292</v>
      </c>
      <c r="I472" s="15" t="s">
        <v>293</v>
      </c>
      <c r="J472" s="15" t="n">
        <v>16</v>
      </c>
      <c r="K472" s="15" t="n">
        <v>16</v>
      </c>
      <c r="L472" s="15" t="n">
        <f aca="false">IF(OR(J472="",K472=""),"",MAX(J472-K472,0))</f>
        <v>0</v>
      </c>
      <c r="M472" s="15" t="s">
        <v>99</v>
      </c>
      <c r="N472" s="17" t="n">
        <v>2003</v>
      </c>
      <c r="O472" s="15" t="n">
        <f aca="false">IF(N472="","",Scoring!$B$4-N472)</f>
        <v>23</v>
      </c>
      <c r="P472" s="15" t="n">
        <f aca="false">IF(N472="","",N472+14)</f>
        <v>2017</v>
      </c>
      <c r="Q472" s="15" t="n">
        <f aca="false">IF(N472="","",IF(N472&lt;Scoring!$B$12,"n/a (pre-1990)",N472+Scoring!$B$13))</f>
        <v>2032</v>
      </c>
      <c r="R472" s="15" t="str">
        <f aca="false">IF(J472="","Unknown",IF(J472&gt;=5,"Yes","No (under 5 units)"))</f>
        <v>Yes</v>
      </c>
      <c r="S472" s="15"/>
      <c r="T472" s="18"/>
      <c r="U472" s="19"/>
      <c r="V472" s="18"/>
      <c r="W472" s="18"/>
      <c r="X472" s="20"/>
      <c r="Y472" s="18"/>
      <c r="Z472" s="18"/>
      <c r="AA472" s="21" t="n">
        <f aca="false">IF(U472&lt;&gt;"",(U472-Scoring!$B$3)/365.25,IF(N472="","",IF(N472&lt;Scoring!$B$12,"",(DATE(N472+Scoring!$B$13,12,31)-Scoring!$B$3)/365.25)))</f>
        <v>6.24777549623546</v>
      </c>
      <c r="AB472" s="22" t="n">
        <f aca="false">IF(T472="Y",0,IF(OR(D472="Expired (verified)",D472="Expiring: notice window (verified)",D472="Expiring: 10-yr horizon (verified)",D472="Past 30-yr mark (verify)",D472="30-yr mark: notice window (est.)",D472="Year-15 window"),1,0)+IF(ISNUMBER(O472),IF(O472&gt;=Scoring!$B$10,1,0),0)+IF(AND(ISNUMBER(L472),ISNUMBER(J472)),IF(J472&gt;0,IF(L472/J472&gt;=Scoring!$B$11,1,0),0),0)+IF(ISNUMBER(Z472),MIN(Z472,3),0))</f>
        <v>1</v>
      </c>
      <c r="AC472" s="22" t="n">
        <f aca="false">IF(AB472&gt;=3,Scoring!$C$24,IF(AB472=2,Scoring!$C$23,IF(AB472=1,Scoring!$C$22,0)))</f>
        <v>10</v>
      </c>
      <c r="AD472" s="22" t="n">
        <f aca="false">IF(T472="Y",0,IF(ISNUMBER(X472),IF(X472&gt;0.7,Scoring!$C$25,IF(X472&gt;=0.5,Scoring!$C$26,IF(X472&gt;=0.3,Scoring!$C$27,Scoring!$C$28))),Scoring!$C$29))</f>
        <v>10</v>
      </c>
      <c r="AE472" s="22" t="n">
        <f aca="false">IF(D472="Expiring: notice window (verified)",Scoring!$C$30,IF(OR(D472="Expired (verified)",D472="30-yr mark: notice window (est.)",D472="Year-15 window"),Scoring!$C$31,IF(D472="Expiring: 10-yr horizon (verified)",Scoring!$C$32,IF(D472="Past 30-yr mark (verify)",Scoring!$C$33,IF(OR(D472="Credit period",D472="Superseded record"),Scoring!$C$35,Scoring!$C$34)))))</f>
        <v>4</v>
      </c>
      <c r="AF472" s="22" t="n">
        <f aca="false">IF(T472="Y",0,IF(ISNUMBER(V472),IF(Scoring!$B$4-V472&gt;15,Scoring!$C$36,IF(Scoring!$B$4-V472&gt;=10,Scoring!$C$37,IF(Scoring!$B$4-V472&gt;=5,Scoring!$C$38,Scoring!$C$39))),IF(OR(N472="",D472="Out of program"),Scoring!$C$40,IF(O472&gt;15,Scoring!$C$36,IF(O472&gt;=10,Scoring!$C$37,IF(O472&gt;=5,Scoring!$C$38,Scoring!$C$39))))))</f>
        <v>15</v>
      </c>
      <c r="AG472" s="22" t="n">
        <f aca="false">IF(T472="Y",0,IF(Y472="Y",Scoring!$C$41,IF(ISNUMBER(O472),IF(O472&gt;=25,Scoring!$C$42,IF(O472&gt;=15,Scoring!$C$43,Scoring!$C$44)),Scoring!$C$44)))</f>
        <v>5</v>
      </c>
      <c r="AH472" s="22" t="n">
        <f aca="false">IF(T472="Y",0,IF(W472="",Scoring!$C$49,IFERROR(VLOOKUP(W472,Scoring!$B$45:$C$48,2,FALSE()),Scoring!$C$49)))</f>
        <v>5</v>
      </c>
      <c r="AI472" s="23" t="n">
        <f aca="false">C472+IF(ISNUMBER(J472),J472,0)/100000+(10000-ROW())/1000000000</f>
        <v>49.000169528</v>
      </c>
      <c r="AJ472" s="18"/>
      <c r="AK472" s="18"/>
      <c r="AL472" s="18"/>
      <c r="AM472" s="18"/>
    </row>
    <row r="473" customFormat="false" ht="15" hidden="false" customHeight="false" outlineLevel="0" collapsed="false">
      <c r="A473" s="15" t="n">
        <f aca="false">RANK(AI473,$AI$2:$AI$755)</f>
        <v>472</v>
      </c>
      <c r="B473" s="16" t="str">
        <f aca="false">IF(T473="Y","Superseded",IF(C473&gt;=Scoring!$B$16,"Immediate",IF(C473&gt;=Scoring!$B$17,"This week",IF(C473&gt;=Scoring!$B$18,"Nurture","Low"))))</f>
        <v>Nurture</v>
      </c>
      <c r="C473" s="3" t="n">
        <f aca="false">SUM(AC473:AH473)</f>
        <v>49</v>
      </c>
      <c r="D473" s="15" t="str">
        <f aca="false">IF(T473="Y","Superseded record",IF(AND(U473&lt;&gt;"",AA473&lt;0),"Expired (verified)",IF(AND(U473&lt;&gt;"",AA473&lt;=Scoring!$B$5),"Expiring: notice window (verified)",IF(AND(U473&lt;&gt;"",AA473&lt;=Scoring!$B$6),"Expiring: 10-yr horizon (verified)",IF(M473="No Longer Monitored","Out of program",IF(N473="","Unknown vintage",IF(N473&lt;Scoring!$B$12,"Pre-1990, still listed",IF(AND(U473="",AA473&lt;0),"Past 30-yr mark (verify)",IF(AND(U473="",AA473&lt;=Scoring!$B$5),"30-yr mark: notice window (est.)",IF(AND(O473&gt;=Scoring!$B$7,O473&lt;=Scoring!$B$8),"Year-15 window",IF(O473&gt;=Scoring!$B$9,"Recap window",IF(O473&gt;=11,"Late compliance","Credit period"))))))))))))</f>
        <v>Recap window</v>
      </c>
      <c r="E473" s="15" t="s">
        <v>1751</v>
      </c>
      <c r="F473" s="15" t="s">
        <v>1752</v>
      </c>
      <c r="G473" s="15" t="s">
        <v>1753</v>
      </c>
      <c r="H473" s="15" t="s">
        <v>107</v>
      </c>
      <c r="I473" s="15" t="s">
        <v>594</v>
      </c>
      <c r="J473" s="15" t="n">
        <v>16</v>
      </c>
      <c r="K473" s="15" t="n">
        <v>16</v>
      </c>
      <c r="L473" s="15" t="n">
        <f aca="false">IF(OR(J473="",K473=""),"",MAX(J473-K473,0))</f>
        <v>0</v>
      </c>
      <c r="M473" s="15" t="s">
        <v>99</v>
      </c>
      <c r="N473" s="17" t="n">
        <v>2006</v>
      </c>
      <c r="O473" s="15" t="n">
        <f aca="false">IF(N473="","",Scoring!$B$4-N473)</f>
        <v>20</v>
      </c>
      <c r="P473" s="15" t="n">
        <f aca="false">IF(N473="","",N473+14)</f>
        <v>2020</v>
      </c>
      <c r="Q473" s="15" t="n">
        <f aca="false">IF(N473="","",IF(N473&lt;Scoring!$B$12,"n/a (pre-1990)",N473+Scoring!$B$13))</f>
        <v>2035</v>
      </c>
      <c r="R473" s="15" t="str">
        <f aca="false">IF(J473="","Unknown",IF(J473&gt;=5,"Yes","No (under 5 units)"))</f>
        <v>Yes</v>
      </c>
      <c r="S473" s="15"/>
      <c r="T473" s="18"/>
      <c r="U473" s="19"/>
      <c r="V473" s="18"/>
      <c r="W473" s="18"/>
      <c r="X473" s="20"/>
      <c r="Y473" s="18"/>
      <c r="Z473" s="18"/>
      <c r="AA473" s="21" t="n">
        <f aca="false">IF(U473&lt;&gt;"",(U473-Scoring!$B$3)/365.25,IF(N473="","",IF(N473&lt;Scoring!$B$12,"",(DATE(N473+Scoring!$B$13,12,31)-Scoring!$B$3)/365.25)))</f>
        <v>9.24572210814511</v>
      </c>
      <c r="AB473" s="22" t="n">
        <f aca="false">IF(T473="Y",0,IF(OR(D473="Expired (verified)",D473="Expiring: notice window (verified)",D473="Expiring: 10-yr horizon (verified)",D473="Past 30-yr mark (verify)",D473="30-yr mark: notice window (est.)",D473="Year-15 window"),1,0)+IF(ISNUMBER(O473),IF(O473&gt;=Scoring!$B$10,1,0),0)+IF(AND(ISNUMBER(L473),ISNUMBER(J473)),IF(J473&gt;0,IF(L473/J473&gt;=Scoring!$B$11,1,0),0),0)+IF(ISNUMBER(Z473),MIN(Z473,3),0))</f>
        <v>1</v>
      </c>
      <c r="AC473" s="22" t="n">
        <f aca="false">IF(AB473&gt;=3,Scoring!$C$24,IF(AB473=2,Scoring!$C$23,IF(AB473=1,Scoring!$C$22,0)))</f>
        <v>10</v>
      </c>
      <c r="AD473" s="22" t="n">
        <f aca="false">IF(T473="Y",0,IF(ISNUMBER(X473),IF(X473&gt;0.7,Scoring!$C$25,IF(X473&gt;=0.5,Scoring!$C$26,IF(X473&gt;=0.3,Scoring!$C$27,Scoring!$C$28))),Scoring!$C$29))</f>
        <v>10</v>
      </c>
      <c r="AE473" s="22" t="n">
        <f aca="false">IF(D473="Expiring: notice window (verified)",Scoring!$C$30,IF(OR(D473="Expired (verified)",D473="30-yr mark: notice window (est.)",D473="Year-15 window"),Scoring!$C$31,IF(D473="Expiring: 10-yr horizon (verified)",Scoring!$C$32,IF(D473="Past 30-yr mark (verify)",Scoring!$C$33,IF(OR(D473="Credit period",D473="Superseded record"),Scoring!$C$35,Scoring!$C$34)))))</f>
        <v>4</v>
      </c>
      <c r="AF473" s="22" t="n">
        <f aca="false">IF(T473="Y",0,IF(ISNUMBER(V473),IF(Scoring!$B$4-V473&gt;15,Scoring!$C$36,IF(Scoring!$B$4-V473&gt;=10,Scoring!$C$37,IF(Scoring!$B$4-V473&gt;=5,Scoring!$C$38,Scoring!$C$39))),IF(OR(N473="",D473="Out of program"),Scoring!$C$40,IF(O473&gt;15,Scoring!$C$36,IF(O473&gt;=10,Scoring!$C$37,IF(O473&gt;=5,Scoring!$C$38,Scoring!$C$39))))))</f>
        <v>15</v>
      </c>
      <c r="AG473" s="22" t="n">
        <f aca="false">IF(T473="Y",0,IF(Y473="Y",Scoring!$C$41,IF(ISNUMBER(O473),IF(O473&gt;=25,Scoring!$C$42,IF(O473&gt;=15,Scoring!$C$43,Scoring!$C$44)),Scoring!$C$44)))</f>
        <v>5</v>
      </c>
      <c r="AH473" s="22" t="n">
        <f aca="false">IF(T473="Y",0,IF(W473="",Scoring!$C$49,IFERROR(VLOOKUP(W473,Scoring!$B$45:$C$48,2,FALSE()),Scoring!$C$49)))</f>
        <v>5</v>
      </c>
      <c r="AI473" s="23" t="n">
        <f aca="false">C473+IF(ISNUMBER(J473),J473,0)/100000+(10000-ROW())/1000000000</f>
        <v>49.000169527</v>
      </c>
      <c r="AJ473" s="18"/>
      <c r="AK473" s="18"/>
      <c r="AL473" s="18"/>
      <c r="AM473" s="18"/>
    </row>
    <row r="474" customFormat="false" ht="15" hidden="false" customHeight="false" outlineLevel="0" collapsed="false">
      <c r="A474" s="15" t="n">
        <f aca="false">RANK(AI474,$AI$2:$AI$755)</f>
        <v>473</v>
      </c>
      <c r="B474" s="16" t="str">
        <f aca="false">IF(T474="Y","Superseded",IF(C474&gt;=Scoring!$B$16,"Immediate",IF(C474&gt;=Scoring!$B$17,"This week",IF(C474&gt;=Scoring!$B$18,"Nurture","Low"))))</f>
        <v>Nurture</v>
      </c>
      <c r="C474" s="3" t="n">
        <f aca="false">SUM(AC474:AH474)</f>
        <v>45</v>
      </c>
      <c r="D474" s="15" t="str">
        <f aca="false">IF(T474="Y","Superseded record",IF(AND(U474&lt;&gt;"",AA474&lt;0),"Expired (verified)",IF(AND(U474&lt;&gt;"",AA474&lt;=Scoring!$B$5),"Expiring: notice window (verified)",IF(AND(U474&lt;&gt;"",AA474&lt;=Scoring!$B$6),"Expiring: 10-yr horizon (verified)",IF(M474="No Longer Monitored","Out of program",IF(N474="","Unknown vintage",IF(N474&lt;Scoring!$B$12,"Pre-1990, still listed",IF(AND(U474="",AA474&lt;0),"Past 30-yr mark (verify)",IF(AND(U474="",AA474&lt;=Scoring!$B$5),"30-yr mark: notice window (est.)",IF(AND(O474&gt;=Scoring!$B$7,O474&lt;=Scoring!$B$8),"Year-15 window",IF(O474&gt;=Scoring!$B$9,"Recap window",IF(O474&gt;=11,"Late compliance","Credit period"))))))))))))</f>
        <v>Out of program</v>
      </c>
      <c r="E474" s="15" t="s">
        <v>1754</v>
      </c>
      <c r="F474" s="15" t="s">
        <v>1755</v>
      </c>
      <c r="G474" s="15" t="s">
        <v>1756</v>
      </c>
      <c r="H474" s="15" t="s">
        <v>97</v>
      </c>
      <c r="I474" s="15" t="s">
        <v>729</v>
      </c>
      <c r="J474" s="15" t="n">
        <v>264</v>
      </c>
      <c r="K474" s="15" t="n">
        <v>264</v>
      </c>
      <c r="L474" s="15" t="n">
        <f aca="false">IF(OR(J474="",K474=""),"",MAX(J474-K474,0))</f>
        <v>0</v>
      </c>
      <c r="M474" s="15" t="s">
        <v>1757</v>
      </c>
      <c r="N474" s="17" t="n">
        <v>1990</v>
      </c>
      <c r="O474" s="15" t="n">
        <f aca="false">IF(N474="","",Scoring!$B$4-N474)</f>
        <v>36</v>
      </c>
      <c r="P474" s="15" t="n">
        <f aca="false">IF(N474="","",N474+14)</f>
        <v>2004</v>
      </c>
      <c r="Q474" s="15" t="n">
        <f aca="false">IF(N474="","",IF(N474&lt;Scoring!$B$12,"n/a (pre-1990)",N474+Scoring!$B$13))</f>
        <v>2019</v>
      </c>
      <c r="R474" s="15" t="str">
        <f aca="false">IF(J474="","Unknown",IF(J474&gt;=5,"Yes","No (under 5 units)"))</f>
        <v>Yes</v>
      </c>
      <c r="S474" s="15"/>
      <c r="T474" s="18"/>
      <c r="U474" s="19"/>
      <c r="V474" s="18"/>
      <c r="W474" s="18"/>
      <c r="X474" s="20"/>
      <c r="Y474" s="18"/>
      <c r="Z474" s="18"/>
      <c r="AA474" s="21" t="n">
        <f aca="false">IF(U474&lt;&gt;"",(U474-Scoring!$B$3)/365.25,IF(N474="","",IF(N474&lt;Scoring!$B$12,"",(DATE(N474+Scoring!$B$13,12,31)-Scoring!$B$3)/365.25)))</f>
        <v>-6.75427789185489</v>
      </c>
      <c r="AB474" s="22" t="n">
        <f aca="false">IF(T474="Y",0,IF(OR(D474="Expired (verified)",D474="Expiring: notice window (verified)",D474="Expiring: 10-yr horizon (verified)",D474="Past 30-yr mark (verify)",D474="30-yr mark: notice window (est.)",D474="Year-15 window"),1,0)+IF(ISNUMBER(O474),IF(O474&gt;=Scoring!$B$10,1,0),0)+IF(AND(ISNUMBER(L474),ISNUMBER(J474)),IF(J474&gt;0,IF(L474/J474&gt;=Scoring!$B$11,1,0),0),0)+IF(ISNUMBER(Z474),MIN(Z474,3),0))</f>
        <v>1</v>
      </c>
      <c r="AC474" s="22" t="n">
        <f aca="false">IF(AB474&gt;=3,Scoring!$C$24,IF(AB474=2,Scoring!$C$23,IF(AB474=1,Scoring!$C$22,0)))</f>
        <v>10</v>
      </c>
      <c r="AD474" s="22" t="n">
        <f aca="false">IF(T474="Y",0,IF(ISNUMBER(X474),IF(X474&gt;0.7,Scoring!$C$25,IF(X474&gt;=0.5,Scoring!$C$26,IF(X474&gt;=0.3,Scoring!$C$27,Scoring!$C$28))),Scoring!$C$29))</f>
        <v>10</v>
      </c>
      <c r="AE474" s="22" t="n">
        <f aca="false">IF(D474="Expiring: notice window (verified)",Scoring!$C$30,IF(OR(D474="Expired (verified)",D474="30-yr mark: notice window (est.)",D474="Year-15 window"),Scoring!$C$31,IF(D474="Expiring: 10-yr horizon (verified)",Scoring!$C$32,IF(D474="Past 30-yr mark (verify)",Scoring!$C$33,IF(OR(D474="Credit period",D474="Superseded record"),Scoring!$C$35,Scoring!$C$34)))))</f>
        <v>4</v>
      </c>
      <c r="AF474" s="22" t="n">
        <f aca="false">IF(T474="Y",0,IF(ISNUMBER(V474),IF(Scoring!$B$4-V474&gt;15,Scoring!$C$36,IF(Scoring!$B$4-V474&gt;=10,Scoring!$C$37,IF(Scoring!$B$4-V474&gt;=5,Scoring!$C$38,Scoring!$C$39))),IF(OR(N474="",D474="Out of program"),Scoring!$C$40,IF(O474&gt;15,Scoring!$C$36,IF(O474&gt;=10,Scoring!$C$37,IF(O474&gt;=5,Scoring!$C$38,Scoring!$C$39))))))</f>
        <v>8</v>
      </c>
      <c r="AG474" s="22" t="n">
        <f aca="false">IF(T474="Y",0,IF(Y474="Y",Scoring!$C$41,IF(ISNUMBER(O474),IF(O474&gt;=25,Scoring!$C$42,IF(O474&gt;=15,Scoring!$C$43,Scoring!$C$44)),Scoring!$C$44)))</f>
        <v>8</v>
      </c>
      <c r="AH474" s="22" t="n">
        <f aca="false">IF(T474="Y",0,IF(W474="",Scoring!$C$49,IFERROR(VLOOKUP(W474,Scoring!$B$45:$C$48,2,FALSE()),Scoring!$C$49)))</f>
        <v>5</v>
      </c>
      <c r="AI474" s="23" t="n">
        <f aca="false">C474+IF(ISNUMBER(J474),J474,0)/100000+(10000-ROW())/1000000000</f>
        <v>45.002649526</v>
      </c>
      <c r="AJ474" s="18"/>
      <c r="AK474" s="18"/>
      <c r="AL474" s="18"/>
      <c r="AM474" s="18"/>
    </row>
    <row r="475" customFormat="false" ht="15" hidden="false" customHeight="false" outlineLevel="0" collapsed="false">
      <c r="A475" s="15" t="n">
        <f aca="false">RANK(AI475,$AI$2:$AI$755)</f>
        <v>474</v>
      </c>
      <c r="B475" s="16" t="str">
        <f aca="false">IF(T475="Y","Superseded",IF(C475&gt;=Scoring!$B$16,"Immediate",IF(C475&gt;=Scoring!$B$17,"This week",IF(C475&gt;=Scoring!$B$18,"Nurture","Low"))))</f>
        <v>Nurture</v>
      </c>
      <c r="C475" s="3" t="n">
        <f aca="false">SUM(AC475:AH475)</f>
        <v>45</v>
      </c>
      <c r="D475" s="15" t="str">
        <f aca="false">IF(T475="Y","Superseded record",IF(AND(U475&lt;&gt;"",AA475&lt;0),"Expired (verified)",IF(AND(U475&lt;&gt;"",AA475&lt;=Scoring!$B$5),"Expiring: notice window (verified)",IF(AND(U475&lt;&gt;"",AA475&lt;=Scoring!$B$6),"Expiring: 10-yr horizon (verified)",IF(M475="No Longer Monitored","Out of program",IF(N475="","Unknown vintage",IF(N475&lt;Scoring!$B$12,"Pre-1990, still listed",IF(AND(U475="",AA475&lt;0),"Past 30-yr mark (verify)",IF(AND(U475="",AA475&lt;=Scoring!$B$5),"30-yr mark: notice window (est.)",IF(AND(O475&gt;=Scoring!$B$7,O475&lt;=Scoring!$B$8),"Year-15 window",IF(O475&gt;=Scoring!$B$9,"Recap window",IF(O475&gt;=11,"Late compliance","Credit period"))))))))))))</f>
        <v>Out of program</v>
      </c>
      <c r="E475" s="15" t="s">
        <v>1758</v>
      </c>
      <c r="F475" s="15" t="s">
        <v>1759</v>
      </c>
      <c r="G475" s="15" t="s">
        <v>1760</v>
      </c>
      <c r="H475" s="15" t="s">
        <v>473</v>
      </c>
      <c r="I475" s="15" t="s">
        <v>463</v>
      </c>
      <c r="J475" s="15" t="n">
        <v>221</v>
      </c>
      <c r="K475" s="15" t="n">
        <v>221</v>
      </c>
      <c r="L475" s="15" t="n">
        <f aca="false">IF(OR(J475="",K475=""),"",MAX(J475-K475,0))</f>
        <v>0</v>
      </c>
      <c r="M475" s="15" t="s">
        <v>1757</v>
      </c>
      <c r="N475" s="17" t="n">
        <v>1989</v>
      </c>
      <c r="O475" s="15" t="n">
        <f aca="false">IF(N475="","",Scoring!$B$4-N475)</f>
        <v>37</v>
      </c>
      <c r="P475" s="15" t="n">
        <f aca="false">IF(N475="","",N475+14)</f>
        <v>2003</v>
      </c>
      <c r="Q475" s="15" t="str">
        <f aca="false">IF(N475="","",IF(N475&lt;Scoring!$B$12,"n/a (pre-1990)",N475+Scoring!$B$13))</f>
        <v>n/a (pre-1990)</v>
      </c>
      <c r="R475" s="15" t="str">
        <f aca="false">IF(J475="","Unknown",IF(J475&gt;=5,"Yes","No (under 5 units)"))</f>
        <v>Yes</v>
      </c>
      <c r="S475" s="15"/>
      <c r="T475" s="18"/>
      <c r="U475" s="19"/>
      <c r="V475" s="18"/>
      <c r="W475" s="18"/>
      <c r="X475" s="20"/>
      <c r="Y475" s="18"/>
      <c r="Z475" s="18"/>
      <c r="AA475" s="21" t="str">
        <f aca="false">IF(U475&lt;&gt;"",(U475-Scoring!$B$3)/365.25,IF(N475="","",IF(N475&lt;Scoring!$B$12,"",(DATE(N475+Scoring!$B$13,12,31)-Scoring!$B$3)/365.25)))</f>
        <v/>
      </c>
      <c r="AB475" s="22" t="n">
        <f aca="false">IF(T475="Y",0,IF(OR(D475="Expired (verified)",D475="Expiring: notice window (verified)",D475="Expiring: 10-yr horizon (verified)",D475="Past 30-yr mark (verify)",D475="30-yr mark: notice window (est.)",D475="Year-15 window"),1,0)+IF(ISNUMBER(O475),IF(O475&gt;=Scoring!$B$10,1,0),0)+IF(AND(ISNUMBER(L475),ISNUMBER(J475)),IF(J475&gt;0,IF(L475/J475&gt;=Scoring!$B$11,1,0),0),0)+IF(ISNUMBER(Z475),MIN(Z475,3),0))</f>
        <v>1</v>
      </c>
      <c r="AC475" s="22" t="n">
        <f aca="false">IF(AB475&gt;=3,Scoring!$C$24,IF(AB475=2,Scoring!$C$23,IF(AB475=1,Scoring!$C$22,0)))</f>
        <v>10</v>
      </c>
      <c r="AD475" s="22" t="n">
        <f aca="false">IF(T475="Y",0,IF(ISNUMBER(X475),IF(X475&gt;0.7,Scoring!$C$25,IF(X475&gt;=0.5,Scoring!$C$26,IF(X475&gt;=0.3,Scoring!$C$27,Scoring!$C$28))),Scoring!$C$29))</f>
        <v>10</v>
      </c>
      <c r="AE475" s="22" t="n">
        <f aca="false">IF(D475="Expiring: notice window (verified)",Scoring!$C$30,IF(OR(D475="Expired (verified)",D475="30-yr mark: notice window (est.)",D475="Year-15 window"),Scoring!$C$31,IF(D475="Expiring: 10-yr horizon (verified)",Scoring!$C$32,IF(D475="Past 30-yr mark (verify)",Scoring!$C$33,IF(OR(D475="Credit period",D475="Superseded record"),Scoring!$C$35,Scoring!$C$34)))))</f>
        <v>4</v>
      </c>
      <c r="AF475" s="22" t="n">
        <f aca="false">IF(T475="Y",0,IF(ISNUMBER(V475),IF(Scoring!$B$4-V475&gt;15,Scoring!$C$36,IF(Scoring!$B$4-V475&gt;=10,Scoring!$C$37,IF(Scoring!$B$4-V475&gt;=5,Scoring!$C$38,Scoring!$C$39))),IF(OR(N475="",D475="Out of program"),Scoring!$C$40,IF(O475&gt;15,Scoring!$C$36,IF(O475&gt;=10,Scoring!$C$37,IF(O475&gt;=5,Scoring!$C$38,Scoring!$C$39))))))</f>
        <v>8</v>
      </c>
      <c r="AG475" s="22" t="n">
        <f aca="false">IF(T475="Y",0,IF(Y475="Y",Scoring!$C$41,IF(ISNUMBER(O475),IF(O475&gt;=25,Scoring!$C$42,IF(O475&gt;=15,Scoring!$C$43,Scoring!$C$44)),Scoring!$C$44)))</f>
        <v>8</v>
      </c>
      <c r="AH475" s="22" t="n">
        <f aca="false">IF(T475="Y",0,IF(W475="",Scoring!$C$49,IFERROR(VLOOKUP(W475,Scoring!$B$45:$C$48,2,FALSE()),Scoring!$C$49)))</f>
        <v>5</v>
      </c>
      <c r="AI475" s="23" t="n">
        <f aca="false">C475+IF(ISNUMBER(J475),J475,0)/100000+(10000-ROW())/1000000000</f>
        <v>45.002219525</v>
      </c>
      <c r="AJ475" s="18"/>
      <c r="AK475" s="18"/>
      <c r="AL475" s="18"/>
      <c r="AM475" s="18"/>
    </row>
    <row r="476" customFormat="false" ht="15" hidden="false" customHeight="false" outlineLevel="0" collapsed="false">
      <c r="A476" s="15" t="n">
        <f aca="false">RANK(AI476,$AI$2:$AI$755)</f>
        <v>475</v>
      </c>
      <c r="B476" s="16" t="str">
        <f aca="false">IF(T476="Y","Superseded",IF(C476&gt;=Scoring!$B$16,"Immediate",IF(C476&gt;=Scoring!$B$17,"This week",IF(C476&gt;=Scoring!$B$18,"Nurture","Low"))))</f>
        <v>Nurture</v>
      </c>
      <c r="C476" s="3" t="n">
        <f aca="false">SUM(AC476:AH476)</f>
        <v>45</v>
      </c>
      <c r="D476" s="15" t="str">
        <f aca="false">IF(T476="Y","Superseded record",IF(AND(U476&lt;&gt;"",AA476&lt;0),"Expired (verified)",IF(AND(U476&lt;&gt;"",AA476&lt;=Scoring!$B$5),"Expiring: notice window (verified)",IF(AND(U476&lt;&gt;"",AA476&lt;=Scoring!$B$6),"Expiring: 10-yr horizon (verified)",IF(M476="No Longer Monitored","Out of program",IF(N476="","Unknown vintage",IF(N476&lt;Scoring!$B$12,"Pre-1990, still listed",IF(AND(U476="",AA476&lt;0),"Past 30-yr mark (verify)",IF(AND(U476="",AA476&lt;=Scoring!$B$5),"30-yr mark: notice window (est.)",IF(AND(O476&gt;=Scoring!$B$7,O476&lt;=Scoring!$B$8),"Year-15 window",IF(O476&gt;=Scoring!$B$9,"Recap window",IF(O476&gt;=11,"Late compliance","Credit period"))))))))))))</f>
        <v>Out of program</v>
      </c>
      <c r="E476" s="15" t="s">
        <v>1761</v>
      </c>
      <c r="F476" s="15" t="s">
        <v>1762</v>
      </c>
      <c r="G476" s="15" t="s">
        <v>1763</v>
      </c>
      <c r="H476" s="15" t="s">
        <v>473</v>
      </c>
      <c r="I476" s="15" t="s">
        <v>510</v>
      </c>
      <c r="J476" s="15" t="n">
        <v>166</v>
      </c>
      <c r="K476" s="15" t="n">
        <v>166</v>
      </c>
      <c r="L476" s="15" t="n">
        <f aca="false">IF(OR(J476="",K476=""),"",MAX(J476-K476,0))</f>
        <v>0</v>
      </c>
      <c r="M476" s="15" t="s">
        <v>1757</v>
      </c>
      <c r="N476" s="17" t="n">
        <v>1988</v>
      </c>
      <c r="O476" s="15" t="n">
        <f aca="false">IF(N476="","",Scoring!$B$4-N476)</f>
        <v>38</v>
      </c>
      <c r="P476" s="15" t="n">
        <f aca="false">IF(N476="","",N476+14)</f>
        <v>2002</v>
      </c>
      <c r="Q476" s="15" t="str">
        <f aca="false">IF(N476="","",IF(N476&lt;Scoring!$B$12,"n/a (pre-1990)",N476+Scoring!$B$13))</f>
        <v>n/a (pre-1990)</v>
      </c>
      <c r="R476" s="15" t="str">
        <f aca="false">IF(J476="","Unknown",IF(J476&gt;=5,"Yes","No (under 5 units)"))</f>
        <v>Yes</v>
      </c>
      <c r="S476" s="15" t="s">
        <v>1764</v>
      </c>
      <c r="T476" s="18"/>
      <c r="U476" s="19"/>
      <c r="V476" s="18"/>
      <c r="W476" s="18"/>
      <c r="X476" s="20"/>
      <c r="Y476" s="18"/>
      <c r="Z476" s="18"/>
      <c r="AA476" s="21" t="str">
        <f aca="false">IF(U476&lt;&gt;"",(U476-Scoring!$B$3)/365.25,IF(N476="","",IF(N476&lt;Scoring!$B$12,"",(DATE(N476+Scoring!$B$13,12,31)-Scoring!$B$3)/365.25)))</f>
        <v/>
      </c>
      <c r="AB476" s="22" t="n">
        <f aca="false">IF(T476="Y",0,IF(OR(D476="Expired (verified)",D476="Expiring: notice window (verified)",D476="Expiring: 10-yr horizon (verified)",D476="Past 30-yr mark (verify)",D476="30-yr mark: notice window (est.)",D476="Year-15 window"),1,0)+IF(ISNUMBER(O476),IF(O476&gt;=Scoring!$B$10,1,0),0)+IF(AND(ISNUMBER(L476),ISNUMBER(J476)),IF(J476&gt;0,IF(L476/J476&gt;=Scoring!$B$11,1,0),0),0)+IF(ISNUMBER(Z476),MIN(Z476,3),0))</f>
        <v>1</v>
      </c>
      <c r="AC476" s="22" t="n">
        <f aca="false">IF(AB476&gt;=3,Scoring!$C$24,IF(AB476=2,Scoring!$C$23,IF(AB476=1,Scoring!$C$22,0)))</f>
        <v>10</v>
      </c>
      <c r="AD476" s="22" t="n">
        <f aca="false">IF(T476="Y",0,IF(ISNUMBER(X476),IF(X476&gt;0.7,Scoring!$C$25,IF(X476&gt;=0.5,Scoring!$C$26,IF(X476&gt;=0.3,Scoring!$C$27,Scoring!$C$28))),Scoring!$C$29))</f>
        <v>10</v>
      </c>
      <c r="AE476" s="22" t="n">
        <f aca="false">IF(D476="Expiring: notice window (verified)",Scoring!$C$30,IF(OR(D476="Expired (verified)",D476="30-yr mark: notice window (est.)",D476="Year-15 window"),Scoring!$C$31,IF(D476="Expiring: 10-yr horizon (verified)",Scoring!$C$32,IF(D476="Past 30-yr mark (verify)",Scoring!$C$33,IF(OR(D476="Credit period",D476="Superseded record"),Scoring!$C$35,Scoring!$C$34)))))</f>
        <v>4</v>
      </c>
      <c r="AF476" s="22" t="n">
        <f aca="false">IF(T476="Y",0,IF(ISNUMBER(V476),IF(Scoring!$B$4-V476&gt;15,Scoring!$C$36,IF(Scoring!$B$4-V476&gt;=10,Scoring!$C$37,IF(Scoring!$B$4-V476&gt;=5,Scoring!$C$38,Scoring!$C$39))),IF(OR(N476="",D476="Out of program"),Scoring!$C$40,IF(O476&gt;15,Scoring!$C$36,IF(O476&gt;=10,Scoring!$C$37,IF(O476&gt;=5,Scoring!$C$38,Scoring!$C$39))))))</f>
        <v>8</v>
      </c>
      <c r="AG476" s="22" t="n">
        <f aca="false">IF(T476="Y",0,IF(Y476="Y",Scoring!$C$41,IF(ISNUMBER(O476),IF(O476&gt;=25,Scoring!$C$42,IF(O476&gt;=15,Scoring!$C$43,Scoring!$C$44)),Scoring!$C$44)))</f>
        <v>8</v>
      </c>
      <c r="AH476" s="22" t="n">
        <f aca="false">IF(T476="Y",0,IF(W476="",Scoring!$C$49,IFERROR(VLOOKUP(W476,Scoring!$B$45:$C$48,2,FALSE()),Scoring!$C$49)))</f>
        <v>5</v>
      </c>
      <c r="AI476" s="23" t="n">
        <f aca="false">C476+IF(ISNUMBER(J476),J476,0)/100000+(10000-ROW())/1000000000</f>
        <v>45.001669524</v>
      </c>
      <c r="AJ476" s="18"/>
      <c r="AK476" s="18"/>
      <c r="AL476" s="18"/>
      <c r="AM476" s="18"/>
    </row>
    <row r="477" customFormat="false" ht="15" hidden="false" customHeight="false" outlineLevel="0" collapsed="false">
      <c r="A477" s="15" t="n">
        <f aca="false">RANK(AI477,$AI$2:$AI$755)</f>
        <v>476</v>
      </c>
      <c r="B477" s="16" t="str">
        <f aca="false">IF(T477="Y","Superseded",IF(C477&gt;=Scoring!$B$16,"Immediate",IF(C477&gt;=Scoring!$B$17,"This week",IF(C477&gt;=Scoring!$B$18,"Nurture","Low"))))</f>
        <v>Nurture</v>
      </c>
      <c r="C477" s="3" t="n">
        <f aca="false">SUM(AC477:AH477)</f>
        <v>45</v>
      </c>
      <c r="D477" s="15" t="str">
        <f aca="false">IF(T477="Y","Superseded record",IF(AND(U477&lt;&gt;"",AA477&lt;0),"Expired (verified)",IF(AND(U477&lt;&gt;"",AA477&lt;=Scoring!$B$5),"Expiring: notice window (verified)",IF(AND(U477&lt;&gt;"",AA477&lt;=Scoring!$B$6),"Expiring: 10-yr horizon (verified)",IF(M477="No Longer Monitored","Out of program",IF(N477="","Unknown vintage",IF(N477&lt;Scoring!$B$12,"Pre-1990, still listed",IF(AND(U477="",AA477&lt;0),"Past 30-yr mark (verify)",IF(AND(U477="",AA477&lt;=Scoring!$B$5),"30-yr mark: notice window (est.)",IF(AND(O477&gt;=Scoring!$B$7,O477&lt;=Scoring!$B$8),"Year-15 window",IF(O477&gt;=Scoring!$B$9,"Recap window",IF(O477&gt;=11,"Late compliance","Credit period"))))))))))))</f>
        <v>Out of program</v>
      </c>
      <c r="E477" s="15" t="s">
        <v>1765</v>
      </c>
      <c r="F477" s="15" t="s">
        <v>1766</v>
      </c>
      <c r="G477" s="15" t="s">
        <v>1767</v>
      </c>
      <c r="H477" s="15" t="s">
        <v>447</v>
      </c>
      <c r="I477" s="15" t="s">
        <v>448</v>
      </c>
      <c r="J477" s="15" t="n">
        <v>125</v>
      </c>
      <c r="K477" s="15" t="n">
        <v>125</v>
      </c>
      <c r="L477" s="15" t="n">
        <f aca="false">IF(OR(J477="",K477=""),"",MAX(J477-K477,0))</f>
        <v>0</v>
      </c>
      <c r="M477" s="15" t="s">
        <v>1757</v>
      </c>
      <c r="N477" s="17" t="n">
        <v>1997</v>
      </c>
      <c r="O477" s="15" t="n">
        <f aca="false">IF(N477="","",Scoring!$B$4-N477)</f>
        <v>29</v>
      </c>
      <c r="P477" s="15" t="n">
        <f aca="false">IF(N477="","",N477+14)</f>
        <v>2011</v>
      </c>
      <c r="Q477" s="15" t="n">
        <f aca="false">IF(N477="","",IF(N477&lt;Scoring!$B$12,"n/a (pre-1990)",N477+Scoring!$B$13))</f>
        <v>2026</v>
      </c>
      <c r="R477" s="15" t="str">
        <f aca="false">IF(J477="","Unknown",IF(J477&gt;=5,"Yes","No (under 5 units)"))</f>
        <v>Yes</v>
      </c>
      <c r="S477" s="15"/>
      <c r="T477" s="18"/>
      <c r="U477" s="19"/>
      <c r="V477" s="18"/>
      <c r="W477" s="18"/>
      <c r="X477" s="20"/>
      <c r="Y477" s="18"/>
      <c r="Z477" s="18"/>
      <c r="AA477" s="21" t="n">
        <f aca="false">IF(U477&lt;&gt;"",(U477-Scoring!$B$3)/365.25,IF(N477="","",IF(N477&lt;Scoring!$B$12,"",(DATE(N477+Scoring!$B$13,12,31)-Scoring!$B$3)/365.25)))</f>
        <v>0.246406570841889</v>
      </c>
      <c r="AB477" s="22" t="n">
        <f aca="false">IF(T477="Y",0,IF(OR(D477="Expired (verified)",D477="Expiring: notice window (verified)",D477="Expiring: 10-yr horizon (verified)",D477="Past 30-yr mark (verify)",D477="30-yr mark: notice window (est.)",D477="Year-15 window"),1,0)+IF(ISNUMBER(O477),IF(O477&gt;=Scoring!$B$10,1,0),0)+IF(AND(ISNUMBER(L477),ISNUMBER(J477)),IF(J477&gt;0,IF(L477/J477&gt;=Scoring!$B$11,1,0),0),0)+IF(ISNUMBER(Z477),MIN(Z477,3),0))</f>
        <v>1</v>
      </c>
      <c r="AC477" s="22" t="n">
        <f aca="false">IF(AB477&gt;=3,Scoring!$C$24,IF(AB477=2,Scoring!$C$23,IF(AB477=1,Scoring!$C$22,0)))</f>
        <v>10</v>
      </c>
      <c r="AD477" s="22" t="n">
        <f aca="false">IF(T477="Y",0,IF(ISNUMBER(X477),IF(X477&gt;0.7,Scoring!$C$25,IF(X477&gt;=0.5,Scoring!$C$26,IF(X477&gt;=0.3,Scoring!$C$27,Scoring!$C$28))),Scoring!$C$29))</f>
        <v>10</v>
      </c>
      <c r="AE477" s="22" t="n">
        <f aca="false">IF(D477="Expiring: notice window (verified)",Scoring!$C$30,IF(OR(D477="Expired (verified)",D477="30-yr mark: notice window (est.)",D477="Year-15 window"),Scoring!$C$31,IF(D477="Expiring: 10-yr horizon (verified)",Scoring!$C$32,IF(D477="Past 30-yr mark (verify)",Scoring!$C$33,IF(OR(D477="Credit period",D477="Superseded record"),Scoring!$C$35,Scoring!$C$34)))))</f>
        <v>4</v>
      </c>
      <c r="AF477" s="22" t="n">
        <f aca="false">IF(T477="Y",0,IF(ISNUMBER(V477),IF(Scoring!$B$4-V477&gt;15,Scoring!$C$36,IF(Scoring!$B$4-V477&gt;=10,Scoring!$C$37,IF(Scoring!$B$4-V477&gt;=5,Scoring!$C$38,Scoring!$C$39))),IF(OR(N477="",D477="Out of program"),Scoring!$C$40,IF(O477&gt;15,Scoring!$C$36,IF(O477&gt;=10,Scoring!$C$37,IF(O477&gt;=5,Scoring!$C$38,Scoring!$C$39))))))</f>
        <v>8</v>
      </c>
      <c r="AG477" s="22" t="n">
        <f aca="false">IF(T477="Y",0,IF(Y477="Y",Scoring!$C$41,IF(ISNUMBER(O477),IF(O477&gt;=25,Scoring!$C$42,IF(O477&gt;=15,Scoring!$C$43,Scoring!$C$44)),Scoring!$C$44)))</f>
        <v>8</v>
      </c>
      <c r="AH477" s="22" t="n">
        <f aca="false">IF(T477="Y",0,IF(W477="",Scoring!$C$49,IFERROR(VLOOKUP(W477,Scoring!$B$45:$C$48,2,FALSE()),Scoring!$C$49)))</f>
        <v>5</v>
      </c>
      <c r="AI477" s="23" t="n">
        <f aca="false">C477+IF(ISNUMBER(J477),J477,0)/100000+(10000-ROW())/1000000000</f>
        <v>45.001259523</v>
      </c>
      <c r="AJ477" s="18"/>
      <c r="AK477" s="18"/>
      <c r="AL477" s="18"/>
      <c r="AM477" s="18"/>
    </row>
    <row r="478" customFormat="false" ht="15" hidden="false" customHeight="false" outlineLevel="0" collapsed="false">
      <c r="A478" s="15" t="n">
        <f aca="false">RANK(AI478,$AI$2:$AI$755)</f>
        <v>477</v>
      </c>
      <c r="B478" s="16" t="str">
        <f aca="false">IF(T478="Y","Superseded",IF(C478&gt;=Scoring!$B$16,"Immediate",IF(C478&gt;=Scoring!$B$17,"This week",IF(C478&gt;=Scoring!$B$18,"Nurture","Low"))))</f>
        <v>Nurture</v>
      </c>
      <c r="C478" s="3" t="n">
        <f aca="false">SUM(AC478:AH478)</f>
        <v>45</v>
      </c>
      <c r="D478" s="15" t="str">
        <f aca="false">IF(T478="Y","Superseded record",IF(AND(U478&lt;&gt;"",AA478&lt;0),"Expired (verified)",IF(AND(U478&lt;&gt;"",AA478&lt;=Scoring!$B$5),"Expiring: notice window (verified)",IF(AND(U478&lt;&gt;"",AA478&lt;=Scoring!$B$6),"Expiring: 10-yr horizon (verified)",IF(M478="No Longer Monitored","Out of program",IF(N478="","Unknown vintage",IF(N478&lt;Scoring!$B$12,"Pre-1990, still listed",IF(AND(U478="",AA478&lt;0),"Past 30-yr mark (verify)",IF(AND(U478="",AA478&lt;=Scoring!$B$5),"30-yr mark: notice window (est.)",IF(AND(O478&gt;=Scoring!$B$7,O478&lt;=Scoring!$B$8),"Year-15 window",IF(O478&gt;=Scoring!$B$9,"Recap window",IF(O478&gt;=11,"Late compliance","Credit period"))))))))))))</f>
        <v>Out of program</v>
      </c>
      <c r="E478" s="15" t="s">
        <v>1768</v>
      </c>
      <c r="F478" s="15" t="s">
        <v>1769</v>
      </c>
      <c r="G478" s="15" t="s">
        <v>1770</v>
      </c>
      <c r="H478" s="15" t="s">
        <v>97</v>
      </c>
      <c r="I478" s="15" t="s">
        <v>362</v>
      </c>
      <c r="J478" s="15" t="n">
        <v>95</v>
      </c>
      <c r="K478" s="15" t="n">
        <v>95</v>
      </c>
      <c r="L478" s="15" t="n">
        <f aca="false">IF(OR(J478="",K478=""),"",MAX(J478-K478,0))</f>
        <v>0</v>
      </c>
      <c r="M478" s="15" t="s">
        <v>1757</v>
      </c>
      <c r="N478" s="17" t="n">
        <v>1988</v>
      </c>
      <c r="O478" s="15" t="n">
        <f aca="false">IF(N478="","",Scoring!$B$4-N478)</f>
        <v>38</v>
      </c>
      <c r="P478" s="15" t="n">
        <f aca="false">IF(N478="","",N478+14)</f>
        <v>2002</v>
      </c>
      <c r="Q478" s="15" t="str">
        <f aca="false">IF(N478="","",IF(N478&lt;Scoring!$B$12,"n/a (pre-1990)",N478+Scoring!$B$13))</f>
        <v>n/a (pre-1990)</v>
      </c>
      <c r="R478" s="15" t="str">
        <f aca="false">IF(J478="","Unknown",IF(J478&gt;=5,"Yes","No (under 5 units)"))</f>
        <v>Yes</v>
      </c>
      <c r="S478" s="15"/>
      <c r="T478" s="18"/>
      <c r="U478" s="19"/>
      <c r="V478" s="18"/>
      <c r="W478" s="18"/>
      <c r="X478" s="20"/>
      <c r="Y478" s="18"/>
      <c r="Z478" s="18"/>
      <c r="AA478" s="21" t="str">
        <f aca="false">IF(U478&lt;&gt;"",(U478-Scoring!$B$3)/365.25,IF(N478="","",IF(N478&lt;Scoring!$B$12,"",(DATE(N478+Scoring!$B$13,12,31)-Scoring!$B$3)/365.25)))</f>
        <v/>
      </c>
      <c r="AB478" s="22" t="n">
        <f aca="false">IF(T478="Y",0,IF(OR(D478="Expired (verified)",D478="Expiring: notice window (verified)",D478="Expiring: 10-yr horizon (verified)",D478="Past 30-yr mark (verify)",D478="30-yr mark: notice window (est.)",D478="Year-15 window"),1,0)+IF(ISNUMBER(O478),IF(O478&gt;=Scoring!$B$10,1,0),0)+IF(AND(ISNUMBER(L478),ISNUMBER(J478)),IF(J478&gt;0,IF(L478/J478&gt;=Scoring!$B$11,1,0),0),0)+IF(ISNUMBER(Z478),MIN(Z478,3),0))</f>
        <v>1</v>
      </c>
      <c r="AC478" s="22" t="n">
        <f aca="false">IF(AB478&gt;=3,Scoring!$C$24,IF(AB478=2,Scoring!$C$23,IF(AB478=1,Scoring!$C$22,0)))</f>
        <v>10</v>
      </c>
      <c r="AD478" s="22" t="n">
        <f aca="false">IF(T478="Y",0,IF(ISNUMBER(X478),IF(X478&gt;0.7,Scoring!$C$25,IF(X478&gt;=0.5,Scoring!$C$26,IF(X478&gt;=0.3,Scoring!$C$27,Scoring!$C$28))),Scoring!$C$29))</f>
        <v>10</v>
      </c>
      <c r="AE478" s="22" t="n">
        <f aca="false">IF(D478="Expiring: notice window (verified)",Scoring!$C$30,IF(OR(D478="Expired (verified)",D478="30-yr mark: notice window (est.)",D478="Year-15 window"),Scoring!$C$31,IF(D478="Expiring: 10-yr horizon (verified)",Scoring!$C$32,IF(D478="Past 30-yr mark (verify)",Scoring!$C$33,IF(OR(D478="Credit period",D478="Superseded record"),Scoring!$C$35,Scoring!$C$34)))))</f>
        <v>4</v>
      </c>
      <c r="AF478" s="22" t="n">
        <f aca="false">IF(T478="Y",0,IF(ISNUMBER(V478),IF(Scoring!$B$4-V478&gt;15,Scoring!$C$36,IF(Scoring!$B$4-V478&gt;=10,Scoring!$C$37,IF(Scoring!$B$4-V478&gt;=5,Scoring!$C$38,Scoring!$C$39))),IF(OR(N478="",D478="Out of program"),Scoring!$C$40,IF(O478&gt;15,Scoring!$C$36,IF(O478&gt;=10,Scoring!$C$37,IF(O478&gt;=5,Scoring!$C$38,Scoring!$C$39))))))</f>
        <v>8</v>
      </c>
      <c r="AG478" s="22" t="n">
        <f aca="false">IF(T478="Y",0,IF(Y478="Y",Scoring!$C$41,IF(ISNUMBER(O478),IF(O478&gt;=25,Scoring!$C$42,IF(O478&gt;=15,Scoring!$C$43,Scoring!$C$44)),Scoring!$C$44)))</f>
        <v>8</v>
      </c>
      <c r="AH478" s="22" t="n">
        <f aca="false">IF(T478="Y",0,IF(W478="",Scoring!$C$49,IFERROR(VLOOKUP(W478,Scoring!$B$45:$C$48,2,FALSE()),Scoring!$C$49)))</f>
        <v>5</v>
      </c>
      <c r="AI478" s="23" t="n">
        <f aca="false">C478+IF(ISNUMBER(J478),J478,0)/100000+(10000-ROW())/1000000000</f>
        <v>45.000959522</v>
      </c>
      <c r="AJ478" s="18"/>
      <c r="AK478" s="18"/>
      <c r="AL478" s="18"/>
      <c r="AM478" s="18"/>
    </row>
    <row r="479" customFormat="false" ht="15" hidden="false" customHeight="false" outlineLevel="0" collapsed="false">
      <c r="A479" s="15" t="n">
        <f aca="false">RANK(AI479,$AI$2:$AI$755)</f>
        <v>478</v>
      </c>
      <c r="B479" s="16" t="str">
        <f aca="false">IF(T479="Y","Superseded",IF(C479&gt;=Scoring!$B$16,"Immediate",IF(C479&gt;=Scoring!$B$17,"This week",IF(C479&gt;=Scoring!$B$18,"Nurture","Low"))))</f>
        <v>Nurture</v>
      </c>
      <c r="C479" s="3" t="n">
        <f aca="false">SUM(AC479:AH479)</f>
        <v>45</v>
      </c>
      <c r="D479" s="15" t="str">
        <f aca="false">IF(T479="Y","Superseded record",IF(AND(U479&lt;&gt;"",AA479&lt;0),"Expired (verified)",IF(AND(U479&lt;&gt;"",AA479&lt;=Scoring!$B$5),"Expiring: notice window (verified)",IF(AND(U479&lt;&gt;"",AA479&lt;=Scoring!$B$6),"Expiring: 10-yr horizon (verified)",IF(M479="No Longer Monitored","Out of program",IF(N479="","Unknown vintage",IF(N479&lt;Scoring!$B$12,"Pre-1990, still listed",IF(AND(U479="",AA479&lt;0),"Past 30-yr mark (verify)",IF(AND(U479="",AA479&lt;=Scoring!$B$5),"30-yr mark: notice window (est.)",IF(AND(O479&gt;=Scoring!$B$7,O479&lt;=Scoring!$B$8),"Year-15 window",IF(O479&gt;=Scoring!$B$9,"Recap window",IF(O479&gt;=11,"Late compliance","Credit period"))))))))))))</f>
        <v>Out of program</v>
      </c>
      <c r="E479" s="15" t="s">
        <v>1771</v>
      </c>
      <c r="F479" s="15" t="s">
        <v>1772</v>
      </c>
      <c r="G479" s="15" t="s">
        <v>1773</v>
      </c>
      <c r="H479" s="15" t="s">
        <v>447</v>
      </c>
      <c r="I479" s="15" t="s">
        <v>448</v>
      </c>
      <c r="J479" s="15" t="n">
        <v>84</v>
      </c>
      <c r="K479" s="15" t="n">
        <v>84</v>
      </c>
      <c r="L479" s="15" t="n">
        <f aca="false">IF(OR(J479="",K479=""),"",MAX(J479-K479,0))</f>
        <v>0</v>
      </c>
      <c r="M479" s="15" t="s">
        <v>1757</v>
      </c>
      <c r="N479" s="17" t="n">
        <v>1989</v>
      </c>
      <c r="O479" s="15" t="n">
        <f aca="false">IF(N479="","",Scoring!$B$4-N479)</f>
        <v>37</v>
      </c>
      <c r="P479" s="15" t="n">
        <f aca="false">IF(N479="","",N479+14)</f>
        <v>2003</v>
      </c>
      <c r="Q479" s="15" t="str">
        <f aca="false">IF(N479="","",IF(N479&lt;Scoring!$B$12,"n/a (pre-1990)",N479+Scoring!$B$13))</f>
        <v>n/a (pre-1990)</v>
      </c>
      <c r="R479" s="15" t="str">
        <f aca="false">IF(J479="","Unknown",IF(J479&gt;=5,"Yes","No (under 5 units)"))</f>
        <v>Yes</v>
      </c>
      <c r="S479" s="15"/>
      <c r="T479" s="18"/>
      <c r="U479" s="19"/>
      <c r="V479" s="18"/>
      <c r="W479" s="18"/>
      <c r="X479" s="20"/>
      <c r="Y479" s="18"/>
      <c r="Z479" s="18"/>
      <c r="AA479" s="21" t="str">
        <f aca="false">IF(U479&lt;&gt;"",(U479-Scoring!$B$3)/365.25,IF(N479="","",IF(N479&lt;Scoring!$B$12,"",(DATE(N479+Scoring!$B$13,12,31)-Scoring!$B$3)/365.25)))</f>
        <v/>
      </c>
      <c r="AB479" s="22" t="n">
        <f aca="false">IF(T479="Y",0,IF(OR(D479="Expired (verified)",D479="Expiring: notice window (verified)",D479="Expiring: 10-yr horizon (verified)",D479="Past 30-yr mark (verify)",D479="30-yr mark: notice window (est.)",D479="Year-15 window"),1,0)+IF(ISNUMBER(O479),IF(O479&gt;=Scoring!$B$10,1,0),0)+IF(AND(ISNUMBER(L479),ISNUMBER(J479)),IF(J479&gt;0,IF(L479/J479&gt;=Scoring!$B$11,1,0),0),0)+IF(ISNUMBER(Z479),MIN(Z479,3),0))</f>
        <v>1</v>
      </c>
      <c r="AC479" s="22" t="n">
        <f aca="false">IF(AB479&gt;=3,Scoring!$C$24,IF(AB479=2,Scoring!$C$23,IF(AB479=1,Scoring!$C$22,0)))</f>
        <v>10</v>
      </c>
      <c r="AD479" s="22" t="n">
        <f aca="false">IF(T479="Y",0,IF(ISNUMBER(X479),IF(X479&gt;0.7,Scoring!$C$25,IF(X479&gt;=0.5,Scoring!$C$26,IF(X479&gt;=0.3,Scoring!$C$27,Scoring!$C$28))),Scoring!$C$29))</f>
        <v>10</v>
      </c>
      <c r="AE479" s="22" t="n">
        <f aca="false">IF(D479="Expiring: notice window (verified)",Scoring!$C$30,IF(OR(D479="Expired (verified)",D479="30-yr mark: notice window (est.)",D479="Year-15 window"),Scoring!$C$31,IF(D479="Expiring: 10-yr horizon (verified)",Scoring!$C$32,IF(D479="Past 30-yr mark (verify)",Scoring!$C$33,IF(OR(D479="Credit period",D479="Superseded record"),Scoring!$C$35,Scoring!$C$34)))))</f>
        <v>4</v>
      </c>
      <c r="AF479" s="22" t="n">
        <f aca="false">IF(T479="Y",0,IF(ISNUMBER(V479),IF(Scoring!$B$4-V479&gt;15,Scoring!$C$36,IF(Scoring!$B$4-V479&gt;=10,Scoring!$C$37,IF(Scoring!$B$4-V479&gt;=5,Scoring!$C$38,Scoring!$C$39))),IF(OR(N479="",D479="Out of program"),Scoring!$C$40,IF(O479&gt;15,Scoring!$C$36,IF(O479&gt;=10,Scoring!$C$37,IF(O479&gt;=5,Scoring!$C$38,Scoring!$C$39))))))</f>
        <v>8</v>
      </c>
      <c r="AG479" s="22" t="n">
        <f aca="false">IF(T479="Y",0,IF(Y479="Y",Scoring!$C$41,IF(ISNUMBER(O479),IF(O479&gt;=25,Scoring!$C$42,IF(O479&gt;=15,Scoring!$C$43,Scoring!$C$44)),Scoring!$C$44)))</f>
        <v>8</v>
      </c>
      <c r="AH479" s="22" t="n">
        <f aca="false">IF(T479="Y",0,IF(W479="",Scoring!$C$49,IFERROR(VLOOKUP(W479,Scoring!$B$45:$C$48,2,FALSE()),Scoring!$C$49)))</f>
        <v>5</v>
      </c>
      <c r="AI479" s="23" t="n">
        <f aca="false">C479+IF(ISNUMBER(J479),J479,0)/100000+(10000-ROW())/1000000000</f>
        <v>45.000849521</v>
      </c>
      <c r="AJ479" s="18"/>
      <c r="AK479" s="18"/>
      <c r="AL479" s="18"/>
      <c r="AM479" s="18"/>
    </row>
    <row r="480" customFormat="false" ht="15" hidden="false" customHeight="false" outlineLevel="0" collapsed="false">
      <c r="A480" s="15" t="n">
        <f aca="false">RANK(AI480,$AI$2:$AI$755)</f>
        <v>479</v>
      </c>
      <c r="B480" s="16" t="str">
        <f aca="false">IF(T480="Y","Superseded",IF(C480&gt;=Scoring!$B$16,"Immediate",IF(C480&gt;=Scoring!$B$17,"This week",IF(C480&gt;=Scoring!$B$18,"Nurture","Low"))))</f>
        <v>Nurture</v>
      </c>
      <c r="C480" s="3" t="n">
        <f aca="false">SUM(AC480:AH480)</f>
        <v>45</v>
      </c>
      <c r="D480" s="15" t="str">
        <f aca="false">IF(T480="Y","Superseded record",IF(AND(U480&lt;&gt;"",AA480&lt;0),"Expired (verified)",IF(AND(U480&lt;&gt;"",AA480&lt;=Scoring!$B$5),"Expiring: notice window (verified)",IF(AND(U480&lt;&gt;"",AA480&lt;=Scoring!$B$6),"Expiring: 10-yr horizon (verified)",IF(M480="No Longer Monitored","Out of program",IF(N480="","Unknown vintage",IF(N480&lt;Scoring!$B$12,"Pre-1990, still listed",IF(AND(U480="",AA480&lt;0),"Past 30-yr mark (verify)",IF(AND(U480="",AA480&lt;=Scoring!$B$5),"30-yr mark: notice window (est.)",IF(AND(O480&gt;=Scoring!$B$7,O480&lt;=Scoring!$B$8),"Year-15 window",IF(O480&gt;=Scoring!$B$9,"Recap window",IF(O480&gt;=11,"Late compliance","Credit period"))))))))))))</f>
        <v>Out of program</v>
      </c>
      <c r="E480" s="15" t="s">
        <v>1774</v>
      </c>
      <c r="F480" s="15" t="s">
        <v>1775</v>
      </c>
      <c r="G480" s="15" t="s">
        <v>1763</v>
      </c>
      <c r="H480" s="15" t="s">
        <v>473</v>
      </c>
      <c r="I480" s="15" t="s">
        <v>510</v>
      </c>
      <c r="J480" s="15" t="n">
        <v>72</v>
      </c>
      <c r="K480" s="15" t="n">
        <v>72</v>
      </c>
      <c r="L480" s="15" t="n">
        <f aca="false">IF(OR(J480="",K480=""),"",MAX(J480-K480,0))</f>
        <v>0</v>
      </c>
      <c r="M480" s="15" t="s">
        <v>1757</v>
      </c>
      <c r="N480" s="17" t="n">
        <v>1989</v>
      </c>
      <c r="O480" s="15" t="n">
        <f aca="false">IF(N480="","",Scoring!$B$4-N480)</f>
        <v>37</v>
      </c>
      <c r="P480" s="15" t="n">
        <f aca="false">IF(N480="","",N480+14)</f>
        <v>2003</v>
      </c>
      <c r="Q480" s="15" t="str">
        <f aca="false">IF(N480="","",IF(N480&lt;Scoring!$B$12,"n/a (pre-1990)",N480+Scoring!$B$13))</f>
        <v>n/a (pre-1990)</v>
      </c>
      <c r="R480" s="15" t="str">
        <f aca="false">IF(J480="","Unknown",IF(J480&gt;=5,"Yes","No (under 5 units)"))</f>
        <v>Yes</v>
      </c>
      <c r="S480" s="15" t="s">
        <v>1776</v>
      </c>
      <c r="T480" s="18"/>
      <c r="U480" s="19"/>
      <c r="V480" s="18"/>
      <c r="W480" s="18"/>
      <c r="X480" s="20"/>
      <c r="Y480" s="18"/>
      <c r="Z480" s="18"/>
      <c r="AA480" s="21" t="str">
        <f aca="false">IF(U480&lt;&gt;"",(U480-Scoring!$B$3)/365.25,IF(N480="","",IF(N480&lt;Scoring!$B$12,"",(DATE(N480+Scoring!$B$13,12,31)-Scoring!$B$3)/365.25)))</f>
        <v/>
      </c>
      <c r="AB480" s="22" t="n">
        <f aca="false">IF(T480="Y",0,IF(OR(D480="Expired (verified)",D480="Expiring: notice window (verified)",D480="Expiring: 10-yr horizon (verified)",D480="Past 30-yr mark (verify)",D480="30-yr mark: notice window (est.)",D480="Year-15 window"),1,0)+IF(ISNUMBER(O480),IF(O480&gt;=Scoring!$B$10,1,0),0)+IF(AND(ISNUMBER(L480),ISNUMBER(J480)),IF(J480&gt;0,IF(L480/J480&gt;=Scoring!$B$11,1,0),0),0)+IF(ISNUMBER(Z480),MIN(Z480,3),0))</f>
        <v>1</v>
      </c>
      <c r="AC480" s="22" t="n">
        <f aca="false">IF(AB480&gt;=3,Scoring!$C$24,IF(AB480=2,Scoring!$C$23,IF(AB480=1,Scoring!$C$22,0)))</f>
        <v>10</v>
      </c>
      <c r="AD480" s="22" t="n">
        <f aca="false">IF(T480="Y",0,IF(ISNUMBER(X480),IF(X480&gt;0.7,Scoring!$C$25,IF(X480&gt;=0.5,Scoring!$C$26,IF(X480&gt;=0.3,Scoring!$C$27,Scoring!$C$28))),Scoring!$C$29))</f>
        <v>10</v>
      </c>
      <c r="AE480" s="22" t="n">
        <f aca="false">IF(D480="Expiring: notice window (verified)",Scoring!$C$30,IF(OR(D480="Expired (verified)",D480="30-yr mark: notice window (est.)",D480="Year-15 window"),Scoring!$C$31,IF(D480="Expiring: 10-yr horizon (verified)",Scoring!$C$32,IF(D480="Past 30-yr mark (verify)",Scoring!$C$33,IF(OR(D480="Credit period",D480="Superseded record"),Scoring!$C$35,Scoring!$C$34)))))</f>
        <v>4</v>
      </c>
      <c r="AF480" s="22" t="n">
        <f aca="false">IF(T480="Y",0,IF(ISNUMBER(V480),IF(Scoring!$B$4-V480&gt;15,Scoring!$C$36,IF(Scoring!$B$4-V480&gt;=10,Scoring!$C$37,IF(Scoring!$B$4-V480&gt;=5,Scoring!$C$38,Scoring!$C$39))),IF(OR(N480="",D480="Out of program"),Scoring!$C$40,IF(O480&gt;15,Scoring!$C$36,IF(O480&gt;=10,Scoring!$C$37,IF(O480&gt;=5,Scoring!$C$38,Scoring!$C$39))))))</f>
        <v>8</v>
      </c>
      <c r="AG480" s="22" t="n">
        <f aca="false">IF(T480="Y",0,IF(Y480="Y",Scoring!$C$41,IF(ISNUMBER(O480),IF(O480&gt;=25,Scoring!$C$42,IF(O480&gt;=15,Scoring!$C$43,Scoring!$C$44)),Scoring!$C$44)))</f>
        <v>8</v>
      </c>
      <c r="AH480" s="22" t="n">
        <f aca="false">IF(T480="Y",0,IF(W480="",Scoring!$C$49,IFERROR(VLOOKUP(W480,Scoring!$B$45:$C$48,2,FALSE()),Scoring!$C$49)))</f>
        <v>5</v>
      </c>
      <c r="AI480" s="23" t="n">
        <f aca="false">C480+IF(ISNUMBER(J480),J480,0)/100000+(10000-ROW())/1000000000</f>
        <v>45.00072952</v>
      </c>
      <c r="AJ480" s="18"/>
      <c r="AK480" s="18"/>
      <c r="AL480" s="18"/>
      <c r="AM480" s="18"/>
    </row>
    <row r="481" customFormat="false" ht="15" hidden="false" customHeight="false" outlineLevel="0" collapsed="false">
      <c r="A481" s="15" t="n">
        <f aca="false">RANK(AI481,$AI$2:$AI$755)</f>
        <v>480</v>
      </c>
      <c r="B481" s="16" t="str">
        <f aca="false">IF(T481="Y","Superseded",IF(C481&gt;=Scoring!$B$16,"Immediate",IF(C481&gt;=Scoring!$B$17,"This week",IF(C481&gt;=Scoring!$B$18,"Nurture","Low"))))</f>
        <v>Nurture</v>
      </c>
      <c r="C481" s="3" t="n">
        <f aca="false">SUM(AC481:AH481)</f>
        <v>45</v>
      </c>
      <c r="D481" s="15" t="str">
        <f aca="false">IF(T481="Y","Superseded record",IF(AND(U481&lt;&gt;"",AA481&lt;0),"Expired (verified)",IF(AND(U481&lt;&gt;"",AA481&lt;=Scoring!$B$5),"Expiring: notice window (verified)",IF(AND(U481&lt;&gt;"",AA481&lt;=Scoring!$B$6),"Expiring: 10-yr horizon (verified)",IF(M481="No Longer Monitored","Out of program",IF(N481="","Unknown vintage",IF(N481&lt;Scoring!$B$12,"Pre-1990, still listed",IF(AND(U481="",AA481&lt;0),"Past 30-yr mark (verify)",IF(AND(U481="",AA481&lt;=Scoring!$B$5),"30-yr mark: notice window (est.)",IF(AND(O481&gt;=Scoring!$B$7,O481&lt;=Scoring!$B$8),"Year-15 window",IF(O481&gt;=Scoring!$B$9,"Recap window",IF(O481&gt;=11,"Late compliance","Credit period"))))))))))))</f>
        <v>Out of program</v>
      </c>
      <c r="E481" s="15" t="s">
        <v>1777</v>
      </c>
      <c r="F481" s="15" t="s">
        <v>1778</v>
      </c>
      <c r="G481" s="15" t="s">
        <v>1779</v>
      </c>
      <c r="H481" s="15" t="s">
        <v>97</v>
      </c>
      <c r="I481" s="15" t="s">
        <v>160</v>
      </c>
      <c r="J481" s="15" t="n">
        <v>68</v>
      </c>
      <c r="K481" s="15" t="n">
        <v>68</v>
      </c>
      <c r="L481" s="15" t="n">
        <f aca="false">IF(OR(J481="",K481=""),"",MAX(J481-K481,0))</f>
        <v>0</v>
      </c>
      <c r="M481" s="15" t="s">
        <v>1757</v>
      </c>
      <c r="N481" s="17" t="n">
        <v>1990</v>
      </c>
      <c r="O481" s="15" t="n">
        <f aca="false">IF(N481="","",Scoring!$B$4-N481)</f>
        <v>36</v>
      </c>
      <c r="P481" s="15" t="n">
        <f aca="false">IF(N481="","",N481+14)</f>
        <v>2004</v>
      </c>
      <c r="Q481" s="15" t="n">
        <f aca="false">IF(N481="","",IF(N481&lt;Scoring!$B$12,"n/a (pre-1990)",N481+Scoring!$B$13))</f>
        <v>2019</v>
      </c>
      <c r="R481" s="15" t="str">
        <f aca="false">IF(J481="","Unknown",IF(J481&gt;=5,"Yes","No (under 5 units)"))</f>
        <v>Yes</v>
      </c>
      <c r="S481" s="15"/>
      <c r="T481" s="18"/>
      <c r="U481" s="19"/>
      <c r="V481" s="18"/>
      <c r="W481" s="18"/>
      <c r="X481" s="20"/>
      <c r="Y481" s="18"/>
      <c r="Z481" s="18"/>
      <c r="AA481" s="21" t="n">
        <f aca="false">IF(U481&lt;&gt;"",(U481-Scoring!$B$3)/365.25,IF(N481="","",IF(N481&lt;Scoring!$B$12,"",(DATE(N481+Scoring!$B$13,12,31)-Scoring!$B$3)/365.25)))</f>
        <v>-6.75427789185489</v>
      </c>
      <c r="AB481" s="22" t="n">
        <f aca="false">IF(T481="Y",0,IF(OR(D481="Expired (verified)",D481="Expiring: notice window (verified)",D481="Expiring: 10-yr horizon (verified)",D481="Past 30-yr mark (verify)",D481="30-yr mark: notice window (est.)",D481="Year-15 window"),1,0)+IF(ISNUMBER(O481),IF(O481&gt;=Scoring!$B$10,1,0),0)+IF(AND(ISNUMBER(L481),ISNUMBER(J481)),IF(J481&gt;0,IF(L481/J481&gt;=Scoring!$B$11,1,0),0),0)+IF(ISNUMBER(Z481),MIN(Z481,3),0))</f>
        <v>1</v>
      </c>
      <c r="AC481" s="22" t="n">
        <f aca="false">IF(AB481&gt;=3,Scoring!$C$24,IF(AB481=2,Scoring!$C$23,IF(AB481=1,Scoring!$C$22,0)))</f>
        <v>10</v>
      </c>
      <c r="AD481" s="22" t="n">
        <f aca="false">IF(T481="Y",0,IF(ISNUMBER(X481),IF(X481&gt;0.7,Scoring!$C$25,IF(X481&gt;=0.5,Scoring!$C$26,IF(X481&gt;=0.3,Scoring!$C$27,Scoring!$C$28))),Scoring!$C$29))</f>
        <v>10</v>
      </c>
      <c r="AE481" s="22" t="n">
        <f aca="false">IF(D481="Expiring: notice window (verified)",Scoring!$C$30,IF(OR(D481="Expired (verified)",D481="30-yr mark: notice window (est.)",D481="Year-15 window"),Scoring!$C$31,IF(D481="Expiring: 10-yr horizon (verified)",Scoring!$C$32,IF(D481="Past 30-yr mark (verify)",Scoring!$C$33,IF(OR(D481="Credit period",D481="Superseded record"),Scoring!$C$35,Scoring!$C$34)))))</f>
        <v>4</v>
      </c>
      <c r="AF481" s="22" t="n">
        <f aca="false">IF(T481="Y",0,IF(ISNUMBER(V481),IF(Scoring!$B$4-V481&gt;15,Scoring!$C$36,IF(Scoring!$B$4-V481&gt;=10,Scoring!$C$37,IF(Scoring!$B$4-V481&gt;=5,Scoring!$C$38,Scoring!$C$39))),IF(OR(N481="",D481="Out of program"),Scoring!$C$40,IF(O481&gt;15,Scoring!$C$36,IF(O481&gt;=10,Scoring!$C$37,IF(O481&gt;=5,Scoring!$C$38,Scoring!$C$39))))))</f>
        <v>8</v>
      </c>
      <c r="AG481" s="22" t="n">
        <f aca="false">IF(T481="Y",0,IF(Y481="Y",Scoring!$C$41,IF(ISNUMBER(O481),IF(O481&gt;=25,Scoring!$C$42,IF(O481&gt;=15,Scoring!$C$43,Scoring!$C$44)),Scoring!$C$44)))</f>
        <v>8</v>
      </c>
      <c r="AH481" s="22" t="n">
        <f aca="false">IF(T481="Y",0,IF(W481="",Scoring!$C$49,IFERROR(VLOOKUP(W481,Scoring!$B$45:$C$48,2,FALSE()),Scoring!$C$49)))</f>
        <v>5</v>
      </c>
      <c r="AI481" s="23" t="n">
        <f aca="false">C481+IF(ISNUMBER(J481),J481,0)/100000+(10000-ROW())/1000000000</f>
        <v>45.000689519</v>
      </c>
      <c r="AJ481" s="18"/>
      <c r="AK481" s="18"/>
      <c r="AL481" s="18"/>
      <c r="AM481" s="18"/>
    </row>
    <row r="482" customFormat="false" ht="15" hidden="false" customHeight="false" outlineLevel="0" collapsed="false">
      <c r="A482" s="15" t="n">
        <f aca="false">RANK(AI482,$AI$2:$AI$755)</f>
        <v>481</v>
      </c>
      <c r="B482" s="16" t="str">
        <f aca="false">IF(T482="Y","Superseded",IF(C482&gt;=Scoring!$B$16,"Immediate",IF(C482&gt;=Scoring!$B$17,"This week",IF(C482&gt;=Scoring!$B$18,"Nurture","Low"))))</f>
        <v>Nurture</v>
      </c>
      <c r="C482" s="3" t="n">
        <f aca="false">SUM(AC482:AH482)</f>
        <v>45</v>
      </c>
      <c r="D482" s="15" t="str">
        <f aca="false">IF(T482="Y","Superseded record",IF(AND(U482&lt;&gt;"",AA482&lt;0),"Expired (verified)",IF(AND(U482&lt;&gt;"",AA482&lt;=Scoring!$B$5),"Expiring: notice window (verified)",IF(AND(U482&lt;&gt;"",AA482&lt;=Scoring!$B$6),"Expiring: 10-yr horizon (verified)",IF(M482="No Longer Monitored","Out of program",IF(N482="","Unknown vintage",IF(N482&lt;Scoring!$B$12,"Pre-1990, still listed",IF(AND(U482="",AA482&lt;0),"Past 30-yr mark (verify)",IF(AND(U482="",AA482&lt;=Scoring!$B$5),"30-yr mark: notice window (est.)",IF(AND(O482&gt;=Scoring!$B$7,O482&lt;=Scoring!$B$8),"Year-15 window",IF(O482&gt;=Scoring!$B$9,"Recap window",IF(O482&gt;=11,"Late compliance","Credit period"))))))))))))</f>
        <v>Out of program</v>
      </c>
      <c r="E482" s="15" t="s">
        <v>1780</v>
      </c>
      <c r="F482" s="15" t="s">
        <v>1781</v>
      </c>
      <c r="G482" s="15" t="s">
        <v>1782</v>
      </c>
      <c r="H482" s="15" t="s">
        <v>455</v>
      </c>
      <c r="I482" s="15" t="s">
        <v>1783</v>
      </c>
      <c r="J482" s="15" t="n">
        <v>64</v>
      </c>
      <c r="K482" s="15" t="n">
        <v>64</v>
      </c>
      <c r="L482" s="15" t="n">
        <f aca="false">IF(OR(J482="",K482=""),"",MAX(J482-K482,0))</f>
        <v>0</v>
      </c>
      <c r="M482" s="15" t="s">
        <v>1757</v>
      </c>
      <c r="N482" s="17" t="n">
        <v>1992</v>
      </c>
      <c r="O482" s="15" t="n">
        <f aca="false">IF(N482="","",Scoring!$B$4-N482)</f>
        <v>34</v>
      </c>
      <c r="P482" s="15" t="n">
        <f aca="false">IF(N482="","",N482+14)</f>
        <v>2006</v>
      </c>
      <c r="Q482" s="15" t="n">
        <f aca="false">IF(N482="","",IF(N482&lt;Scoring!$B$12,"n/a (pre-1990)",N482+Scoring!$B$13))</f>
        <v>2021</v>
      </c>
      <c r="R482" s="15" t="str">
        <f aca="false">IF(J482="","Unknown",IF(J482&gt;=5,"Yes","No (under 5 units)"))</f>
        <v>Yes</v>
      </c>
      <c r="S482" s="15"/>
      <c r="T482" s="18"/>
      <c r="U482" s="19"/>
      <c r="V482" s="18"/>
      <c r="W482" s="18"/>
      <c r="X482" s="20"/>
      <c r="Y482" s="18"/>
      <c r="Z482" s="18"/>
      <c r="AA482" s="21" t="n">
        <f aca="false">IF(U482&lt;&gt;"",(U482-Scoring!$B$3)/365.25,IF(N482="","",IF(N482&lt;Scoring!$B$12,"",(DATE(N482+Scoring!$B$13,12,31)-Scoring!$B$3)/365.25)))</f>
        <v>-4.75290896646133</v>
      </c>
      <c r="AB482" s="22" t="n">
        <f aca="false">IF(T482="Y",0,IF(OR(D482="Expired (verified)",D482="Expiring: notice window (verified)",D482="Expiring: 10-yr horizon (verified)",D482="Past 30-yr mark (verify)",D482="30-yr mark: notice window (est.)",D482="Year-15 window"),1,0)+IF(ISNUMBER(O482),IF(O482&gt;=Scoring!$B$10,1,0),0)+IF(AND(ISNUMBER(L482),ISNUMBER(J482)),IF(J482&gt;0,IF(L482/J482&gt;=Scoring!$B$11,1,0),0),0)+IF(ISNUMBER(Z482),MIN(Z482,3),0))</f>
        <v>1</v>
      </c>
      <c r="AC482" s="22" t="n">
        <f aca="false">IF(AB482&gt;=3,Scoring!$C$24,IF(AB482=2,Scoring!$C$23,IF(AB482=1,Scoring!$C$22,0)))</f>
        <v>10</v>
      </c>
      <c r="AD482" s="22" t="n">
        <f aca="false">IF(T482="Y",0,IF(ISNUMBER(X482),IF(X482&gt;0.7,Scoring!$C$25,IF(X482&gt;=0.5,Scoring!$C$26,IF(X482&gt;=0.3,Scoring!$C$27,Scoring!$C$28))),Scoring!$C$29))</f>
        <v>10</v>
      </c>
      <c r="AE482" s="22" t="n">
        <f aca="false">IF(D482="Expiring: notice window (verified)",Scoring!$C$30,IF(OR(D482="Expired (verified)",D482="30-yr mark: notice window (est.)",D482="Year-15 window"),Scoring!$C$31,IF(D482="Expiring: 10-yr horizon (verified)",Scoring!$C$32,IF(D482="Past 30-yr mark (verify)",Scoring!$C$33,IF(OR(D482="Credit period",D482="Superseded record"),Scoring!$C$35,Scoring!$C$34)))))</f>
        <v>4</v>
      </c>
      <c r="AF482" s="22" t="n">
        <f aca="false">IF(T482="Y",0,IF(ISNUMBER(V482),IF(Scoring!$B$4-V482&gt;15,Scoring!$C$36,IF(Scoring!$B$4-V482&gt;=10,Scoring!$C$37,IF(Scoring!$B$4-V482&gt;=5,Scoring!$C$38,Scoring!$C$39))),IF(OR(N482="",D482="Out of program"),Scoring!$C$40,IF(O482&gt;15,Scoring!$C$36,IF(O482&gt;=10,Scoring!$C$37,IF(O482&gt;=5,Scoring!$C$38,Scoring!$C$39))))))</f>
        <v>8</v>
      </c>
      <c r="AG482" s="22" t="n">
        <f aca="false">IF(T482="Y",0,IF(Y482="Y",Scoring!$C$41,IF(ISNUMBER(O482),IF(O482&gt;=25,Scoring!$C$42,IF(O482&gt;=15,Scoring!$C$43,Scoring!$C$44)),Scoring!$C$44)))</f>
        <v>8</v>
      </c>
      <c r="AH482" s="22" t="n">
        <f aca="false">IF(T482="Y",0,IF(W482="",Scoring!$C$49,IFERROR(VLOOKUP(W482,Scoring!$B$45:$C$48,2,FALSE()),Scoring!$C$49)))</f>
        <v>5</v>
      </c>
      <c r="AI482" s="23" t="n">
        <f aca="false">C482+IF(ISNUMBER(J482),J482,0)/100000+(10000-ROW())/1000000000</f>
        <v>45.000649518</v>
      </c>
      <c r="AJ482" s="18"/>
      <c r="AK482" s="18"/>
      <c r="AL482" s="18"/>
      <c r="AM482" s="18"/>
    </row>
    <row r="483" customFormat="false" ht="15" hidden="false" customHeight="false" outlineLevel="0" collapsed="false">
      <c r="A483" s="15" t="n">
        <f aca="false">RANK(AI483,$AI$2:$AI$755)</f>
        <v>482</v>
      </c>
      <c r="B483" s="16" t="str">
        <f aca="false">IF(T483="Y","Superseded",IF(C483&gt;=Scoring!$B$16,"Immediate",IF(C483&gt;=Scoring!$B$17,"This week",IF(C483&gt;=Scoring!$B$18,"Nurture","Low"))))</f>
        <v>Nurture</v>
      </c>
      <c r="C483" s="3" t="n">
        <f aca="false">SUM(AC483:AH483)</f>
        <v>45</v>
      </c>
      <c r="D483" s="15" t="str">
        <f aca="false">IF(T483="Y","Superseded record",IF(AND(U483&lt;&gt;"",AA483&lt;0),"Expired (verified)",IF(AND(U483&lt;&gt;"",AA483&lt;=Scoring!$B$5),"Expiring: notice window (verified)",IF(AND(U483&lt;&gt;"",AA483&lt;=Scoring!$B$6),"Expiring: 10-yr horizon (verified)",IF(M483="No Longer Monitored","Out of program",IF(N483="","Unknown vintage",IF(N483&lt;Scoring!$B$12,"Pre-1990, still listed",IF(AND(U483="",AA483&lt;0),"Past 30-yr mark (verify)",IF(AND(U483="",AA483&lt;=Scoring!$B$5),"30-yr mark: notice window (est.)",IF(AND(O483&gt;=Scoring!$B$7,O483&lt;=Scoring!$B$8),"Year-15 window",IF(O483&gt;=Scoring!$B$9,"Recap window",IF(O483&gt;=11,"Late compliance","Credit period"))))))))))))</f>
        <v>Out of program</v>
      </c>
      <c r="E483" s="15" t="s">
        <v>1784</v>
      </c>
      <c r="F483" s="15" t="s">
        <v>1785</v>
      </c>
      <c r="G483" s="15" t="s">
        <v>1786</v>
      </c>
      <c r="H483" s="15" t="s">
        <v>630</v>
      </c>
      <c r="I483" s="15" t="s">
        <v>631</v>
      </c>
      <c r="J483" s="15" t="n">
        <v>61</v>
      </c>
      <c r="K483" s="15" t="n">
        <v>61</v>
      </c>
      <c r="L483" s="15" t="n">
        <f aca="false">IF(OR(J483="",K483=""),"",MAX(J483-K483,0))</f>
        <v>0</v>
      </c>
      <c r="M483" s="15" t="s">
        <v>1757</v>
      </c>
      <c r="N483" s="17" t="n">
        <v>1998</v>
      </c>
      <c r="O483" s="15" t="n">
        <f aca="false">IF(N483="","",Scoring!$B$4-N483)</f>
        <v>28</v>
      </c>
      <c r="P483" s="15" t="n">
        <f aca="false">IF(N483="","",N483+14)</f>
        <v>2012</v>
      </c>
      <c r="Q483" s="15" t="n">
        <f aca="false">IF(N483="","",IF(N483&lt;Scoring!$B$12,"n/a (pre-1990)",N483+Scoring!$B$13))</f>
        <v>2027</v>
      </c>
      <c r="R483" s="15" t="str">
        <f aca="false">IF(J483="","Unknown",IF(J483&gt;=5,"Yes","No (under 5 units)"))</f>
        <v>Yes</v>
      </c>
      <c r="S483" s="15"/>
      <c r="T483" s="18"/>
      <c r="U483" s="19"/>
      <c r="V483" s="18"/>
      <c r="W483" s="18"/>
      <c r="X483" s="20"/>
      <c r="Y483" s="18"/>
      <c r="Z483" s="18"/>
      <c r="AA483" s="21" t="n">
        <f aca="false">IF(U483&lt;&gt;"",(U483-Scoring!$B$3)/365.25,IF(N483="","",IF(N483&lt;Scoring!$B$12,"",(DATE(N483+Scoring!$B$13,12,31)-Scoring!$B$3)/365.25)))</f>
        <v>1.24572210814511</v>
      </c>
      <c r="AB483" s="22" t="n">
        <f aca="false">IF(T483="Y",0,IF(OR(D483="Expired (verified)",D483="Expiring: notice window (verified)",D483="Expiring: 10-yr horizon (verified)",D483="Past 30-yr mark (verify)",D483="30-yr mark: notice window (est.)",D483="Year-15 window"),1,0)+IF(ISNUMBER(O483),IF(O483&gt;=Scoring!$B$10,1,0),0)+IF(AND(ISNUMBER(L483),ISNUMBER(J483)),IF(J483&gt;0,IF(L483/J483&gt;=Scoring!$B$11,1,0),0),0)+IF(ISNUMBER(Z483),MIN(Z483,3),0))</f>
        <v>1</v>
      </c>
      <c r="AC483" s="22" t="n">
        <f aca="false">IF(AB483&gt;=3,Scoring!$C$24,IF(AB483=2,Scoring!$C$23,IF(AB483=1,Scoring!$C$22,0)))</f>
        <v>10</v>
      </c>
      <c r="AD483" s="22" t="n">
        <f aca="false">IF(T483="Y",0,IF(ISNUMBER(X483),IF(X483&gt;0.7,Scoring!$C$25,IF(X483&gt;=0.5,Scoring!$C$26,IF(X483&gt;=0.3,Scoring!$C$27,Scoring!$C$28))),Scoring!$C$29))</f>
        <v>10</v>
      </c>
      <c r="AE483" s="22" t="n">
        <f aca="false">IF(D483="Expiring: notice window (verified)",Scoring!$C$30,IF(OR(D483="Expired (verified)",D483="30-yr mark: notice window (est.)",D483="Year-15 window"),Scoring!$C$31,IF(D483="Expiring: 10-yr horizon (verified)",Scoring!$C$32,IF(D483="Past 30-yr mark (verify)",Scoring!$C$33,IF(OR(D483="Credit period",D483="Superseded record"),Scoring!$C$35,Scoring!$C$34)))))</f>
        <v>4</v>
      </c>
      <c r="AF483" s="22" t="n">
        <f aca="false">IF(T483="Y",0,IF(ISNUMBER(V483),IF(Scoring!$B$4-V483&gt;15,Scoring!$C$36,IF(Scoring!$B$4-V483&gt;=10,Scoring!$C$37,IF(Scoring!$B$4-V483&gt;=5,Scoring!$C$38,Scoring!$C$39))),IF(OR(N483="",D483="Out of program"),Scoring!$C$40,IF(O483&gt;15,Scoring!$C$36,IF(O483&gt;=10,Scoring!$C$37,IF(O483&gt;=5,Scoring!$C$38,Scoring!$C$39))))))</f>
        <v>8</v>
      </c>
      <c r="AG483" s="22" t="n">
        <f aca="false">IF(T483="Y",0,IF(Y483="Y",Scoring!$C$41,IF(ISNUMBER(O483),IF(O483&gt;=25,Scoring!$C$42,IF(O483&gt;=15,Scoring!$C$43,Scoring!$C$44)),Scoring!$C$44)))</f>
        <v>8</v>
      </c>
      <c r="AH483" s="22" t="n">
        <f aca="false">IF(T483="Y",0,IF(W483="",Scoring!$C$49,IFERROR(VLOOKUP(W483,Scoring!$B$45:$C$48,2,FALSE()),Scoring!$C$49)))</f>
        <v>5</v>
      </c>
      <c r="AI483" s="23" t="n">
        <f aca="false">C483+IF(ISNUMBER(J483),J483,0)/100000+(10000-ROW())/1000000000</f>
        <v>45.000619517</v>
      </c>
      <c r="AJ483" s="18"/>
      <c r="AK483" s="18"/>
      <c r="AL483" s="18"/>
      <c r="AM483" s="18"/>
    </row>
    <row r="484" customFormat="false" ht="15" hidden="false" customHeight="false" outlineLevel="0" collapsed="false">
      <c r="A484" s="15" t="n">
        <f aca="false">RANK(AI484,$AI$2:$AI$755)</f>
        <v>483</v>
      </c>
      <c r="B484" s="16" t="str">
        <f aca="false">IF(T484="Y","Superseded",IF(C484&gt;=Scoring!$B$16,"Immediate",IF(C484&gt;=Scoring!$B$17,"This week",IF(C484&gt;=Scoring!$B$18,"Nurture","Low"))))</f>
        <v>Nurture</v>
      </c>
      <c r="C484" s="3" t="n">
        <f aca="false">SUM(AC484:AH484)</f>
        <v>45</v>
      </c>
      <c r="D484" s="15" t="str">
        <f aca="false">IF(T484="Y","Superseded record",IF(AND(U484&lt;&gt;"",AA484&lt;0),"Expired (verified)",IF(AND(U484&lt;&gt;"",AA484&lt;=Scoring!$B$5),"Expiring: notice window (verified)",IF(AND(U484&lt;&gt;"",AA484&lt;=Scoring!$B$6),"Expiring: 10-yr horizon (verified)",IF(M484="No Longer Monitored","Out of program",IF(N484="","Unknown vintage",IF(N484&lt;Scoring!$B$12,"Pre-1990, still listed",IF(AND(U484="",AA484&lt;0),"Past 30-yr mark (verify)",IF(AND(U484="",AA484&lt;=Scoring!$B$5),"30-yr mark: notice window (est.)",IF(AND(O484&gt;=Scoring!$B$7,O484&lt;=Scoring!$B$8),"Year-15 window",IF(O484&gt;=Scoring!$B$9,"Recap window",IF(O484&gt;=11,"Late compliance","Credit period"))))))))))))</f>
        <v>Out of program</v>
      </c>
      <c r="E484" s="15" t="s">
        <v>1787</v>
      </c>
      <c r="F484" s="15" t="s">
        <v>1788</v>
      </c>
      <c r="G484" s="15" t="s">
        <v>1789</v>
      </c>
      <c r="H484" s="15" t="s">
        <v>107</v>
      </c>
      <c r="I484" s="15" t="s">
        <v>459</v>
      </c>
      <c r="J484" s="15" t="n">
        <v>59</v>
      </c>
      <c r="K484" s="15" t="n">
        <v>59</v>
      </c>
      <c r="L484" s="15" t="n">
        <f aca="false">IF(OR(J484="",K484=""),"",MAX(J484-K484,0))</f>
        <v>0</v>
      </c>
      <c r="M484" s="15" t="s">
        <v>1757</v>
      </c>
      <c r="N484" s="17" t="n">
        <v>1989</v>
      </c>
      <c r="O484" s="15" t="n">
        <f aca="false">IF(N484="","",Scoring!$B$4-N484)</f>
        <v>37</v>
      </c>
      <c r="P484" s="15" t="n">
        <f aca="false">IF(N484="","",N484+14)</f>
        <v>2003</v>
      </c>
      <c r="Q484" s="15" t="str">
        <f aca="false">IF(N484="","",IF(N484&lt;Scoring!$B$12,"n/a (pre-1990)",N484+Scoring!$B$13))</f>
        <v>n/a (pre-1990)</v>
      </c>
      <c r="R484" s="15" t="str">
        <f aca="false">IF(J484="","Unknown",IF(J484&gt;=5,"Yes","No (under 5 units)"))</f>
        <v>Yes</v>
      </c>
      <c r="S484" s="15"/>
      <c r="T484" s="18"/>
      <c r="U484" s="19"/>
      <c r="V484" s="18"/>
      <c r="W484" s="18"/>
      <c r="X484" s="20"/>
      <c r="Y484" s="18"/>
      <c r="Z484" s="18"/>
      <c r="AA484" s="21" t="str">
        <f aca="false">IF(U484&lt;&gt;"",(U484-Scoring!$B$3)/365.25,IF(N484="","",IF(N484&lt;Scoring!$B$12,"",(DATE(N484+Scoring!$B$13,12,31)-Scoring!$B$3)/365.25)))</f>
        <v/>
      </c>
      <c r="AB484" s="22" t="n">
        <f aca="false">IF(T484="Y",0,IF(OR(D484="Expired (verified)",D484="Expiring: notice window (verified)",D484="Expiring: 10-yr horizon (verified)",D484="Past 30-yr mark (verify)",D484="30-yr mark: notice window (est.)",D484="Year-15 window"),1,0)+IF(ISNUMBER(O484),IF(O484&gt;=Scoring!$B$10,1,0),0)+IF(AND(ISNUMBER(L484),ISNUMBER(J484)),IF(J484&gt;0,IF(L484/J484&gt;=Scoring!$B$11,1,0),0),0)+IF(ISNUMBER(Z484),MIN(Z484,3),0))</f>
        <v>1</v>
      </c>
      <c r="AC484" s="22" t="n">
        <f aca="false">IF(AB484&gt;=3,Scoring!$C$24,IF(AB484=2,Scoring!$C$23,IF(AB484=1,Scoring!$C$22,0)))</f>
        <v>10</v>
      </c>
      <c r="AD484" s="22" t="n">
        <f aca="false">IF(T484="Y",0,IF(ISNUMBER(X484),IF(X484&gt;0.7,Scoring!$C$25,IF(X484&gt;=0.5,Scoring!$C$26,IF(X484&gt;=0.3,Scoring!$C$27,Scoring!$C$28))),Scoring!$C$29))</f>
        <v>10</v>
      </c>
      <c r="AE484" s="22" t="n">
        <f aca="false">IF(D484="Expiring: notice window (verified)",Scoring!$C$30,IF(OR(D484="Expired (verified)",D484="30-yr mark: notice window (est.)",D484="Year-15 window"),Scoring!$C$31,IF(D484="Expiring: 10-yr horizon (verified)",Scoring!$C$32,IF(D484="Past 30-yr mark (verify)",Scoring!$C$33,IF(OR(D484="Credit period",D484="Superseded record"),Scoring!$C$35,Scoring!$C$34)))))</f>
        <v>4</v>
      </c>
      <c r="AF484" s="22" t="n">
        <f aca="false">IF(T484="Y",0,IF(ISNUMBER(V484),IF(Scoring!$B$4-V484&gt;15,Scoring!$C$36,IF(Scoring!$B$4-V484&gt;=10,Scoring!$C$37,IF(Scoring!$B$4-V484&gt;=5,Scoring!$C$38,Scoring!$C$39))),IF(OR(N484="",D484="Out of program"),Scoring!$C$40,IF(O484&gt;15,Scoring!$C$36,IF(O484&gt;=10,Scoring!$C$37,IF(O484&gt;=5,Scoring!$C$38,Scoring!$C$39))))))</f>
        <v>8</v>
      </c>
      <c r="AG484" s="22" t="n">
        <f aca="false">IF(T484="Y",0,IF(Y484="Y",Scoring!$C$41,IF(ISNUMBER(O484),IF(O484&gt;=25,Scoring!$C$42,IF(O484&gt;=15,Scoring!$C$43,Scoring!$C$44)),Scoring!$C$44)))</f>
        <v>8</v>
      </c>
      <c r="AH484" s="22" t="n">
        <f aca="false">IF(T484="Y",0,IF(W484="",Scoring!$C$49,IFERROR(VLOOKUP(W484,Scoring!$B$45:$C$48,2,FALSE()),Scoring!$C$49)))</f>
        <v>5</v>
      </c>
      <c r="AI484" s="23" t="n">
        <f aca="false">C484+IF(ISNUMBER(J484),J484,0)/100000+(10000-ROW())/1000000000</f>
        <v>45.000599516</v>
      </c>
      <c r="AJ484" s="18"/>
      <c r="AK484" s="18"/>
      <c r="AL484" s="18"/>
      <c r="AM484" s="18"/>
    </row>
    <row r="485" customFormat="false" ht="15" hidden="false" customHeight="false" outlineLevel="0" collapsed="false">
      <c r="A485" s="15" t="n">
        <f aca="false">RANK(AI485,$AI$2:$AI$755)</f>
        <v>484</v>
      </c>
      <c r="B485" s="16" t="str">
        <f aca="false">IF(T485="Y","Superseded",IF(C485&gt;=Scoring!$B$16,"Immediate",IF(C485&gt;=Scoring!$B$17,"This week",IF(C485&gt;=Scoring!$B$18,"Nurture","Low"))))</f>
        <v>Nurture</v>
      </c>
      <c r="C485" s="3" t="n">
        <f aca="false">SUM(AC485:AH485)</f>
        <v>45</v>
      </c>
      <c r="D485" s="15" t="str">
        <f aca="false">IF(T485="Y","Superseded record",IF(AND(U485&lt;&gt;"",AA485&lt;0),"Expired (verified)",IF(AND(U485&lt;&gt;"",AA485&lt;=Scoring!$B$5),"Expiring: notice window (verified)",IF(AND(U485&lt;&gt;"",AA485&lt;=Scoring!$B$6),"Expiring: 10-yr horizon (verified)",IF(M485="No Longer Monitored","Out of program",IF(N485="","Unknown vintage",IF(N485&lt;Scoring!$B$12,"Pre-1990, still listed",IF(AND(U485="",AA485&lt;0),"Past 30-yr mark (verify)",IF(AND(U485="",AA485&lt;=Scoring!$B$5),"30-yr mark: notice window (est.)",IF(AND(O485&gt;=Scoring!$B$7,O485&lt;=Scoring!$B$8),"Year-15 window",IF(O485&gt;=Scoring!$B$9,"Recap window",IF(O485&gt;=11,"Late compliance","Credit period"))))))))))))</f>
        <v>Out of program</v>
      </c>
      <c r="E485" s="15" t="s">
        <v>1790</v>
      </c>
      <c r="F485" s="15" t="s">
        <v>1791</v>
      </c>
      <c r="G485" s="15" t="s">
        <v>1792</v>
      </c>
      <c r="H485" s="15" t="s">
        <v>1793</v>
      </c>
      <c r="I485" s="15" t="s">
        <v>1794</v>
      </c>
      <c r="J485" s="15" t="n">
        <v>56</v>
      </c>
      <c r="K485" s="15" t="n">
        <v>56</v>
      </c>
      <c r="L485" s="15" t="n">
        <f aca="false">IF(OR(J485="",K485=""),"",MAX(J485-K485,0))</f>
        <v>0</v>
      </c>
      <c r="M485" s="15" t="s">
        <v>1757</v>
      </c>
      <c r="N485" s="17" t="n">
        <v>1989</v>
      </c>
      <c r="O485" s="15" t="n">
        <f aca="false">IF(N485="","",Scoring!$B$4-N485)</f>
        <v>37</v>
      </c>
      <c r="P485" s="15" t="n">
        <f aca="false">IF(N485="","",N485+14)</f>
        <v>2003</v>
      </c>
      <c r="Q485" s="15" t="str">
        <f aca="false">IF(N485="","",IF(N485&lt;Scoring!$B$12,"n/a (pre-1990)",N485+Scoring!$B$13))</f>
        <v>n/a (pre-1990)</v>
      </c>
      <c r="R485" s="15" t="str">
        <f aca="false">IF(J485="","Unknown",IF(J485&gt;=5,"Yes","No (under 5 units)"))</f>
        <v>Yes</v>
      </c>
      <c r="S485" s="15"/>
      <c r="T485" s="18"/>
      <c r="U485" s="19"/>
      <c r="V485" s="18"/>
      <c r="W485" s="18"/>
      <c r="X485" s="20"/>
      <c r="Y485" s="18"/>
      <c r="Z485" s="18"/>
      <c r="AA485" s="21" t="str">
        <f aca="false">IF(U485&lt;&gt;"",(U485-Scoring!$B$3)/365.25,IF(N485="","",IF(N485&lt;Scoring!$B$12,"",(DATE(N485+Scoring!$B$13,12,31)-Scoring!$B$3)/365.25)))</f>
        <v/>
      </c>
      <c r="AB485" s="22" t="n">
        <f aca="false">IF(T485="Y",0,IF(OR(D485="Expired (verified)",D485="Expiring: notice window (verified)",D485="Expiring: 10-yr horizon (verified)",D485="Past 30-yr mark (verify)",D485="30-yr mark: notice window (est.)",D485="Year-15 window"),1,0)+IF(ISNUMBER(O485),IF(O485&gt;=Scoring!$B$10,1,0),0)+IF(AND(ISNUMBER(L485),ISNUMBER(J485)),IF(J485&gt;0,IF(L485/J485&gt;=Scoring!$B$11,1,0),0),0)+IF(ISNUMBER(Z485),MIN(Z485,3),0))</f>
        <v>1</v>
      </c>
      <c r="AC485" s="22" t="n">
        <f aca="false">IF(AB485&gt;=3,Scoring!$C$24,IF(AB485=2,Scoring!$C$23,IF(AB485=1,Scoring!$C$22,0)))</f>
        <v>10</v>
      </c>
      <c r="AD485" s="22" t="n">
        <f aca="false">IF(T485="Y",0,IF(ISNUMBER(X485),IF(X485&gt;0.7,Scoring!$C$25,IF(X485&gt;=0.5,Scoring!$C$26,IF(X485&gt;=0.3,Scoring!$C$27,Scoring!$C$28))),Scoring!$C$29))</f>
        <v>10</v>
      </c>
      <c r="AE485" s="22" t="n">
        <f aca="false">IF(D485="Expiring: notice window (verified)",Scoring!$C$30,IF(OR(D485="Expired (verified)",D485="30-yr mark: notice window (est.)",D485="Year-15 window"),Scoring!$C$31,IF(D485="Expiring: 10-yr horizon (verified)",Scoring!$C$32,IF(D485="Past 30-yr mark (verify)",Scoring!$C$33,IF(OR(D485="Credit period",D485="Superseded record"),Scoring!$C$35,Scoring!$C$34)))))</f>
        <v>4</v>
      </c>
      <c r="AF485" s="22" t="n">
        <f aca="false">IF(T485="Y",0,IF(ISNUMBER(V485),IF(Scoring!$B$4-V485&gt;15,Scoring!$C$36,IF(Scoring!$B$4-V485&gt;=10,Scoring!$C$37,IF(Scoring!$B$4-V485&gt;=5,Scoring!$C$38,Scoring!$C$39))),IF(OR(N485="",D485="Out of program"),Scoring!$C$40,IF(O485&gt;15,Scoring!$C$36,IF(O485&gt;=10,Scoring!$C$37,IF(O485&gt;=5,Scoring!$C$38,Scoring!$C$39))))))</f>
        <v>8</v>
      </c>
      <c r="AG485" s="22" t="n">
        <f aca="false">IF(T485="Y",0,IF(Y485="Y",Scoring!$C$41,IF(ISNUMBER(O485),IF(O485&gt;=25,Scoring!$C$42,IF(O485&gt;=15,Scoring!$C$43,Scoring!$C$44)),Scoring!$C$44)))</f>
        <v>8</v>
      </c>
      <c r="AH485" s="22" t="n">
        <f aca="false">IF(T485="Y",0,IF(W485="",Scoring!$C$49,IFERROR(VLOOKUP(W485,Scoring!$B$45:$C$48,2,FALSE()),Scoring!$C$49)))</f>
        <v>5</v>
      </c>
      <c r="AI485" s="23" t="n">
        <f aca="false">C485+IF(ISNUMBER(J485),J485,0)/100000+(10000-ROW())/1000000000</f>
        <v>45.000569515</v>
      </c>
      <c r="AJ485" s="18"/>
      <c r="AK485" s="18"/>
      <c r="AL485" s="18"/>
      <c r="AM485" s="18"/>
    </row>
    <row r="486" customFormat="false" ht="15" hidden="false" customHeight="false" outlineLevel="0" collapsed="false">
      <c r="A486" s="15" t="n">
        <f aca="false">RANK(AI486,$AI$2:$AI$755)</f>
        <v>485</v>
      </c>
      <c r="B486" s="16" t="str">
        <f aca="false">IF(T486="Y","Superseded",IF(C486&gt;=Scoring!$B$16,"Immediate",IF(C486&gt;=Scoring!$B$17,"This week",IF(C486&gt;=Scoring!$B$18,"Nurture","Low"))))</f>
        <v>Nurture</v>
      </c>
      <c r="C486" s="3" t="n">
        <f aca="false">SUM(AC486:AH486)</f>
        <v>45</v>
      </c>
      <c r="D486" s="15" t="str">
        <f aca="false">IF(T486="Y","Superseded record",IF(AND(U486&lt;&gt;"",AA486&lt;0),"Expired (verified)",IF(AND(U486&lt;&gt;"",AA486&lt;=Scoring!$B$5),"Expiring: notice window (verified)",IF(AND(U486&lt;&gt;"",AA486&lt;=Scoring!$B$6),"Expiring: 10-yr horizon (verified)",IF(M486="No Longer Monitored","Out of program",IF(N486="","Unknown vintage",IF(N486&lt;Scoring!$B$12,"Pre-1990, still listed",IF(AND(U486="",AA486&lt;0),"Past 30-yr mark (verify)",IF(AND(U486="",AA486&lt;=Scoring!$B$5),"30-yr mark: notice window (est.)",IF(AND(O486&gt;=Scoring!$B$7,O486&lt;=Scoring!$B$8),"Year-15 window",IF(O486&gt;=Scoring!$B$9,"Recap window",IF(O486&gt;=11,"Late compliance","Credit period"))))))))))))</f>
        <v>Out of program</v>
      </c>
      <c r="E486" s="15" t="s">
        <v>1795</v>
      </c>
      <c r="F486" s="15" t="s">
        <v>1796</v>
      </c>
      <c r="G486" s="15" t="s">
        <v>1797</v>
      </c>
      <c r="H486" s="15" t="s">
        <v>541</v>
      </c>
      <c r="I486" s="15" t="s">
        <v>542</v>
      </c>
      <c r="J486" s="15" t="n">
        <v>40</v>
      </c>
      <c r="K486" s="15" t="n">
        <v>40</v>
      </c>
      <c r="L486" s="15" t="n">
        <f aca="false">IF(OR(J486="",K486=""),"",MAX(J486-K486,0))</f>
        <v>0</v>
      </c>
      <c r="M486" s="15" t="s">
        <v>1757</v>
      </c>
      <c r="N486" s="17" t="n">
        <v>1987</v>
      </c>
      <c r="O486" s="15" t="n">
        <f aca="false">IF(N486="","",Scoring!$B$4-N486)</f>
        <v>39</v>
      </c>
      <c r="P486" s="15" t="n">
        <f aca="false">IF(N486="","",N486+14)</f>
        <v>2001</v>
      </c>
      <c r="Q486" s="15" t="str">
        <f aca="false">IF(N486="","",IF(N486&lt;Scoring!$B$12,"n/a (pre-1990)",N486+Scoring!$B$13))</f>
        <v>n/a (pre-1990)</v>
      </c>
      <c r="R486" s="15" t="str">
        <f aca="false">IF(J486="","Unknown",IF(J486&gt;=5,"Yes","No (under 5 units)"))</f>
        <v>Yes</v>
      </c>
      <c r="S486" s="15"/>
      <c r="T486" s="18"/>
      <c r="U486" s="19"/>
      <c r="V486" s="18"/>
      <c r="W486" s="18"/>
      <c r="X486" s="20"/>
      <c r="Y486" s="18"/>
      <c r="Z486" s="18"/>
      <c r="AA486" s="21" t="str">
        <f aca="false">IF(U486&lt;&gt;"",(U486-Scoring!$B$3)/365.25,IF(N486="","",IF(N486&lt;Scoring!$B$12,"",(DATE(N486+Scoring!$B$13,12,31)-Scoring!$B$3)/365.25)))</f>
        <v/>
      </c>
      <c r="AB486" s="22" t="n">
        <f aca="false">IF(T486="Y",0,IF(OR(D486="Expired (verified)",D486="Expiring: notice window (verified)",D486="Expiring: 10-yr horizon (verified)",D486="Past 30-yr mark (verify)",D486="30-yr mark: notice window (est.)",D486="Year-15 window"),1,0)+IF(ISNUMBER(O486),IF(O486&gt;=Scoring!$B$10,1,0),0)+IF(AND(ISNUMBER(L486),ISNUMBER(J486)),IF(J486&gt;0,IF(L486/J486&gt;=Scoring!$B$11,1,0),0),0)+IF(ISNUMBER(Z486),MIN(Z486,3),0))</f>
        <v>1</v>
      </c>
      <c r="AC486" s="22" t="n">
        <f aca="false">IF(AB486&gt;=3,Scoring!$C$24,IF(AB486=2,Scoring!$C$23,IF(AB486=1,Scoring!$C$22,0)))</f>
        <v>10</v>
      </c>
      <c r="AD486" s="22" t="n">
        <f aca="false">IF(T486="Y",0,IF(ISNUMBER(X486),IF(X486&gt;0.7,Scoring!$C$25,IF(X486&gt;=0.5,Scoring!$C$26,IF(X486&gt;=0.3,Scoring!$C$27,Scoring!$C$28))),Scoring!$C$29))</f>
        <v>10</v>
      </c>
      <c r="AE486" s="22" t="n">
        <f aca="false">IF(D486="Expiring: notice window (verified)",Scoring!$C$30,IF(OR(D486="Expired (verified)",D486="30-yr mark: notice window (est.)",D486="Year-15 window"),Scoring!$C$31,IF(D486="Expiring: 10-yr horizon (verified)",Scoring!$C$32,IF(D486="Past 30-yr mark (verify)",Scoring!$C$33,IF(OR(D486="Credit period",D486="Superseded record"),Scoring!$C$35,Scoring!$C$34)))))</f>
        <v>4</v>
      </c>
      <c r="AF486" s="22" t="n">
        <f aca="false">IF(T486="Y",0,IF(ISNUMBER(V486),IF(Scoring!$B$4-V486&gt;15,Scoring!$C$36,IF(Scoring!$B$4-V486&gt;=10,Scoring!$C$37,IF(Scoring!$B$4-V486&gt;=5,Scoring!$C$38,Scoring!$C$39))),IF(OR(N486="",D486="Out of program"),Scoring!$C$40,IF(O486&gt;15,Scoring!$C$36,IF(O486&gt;=10,Scoring!$C$37,IF(O486&gt;=5,Scoring!$C$38,Scoring!$C$39))))))</f>
        <v>8</v>
      </c>
      <c r="AG486" s="22" t="n">
        <f aca="false">IF(T486="Y",0,IF(Y486="Y",Scoring!$C$41,IF(ISNUMBER(O486),IF(O486&gt;=25,Scoring!$C$42,IF(O486&gt;=15,Scoring!$C$43,Scoring!$C$44)),Scoring!$C$44)))</f>
        <v>8</v>
      </c>
      <c r="AH486" s="22" t="n">
        <f aca="false">IF(T486="Y",0,IF(W486="",Scoring!$C$49,IFERROR(VLOOKUP(W486,Scoring!$B$45:$C$48,2,FALSE()),Scoring!$C$49)))</f>
        <v>5</v>
      </c>
      <c r="AI486" s="23" t="n">
        <f aca="false">C486+IF(ISNUMBER(J486),J486,0)/100000+(10000-ROW())/1000000000</f>
        <v>45.000409514</v>
      </c>
      <c r="AJ486" s="18"/>
      <c r="AK486" s="18"/>
      <c r="AL486" s="18"/>
      <c r="AM486" s="18"/>
    </row>
    <row r="487" customFormat="false" ht="15" hidden="false" customHeight="false" outlineLevel="0" collapsed="false">
      <c r="A487" s="15" t="n">
        <f aca="false">RANK(AI487,$AI$2:$AI$755)</f>
        <v>486</v>
      </c>
      <c r="B487" s="16" t="str">
        <f aca="false">IF(T487="Y","Superseded",IF(C487&gt;=Scoring!$B$16,"Immediate",IF(C487&gt;=Scoring!$B$17,"This week",IF(C487&gt;=Scoring!$B$18,"Nurture","Low"))))</f>
        <v>Nurture</v>
      </c>
      <c r="C487" s="3" t="n">
        <f aca="false">SUM(AC487:AH487)</f>
        <v>45</v>
      </c>
      <c r="D487" s="15" t="str">
        <f aca="false">IF(T487="Y","Superseded record",IF(AND(U487&lt;&gt;"",AA487&lt;0),"Expired (verified)",IF(AND(U487&lt;&gt;"",AA487&lt;=Scoring!$B$5),"Expiring: notice window (verified)",IF(AND(U487&lt;&gt;"",AA487&lt;=Scoring!$B$6),"Expiring: 10-yr horizon (verified)",IF(M487="No Longer Monitored","Out of program",IF(N487="","Unknown vintage",IF(N487&lt;Scoring!$B$12,"Pre-1990, still listed",IF(AND(U487="",AA487&lt;0),"Past 30-yr mark (verify)",IF(AND(U487="",AA487&lt;=Scoring!$B$5),"30-yr mark: notice window (est.)",IF(AND(O487&gt;=Scoring!$B$7,O487&lt;=Scoring!$B$8),"Year-15 window",IF(O487&gt;=Scoring!$B$9,"Recap window",IF(O487&gt;=11,"Late compliance","Credit period"))))))))))))</f>
        <v>Out of program</v>
      </c>
      <c r="E487" s="15" t="s">
        <v>1798</v>
      </c>
      <c r="F487" s="15" t="s">
        <v>1799</v>
      </c>
      <c r="G487" s="15" t="s">
        <v>1800</v>
      </c>
      <c r="H487" s="15" t="s">
        <v>1642</v>
      </c>
      <c r="I487" s="15" t="s">
        <v>1643</v>
      </c>
      <c r="J487" s="15" t="n">
        <v>40</v>
      </c>
      <c r="K487" s="15" t="n">
        <v>40</v>
      </c>
      <c r="L487" s="15" t="n">
        <f aca="false">IF(OR(J487="",K487=""),"",MAX(J487-K487,0))</f>
        <v>0</v>
      </c>
      <c r="M487" s="15" t="s">
        <v>1757</v>
      </c>
      <c r="N487" s="17" t="n">
        <v>1987</v>
      </c>
      <c r="O487" s="15" t="n">
        <f aca="false">IF(N487="","",Scoring!$B$4-N487)</f>
        <v>39</v>
      </c>
      <c r="P487" s="15" t="n">
        <f aca="false">IF(N487="","",N487+14)</f>
        <v>2001</v>
      </c>
      <c r="Q487" s="15" t="str">
        <f aca="false">IF(N487="","",IF(N487&lt;Scoring!$B$12,"n/a (pre-1990)",N487+Scoring!$B$13))</f>
        <v>n/a (pre-1990)</v>
      </c>
      <c r="R487" s="15" t="str">
        <f aca="false">IF(J487="","Unknown",IF(J487&gt;=5,"Yes","No (under 5 units)"))</f>
        <v>Yes</v>
      </c>
      <c r="S487" s="15"/>
      <c r="T487" s="18"/>
      <c r="U487" s="19"/>
      <c r="V487" s="18"/>
      <c r="W487" s="18"/>
      <c r="X487" s="20"/>
      <c r="Y487" s="18"/>
      <c r="Z487" s="18"/>
      <c r="AA487" s="21" t="str">
        <f aca="false">IF(U487&lt;&gt;"",(U487-Scoring!$B$3)/365.25,IF(N487="","",IF(N487&lt;Scoring!$B$12,"",(DATE(N487+Scoring!$B$13,12,31)-Scoring!$B$3)/365.25)))</f>
        <v/>
      </c>
      <c r="AB487" s="22" t="n">
        <f aca="false">IF(T487="Y",0,IF(OR(D487="Expired (verified)",D487="Expiring: notice window (verified)",D487="Expiring: 10-yr horizon (verified)",D487="Past 30-yr mark (verify)",D487="30-yr mark: notice window (est.)",D487="Year-15 window"),1,0)+IF(ISNUMBER(O487),IF(O487&gt;=Scoring!$B$10,1,0),0)+IF(AND(ISNUMBER(L487),ISNUMBER(J487)),IF(J487&gt;0,IF(L487/J487&gt;=Scoring!$B$11,1,0),0),0)+IF(ISNUMBER(Z487),MIN(Z487,3),0))</f>
        <v>1</v>
      </c>
      <c r="AC487" s="22" t="n">
        <f aca="false">IF(AB487&gt;=3,Scoring!$C$24,IF(AB487=2,Scoring!$C$23,IF(AB487=1,Scoring!$C$22,0)))</f>
        <v>10</v>
      </c>
      <c r="AD487" s="22" t="n">
        <f aca="false">IF(T487="Y",0,IF(ISNUMBER(X487),IF(X487&gt;0.7,Scoring!$C$25,IF(X487&gt;=0.5,Scoring!$C$26,IF(X487&gt;=0.3,Scoring!$C$27,Scoring!$C$28))),Scoring!$C$29))</f>
        <v>10</v>
      </c>
      <c r="AE487" s="22" t="n">
        <f aca="false">IF(D487="Expiring: notice window (verified)",Scoring!$C$30,IF(OR(D487="Expired (verified)",D487="30-yr mark: notice window (est.)",D487="Year-15 window"),Scoring!$C$31,IF(D487="Expiring: 10-yr horizon (verified)",Scoring!$C$32,IF(D487="Past 30-yr mark (verify)",Scoring!$C$33,IF(OR(D487="Credit period",D487="Superseded record"),Scoring!$C$35,Scoring!$C$34)))))</f>
        <v>4</v>
      </c>
      <c r="AF487" s="22" t="n">
        <f aca="false">IF(T487="Y",0,IF(ISNUMBER(V487),IF(Scoring!$B$4-V487&gt;15,Scoring!$C$36,IF(Scoring!$B$4-V487&gt;=10,Scoring!$C$37,IF(Scoring!$B$4-V487&gt;=5,Scoring!$C$38,Scoring!$C$39))),IF(OR(N487="",D487="Out of program"),Scoring!$C$40,IF(O487&gt;15,Scoring!$C$36,IF(O487&gt;=10,Scoring!$C$37,IF(O487&gt;=5,Scoring!$C$38,Scoring!$C$39))))))</f>
        <v>8</v>
      </c>
      <c r="AG487" s="22" t="n">
        <f aca="false">IF(T487="Y",0,IF(Y487="Y",Scoring!$C$41,IF(ISNUMBER(O487),IF(O487&gt;=25,Scoring!$C$42,IF(O487&gt;=15,Scoring!$C$43,Scoring!$C$44)),Scoring!$C$44)))</f>
        <v>8</v>
      </c>
      <c r="AH487" s="22" t="n">
        <f aca="false">IF(T487="Y",0,IF(W487="",Scoring!$C$49,IFERROR(VLOOKUP(W487,Scoring!$B$45:$C$48,2,FALSE()),Scoring!$C$49)))</f>
        <v>5</v>
      </c>
      <c r="AI487" s="23" t="n">
        <f aca="false">C487+IF(ISNUMBER(J487),J487,0)/100000+(10000-ROW())/1000000000</f>
        <v>45.000409513</v>
      </c>
      <c r="AJ487" s="18"/>
      <c r="AK487" s="18"/>
      <c r="AL487" s="18"/>
      <c r="AM487" s="18"/>
    </row>
    <row r="488" customFormat="false" ht="15" hidden="false" customHeight="false" outlineLevel="0" collapsed="false">
      <c r="A488" s="15" t="n">
        <f aca="false">RANK(AI488,$AI$2:$AI$755)</f>
        <v>487</v>
      </c>
      <c r="B488" s="16" t="str">
        <f aca="false">IF(T488="Y","Superseded",IF(C488&gt;=Scoring!$B$16,"Immediate",IF(C488&gt;=Scoring!$B$17,"This week",IF(C488&gt;=Scoring!$B$18,"Nurture","Low"))))</f>
        <v>Nurture</v>
      </c>
      <c r="C488" s="3" t="n">
        <f aca="false">SUM(AC488:AH488)</f>
        <v>45</v>
      </c>
      <c r="D488" s="15" t="str">
        <f aca="false">IF(T488="Y","Superseded record",IF(AND(U488&lt;&gt;"",AA488&lt;0),"Expired (verified)",IF(AND(U488&lt;&gt;"",AA488&lt;=Scoring!$B$5),"Expiring: notice window (verified)",IF(AND(U488&lt;&gt;"",AA488&lt;=Scoring!$B$6),"Expiring: 10-yr horizon (verified)",IF(M488="No Longer Monitored","Out of program",IF(N488="","Unknown vintage",IF(N488&lt;Scoring!$B$12,"Pre-1990, still listed",IF(AND(U488="",AA488&lt;0),"Past 30-yr mark (verify)",IF(AND(U488="",AA488&lt;=Scoring!$B$5),"30-yr mark: notice window (est.)",IF(AND(O488&gt;=Scoring!$B$7,O488&lt;=Scoring!$B$8),"Year-15 window",IF(O488&gt;=Scoring!$B$9,"Recap window",IF(O488&gt;=11,"Late compliance","Credit period"))))))))))))</f>
        <v>Out of program</v>
      </c>
      <c r="E488" s="15" t="s">
        <v>1801</v>
      </c>
      <c r="F488" s="15" t="s">
        <v>1802</v>
      </c>
      <c r="G488" s="15" t="s">
        <v>1803</v>
      </c>
      <c r="H488" s="15" t="s">
        <v>107</v>
      </c>
      <c r="I488" s="15" t="s">
        <v>459</v>
      </c>
      <c r="J488" s="15" t="n">
        <v>40</v>
      </c>
      <c r="K488" s="15" t="n">
        <v>40</v>
      </c>
      <c r="L488" s="15" t="n">
        <f aca="false">IF(OR(J488="",K488=""),"",MAX(J488-K488,0))</f>
        <v>0</v>
      </c>
      <c r="M488" s="15" t="s">
        <v>1757</v>
      </c>
      <c r="N488" s="17" t="n">
        <v>1989</v>
      </c>
      <c r="O488" s="15" t="n">
        <f aca="false">IF(N488="","",Scoring!$B$4-N488)</f>
        <v>37</v>
      </c>
      <c r="P488" s="15" t="n">
        <f aca="false">IF(N488="","",N488+14)</f>
        <v>2003</v>
      </c>
      <c r="Q488" s="15" t="str">
        <f aca="false">IF(N488="","",IF(N488&lt;Scoring!$B$12,"n/a (pre-1990)",N488+Scoring!$B$13))</f>
        <v>n/a (pre-1990)</v>
      </c>
      <c r="R488" s="15" t="str">
        <f aca="false">IF(J488="","Unknown",IF(J488&gt;=5,"Yes","No (under 5 units)"))</f>
        <v>Yes</v>
      </c>
      <c r="S488" s="15"/>
      <c r="T488" s="18"/>
      <c r="U488" s="19"/>
      <c r="V488" s="18"/>
      <c r="W488" s="18"/>
      <c r="X488" s="20"/>
      <c r="Y488" s="18"/>
      <c r="Z488" s="18"/>
      <c r="AA488" s="21" t="str">
        <f aca="false">IF(U488&lt;&gt;"",(U488-Scoring!$B$3)/365.25,IF(N488="","",IF(N488&lt;Scoring!$B$12,"",(DATE(N488+Scoring!$B$13,12,31)-Scoring!$B$3)/365.25)))</f>
        <v/>
      </c>
      <c r="AB488" s="22" t="n">
        <f aca="false">IF(T488="Y",0,IF(OR(D488="Expired (verified)",D488="Expiring: notice window (verified)",D488="Expiring: 10-yr horizon (verified)",D488="Past 30-yr mark (verify)",D488="30-yr mark: notice window (est.)",D488="Year-15 window"),1,0)+IF(ISNUMBER(O488),IF(O488&gt;=Scoring!$B$10,1,0),0)+IF(AND(ISNUMBER(L488),ISNUMBER(J488)),IF(J488&gt;0,IF(L488/J488&gt;=Scoring!$B$11,1,0),0),0)+IF(ISNUMBER(Z488),MIN(Z488,3),0))</f>
        <v>1</v>
      </c>
      <c r="AC488" s="22" t="n">
        <f aca="false">IF(AB488&gt;=3,Scoring!$C$24,IF(AB488=2,Scoring!$C$23,IF(AB488=1,Scoring!$C$22,0)))</f>
        <v>10</v>
      </c>
      <c r="AD488" s="22" t="n">
        <f aca="false">IF(T488="Y",0,IF(ISNUMBER(X488),IF(X488&gt;0.7,Scoring!$C$25,IF(X488&gt;=0.5,Scoring!$C$26,IF(X488&gt;=0.3,Scoring!$C$27,Scoring!$C$28))),Scoring!$C$29))</f>
        <v>10</v>
      </c>
      <c r="AE488" s="22" t="n">
        <f aca="false">IF(D488="Expiring: notice window (verified)",Scoring!$C$30,IF(OR(D488="Expired (verified)",D488="30-yr mark: notice window (est.)",D488="Year-15 window"),Scoring!$C$31,IF(D488="Expiring: 10-yr horizon (verified)",Scoring!$C$32,IF(D488="Past 30-yr mark (verify)",Scoring!$C$33,IF(OR(D488="Credit period",D488="Superseded record"),Scoring!$C$35,Scoring!$C$34)))))</f>
        <v>4</v>
      </c>
      <c r="AF488" s="22" t="n">
        <f aca="false">IF(T488="Y",0,IF(ISNUMBER(V488),IF(Scoring!$B$4-V488&gt;15,Scoring!$C$36,IF(Scoring!$B$4-V488&gt;=10,Scoring!$C$37,IF(Scoring!$B$4-V488&gt;=5,Scoring!$C$38,Scoring!$C$39))),IF(OR(N488="",D488="Out of program"),Scoring!$C$40,IF(O488&gt;15,Scoring!$C$36,IF(O488&gt;=10,Scoring!$C$37,IF(O488&gt;=5,Scoring!$C$38,Scoring!$C$39))))))</f>
        <v>8</v>
      </c>
      <c r="AG488" s="22" t="n">
        <f aca="false">IF(T488="Y",0,IF(Y488="Y",Scoring!$C$41,IF(ISNUMBER(O488),IF(O488&gt;=25,Scoring!$C$42,IF(O488&gt;=15,Scoring!$C$43,Scoring!$C$44)),Scoring!$C$44)))</f>
        <v>8</v>
      </c>
      <c r="AH488" s="22" t="n">
        <f aca="false">IF(T488="Y",0,IF(W488="",Scoring!$C$49,IFERROR(VLOOKUP(W488,Scoring!$B$45:$C$48,2,FALSE()),Scoring!$C$49)))</f>
        <v>5</v>
      </c>
      <c r="AI488" s="23" t="n">
        <f aca="false">C488+IF(ISNUMBER(J488),J488,0)/100000+(10000-ROW())/1000000000</f>
        <v>45.000409512</v>
      </c>
      <c r="AJ488" s="18"/>
      <c r="AK488" s="18"/>
      <c r="AL488" s="18"/>
      <c r="AM488" s="18"/>
    </row>
    <row r="489" customFormat="false" ht="15" hidden="false" customHeight="false" outlineLevel="0" collapsed="false">
      <c r="A489" s="15" t="n">
        <f aca="false">RANK(AI489,$AI$2:$AI$755)</f>
        <v>488</v>
      </c>
      <c r="B489" s="16" t="str">
        <f aca="false">IF(T489="Y","Superseded",IF(C489&gt;=Scoring!$B$16,"Immediate",IF(C489&gt;=Scoring!$B$17,"This week",IF(C489&gt;=Scoring!$B$18,"Nurture","Low"))))</f>
        <v>Nurture</v>
      </c>
      <c r="C489" s="3" t="n">
        <f aca="false">SUM(AC489:AH489)</f>
        <v>45</v>
      </c>
      <c r="D489" s="15" t="str">
        <f aca="false">IF(T489="Y","Superseded record",IF(AND(U489&lt;&gt;"",AA489&lt;0),"Expired (verified)",IF(AND(U489&lt;&gt;"",AA489&lt;=Scoring!$B$5),"Expiring: notice window (verified)",IF(AND(U489&lt;&gt;"",AA489&lt;=Scoring!$B$6),"Expiring: 10-yr horizon (verified)",IF(M489="No Longer Monitored","Out of program",IF(N489="","Unknown vintage",IF(N489&lt;Scoring!$B$12,"Pre-1990, still listed",IF(AND(U489="",AA489&lt;0),"Past 30-yr mark (verify)",IF(AND(U489="",AA489&lt;=Scoring!$B$5),"30-yr mark: notice window (est.)",IF(AND(O489&gt;=Scoring!$B$7,O489&lt;=Scoring!$B$8),"Year-15 window",IF(O489&gt;=Scoring!$B$9,"Recap window",IF(O489&gt;=11,"Late compliance","Credit period"))))))))))))</f>
        <v>Out of program</v>
      </c>
      <c r="E489" s="15" t="s">
        <v>1804</v>
      </c>
      <c r="F489" s="15" t="s">
        <v>1805</v>
      </c>
      <c r="G489" s="15" t="s">
        <v>776</v>
      </c>
      <c r="H489" s="15" t="s">
        <v>777</v>
      </c>
      <c r="I489" s="15" t="s">
        <v>778</v>
      </c>
      <c r="J489" s="15" t="n">
        <v>40</v>
      </c>
      <c r="K489" s="15"/>
      <c r="L489" s="15" t="str">
        <f aca="false">IF(OR(J489="",K489=""),"",MAX(J489-K489,0))</f>
        <v/>
      </c>
      <c r="M489" s="15" t="s">
        <v>1757</v>
      </c>
      <c r="N489" s="17" t="n">
        <v>1990</v>
      </c>
      <c r="O489" s="15" t="n">
        <f aca="false">IF(N489="","",Scoring!$B$4-N489)</f>
        <v>36</v>
      </c>
      <c r="P489" s="15" t="n">
        <f aca="false">IF(N489="","",N489+14)</f>
        <v>2004</v>
      </c>
      <c r="Q489" s="15" t="n">
        <f aca="false">IF(N489="","",IF(N489&lt;Scoring!$B$12,"n/a (pre-1990)",N489+Scoring!$B$13))</f>
        <v>2019</v>
      </c>
      <c r="R489" s="15" t="str">
        <f aca="false">IF(J489="","Unknown",IF(J489&gt;=5,"Yes","No (under 5 units)"))</f>
        <v>Yes</v>
      </c>
      <c r="S489" s="15" t="s">
        <v>1806</v>
      </c>
      <c r="T489" s="18"/>
      <c r="U489" s="19"/>
      <c r="V489" s="18"/>
      <c r="W489" s="18"/>
      <c r="X489" s="20"/>
      <c r="Y489" s="18"/>
      <c r="Z489" s="18"/>
      <c r="AA489" s="21" t="n">
        <f aca="false">IF(U489&lt;&gt;"",(U489-Scoring!$B$3)/365.25,IF(N489="","",IF(N489&lt;Scoring!$B$12,"",(DATE(N489+Scoring!$B$13,12,31)-Scoring!$B$3)/365.25)))</f>
        <v>-6.75427789185489</v>
      </c>
      <c r="AB489" s="22" t="n">
        <f aca="false">IF(T489="Y",0,IF(OR(D489="Expired (verified)",D489="Expiring: notice window (verified)",D489="Expiring: 10-yr horizon (verified)",D489="Past 30-yr mark (verify)",D489="30-yr mark: notice window (est.)",D489="Year-15 window"),1,0)+IF(ISNUMBER(O489),IF(O489&gt;=Scoring!$B$10,1,0),0)+IF(AND(ISNUMBER(L489),ISNUMBER(J489)),IF(J489&gt;0,IF(L489/J489&gt;=Scoring!$B$11,1,0),0),0)+IF(ISNUMBER(Z489),MIN(Z489,3),0))</f>
        <v>1</v>
      </c>
      <c r="AC489" s="22" t="n">
        <f aca="false">IF(AB489&gt;=3,Scoring!$C$24,IF(AB489=2,Scoring!$C$23,IF(AB489=1,Scoring!$C$22,0)))</f>
        <v>10</v>
      </c>
      <c r="AD489" s="22" t="n">
        <f aca="false">IF(T489="Y",0,IF(ISNUMBER(X489),IF(X489&gt;0.7,Scoring!$C$25,IF(X489&gt;=0.5,Scoring!$C$26,IF(X489&gt;=0.3,Scoring!$C$27,Scoring!$C$28))),Scoring!$C$29))</f>
        <v>10</v>
      </c>
      <c r="AE489" s="22" t="n">
        <f aca="false">IF(D489="Expiring: notice window (verified)",Scoring!$C$30,IF(OR(D489="Expired (verified)",D489="30-yr mark: notice window (est.)",D489="Year-15 window"),Scoring!$C$31,IF(D489="Expiring: 10-yr horizon (verified)",Scoring!$C$32,IF(D489="Past 30-yr mark (verify)",Scoring!$C$33,IF(OR(D489="Credit period",D489="Superseded record"),Scoring!$C$35,Scoring!$C$34)))))</f>
        <v>4</v>
      </c>
      <c r="AF489" s="22" t="n">
        <f aca="false">IF(T489="Y",0,IF(ISNUMBER(V489),IF(Scoring!$B$4-V489&gt;15,Scoring!$C$36,IF(Scoring!$B$4-V489&gt;=10,Scoring!$C$37,IF(Scoring!$B$4-V489&gt;=5,Scoring!$C$38,Scoring!$C$39))),IF(OR(N489="",D489="Out of program"),Scoring!$C$40,IF(O489&gt;15,Scoring!$C$36,IF(O489&gt;=10,Scoring!$C$37,IF(O489&gt;=5,Scoring!$C$38,Scoring!$C$39))))))</f>
        <v>8</v>
      </c>
      <c r="AG489" s="22" t="n">
        <f aca="false">IF(T489="Y",0,IF(Y489="Y",Scoring!$C$41,IF(ISNUMBER(O489),IF(O489&gt;=25,Scoring!$C$42,IF(O489&gt;=15,Scoring!$C$43,Scoring!$C$44)),Scoring!$C$44)))</f>
        <v>8</v>
      </c>
      <c r="AH489" s="22" t="n">
        <f aca="false">IF(T489="Y",0,IF(W489="",Scoring!$C$49,IFERROR(VLOOKUP(W489,Scoring!$B$45:$C$48,2,FALSE()),Scoring!$C$49)))</f>
        <v>5</v>
      </c>
      <c r="AI489" s="23" t="n">
        <f aca="false">C489+IF(ISNUMBER(J489),J489,0)/100000+(10000-ROW())/1000000000</f>
        <v>45.000409511</v>
      </c>
      <c r="AJ489" s="18"/>
      <c r="AK489" s="18"/>
      <c r="AL489" s="18"/>
      <c r="AM489" s="18"/>
    </row>
    <row r="490" customFormat="false" ht="15" hidden="false" customHeight="false" outlineLevel="0" collapsed="false">
      <c r="A490" s="15" t="n">
        <f aca="false">RANK(AI490,$AI$2:$AI$755)</f>
        <v>489</v>
      </c>
      <c r="B490" s="16" t="str">
        <f aca="false">IF(T490="Y","Superseded",IF(C490&gt;=Scoring!$B$16,"Immediate",IF(C490&gt;=Scoring!$B$17,"This week",IF(C490&gt;=Scoring!$B$18,"Nurture","Low"))))</f>
        <v>Nurture</v>
      </c>
      <c r="C490" s="3" t="n">
        <f aca="false">SUM(AC490:AH490)</f>
        <v>45</v>
      </c>
      <c r="D490" s="15" t="str">
        <f aca="false">IF(T490="Y","Superseded record",IF(AND(U490&lt;&gt;"",AA490&lt;0),"Expired (verified)",IF(AND(U490&lt;&gt;"",AA490&lt;=Scoring!$B$5),"Expiring: notice window (verified)",IF(AND(U490&lt;&gt;"",AA490&lt;=Scoring!$B$6),"Expiring: 10-yr horizon (verified)",IF(M490="No Longer Monitored","Out of program",IF(N490="","Unknown vintage",IF(N490&lt;Scoring!$B$12,"Pre-1990, still listed",IF(AND(U490="",AA490&lt;0),"Past 30-yr mark (verify)",IF(AND(U490="",AA490&lt;=Scoring!$B$5),"30-yr mark: notice window (est.)",IF(AND(O490&gt;=Scoring!$B$7,O490&lt;=Scoring!$B$8),"Year-15 window",IF(O490&gt;=Scoring!$B$9,"Recap window",IF(O490&gt;=11,"Late compliance","Credit period"))))))))))))</f>
        <v>Out of program</v>
      </c>
      <c r="E490" s="15" t="s">
        <v>1807</v>
      </c>
      <c r="F490" s="15" t="s">
        <v>1808</v>
      </c>
      <c r="G490" s="15" t="s">
        <v>1809</v>
      </c>
      <c r="H490" s="15" t="s">
        <v>1810</v>
      </c>
      <c r="I490" s="15" t="s">
        <v>1811</v>
      </c>
      <c r="J490" s="15" t="n">
        <v>36</v>
      </c>
      <c r="K490" s="15" t="n">
        <v>36</v>
      </c>
      <c r="L490" s="15" t="n">
        <f aca="false">IF(OR(J490="",K490=""),"",MAX(J490-K490,0))</f>
        <v>0</v>
      </c>
      <c r="M490" s="15" t="s">
        <v>1757</v>
      </c>
      <c r="N490" s="17" t="n">
        <v>1987</v>
      </c>
      <c r="O490" s="15" t="n">
        <f aca="false">IF(N490="","",Scoring!$B$4-N490)</f>
        <v>39</v>
      </c>
      <c r="P490" s="15" t="n">
        <f aca="false">IF(N490="","",N490+14)</f>
        <v>2001</v>
      </c>
      <c r="Q490" s="15" t="str">
        <f aca="false">IF(N490="","",IF(N490&lt;Scoring!$B$12,"n/a (pre-1990)",N490+Scoring!$B$13))</f>
        <v>n/a (pre-1990)</v>
      </c>
      <c r="R490" s="15" t="str">
        <f aca="false">IF(J490="","Unknown",IF(J490&gt;=5,"Yes","No (under 5 units)"))</f>
        <v>Yes</v>
      </c>
      <c r="S490" s="15"/>
      <c r="T490" s="18"/>
      <c r="U490" s="19"/>
      <c r="V490" s="18"/>
      <c r="W490" s="18"/>
      <c r="X490" s="20"/>
      <c r="Y490" s="18"/>
      <c r="Z490" s="18"/>
      <c r="AA490" s="21" t="str">
        <f aca="false">IF(U490&lt;&gt;"",(U490-Scoring!$B$3)/365.25,IF(N490="","",IF(N490&lt;Scoring!$B$12,"",(DATE(N490+Scoring!$B$13,12,31)-Scoring!$B$3)/365.25)))</f>
        <v/>
      </c>
      <c r="AB490" s="22" t="n">
        <f aca="false">IF(T490="Y",0,IF(OR(D490="Expired (verified)",D490="Expiring: notice window (verified)",D490="Expiring: 10-yr horizon (verified)",D490="Past 30-yr mark (verify)",D490="30-yr mark: notice window (est.)",D490="Year-15 window"),1,0)+IF(ISNUMBER(O490),IF(O490&gt;=Scoring!$B$10,1,0),0)+IF(AND(ISNUMBER(L490),ISNUMBER(J490)),IF(J490&gt;0,IF(L490/J490&gt;=Scoring!$B$11,1,0),0),0)+IF(ISNUMBER(Z490),MIN(Z490,3),0))</f>
        <v>1</v>
      </c>
      <c r="AC490" s="22" t="n">
        <f aca="false">IF(AB490&gt;=3,Scoring!$C$24,IF(AB490=2,Scoring!$C$23,IF(AB490=1,Scoring!$C$22,0)))</f>
        <v>10</v>
      </c>
      <c r="AD490" s="22" t="n">
        <f aca="false">IF(T490="Y",0,IF(ISNUMBER(X490),IF(X490&gt;0.7,Scoring!$C$25,IF(X490&gt;=0.5,Scoring!$C$26,IF(X490&gt;=0.3,Scoring!$C$27,Scoring!$C$28))),Scoring!$C$29))</f>
        <v>10</v>
      </c>
      <c r="AE490" s="22" t="n">
        <f aca="false">IF(D490="Expiring: notice window (verified)",Scoring!$C$30,IF(OR(D490="Expired (verified)",D490="30-yr mark: notice window (est.)",D490="Year-15 window"),Scoring!$C$31,IF(D490="Expiring: 10-yr horizon (verified)",Scoring!$C$32,IF(D490="Past 30-yr mark (verify)",Scoring!$C$33,IF(OR(D490="Credit period",D490="Superseded record"),Scoring!$C$35,Scoring!$C$34)))))</f>
        <v>4</v>
      </c>
      <c r="AF490" s="22" t="n">
        <f aca="false">IF(T490="Y",0,IF(ISNUMBER(V490),IF(Scoring!$B$4-V490&gt;15,Scoring!$C$36,IF(Scoring!$B$4-V490&gt;=10,Scoring!$C$37,IF(Scoring!$B$4-V490&gt;=5,Scoring!$C$38,Scoring!$C$39))),IF(OR(N490="",D490="Out of program"),Scoring!$C$40,IF(O490&gt;15,Scoring!$C$36,IF(O490&gt;=10,Scoring!$C$37,IF(O490&gt;=5,Scoring!$C$38,Scoring!$C$39))))))</f>
        <v>8</v>
      </c>
      <c r="AG490" s="22" t="n">
        <f aca="false">IF(T490="Y",0,IF(Y490="Y",Scoring!$C$41,IF(ISNUMBER(O490),IF(O490&gt;=25,Scoring!$C$42,IF(O490&gt;=15,Scoring!$C$43,Scoring!$C$44)),Scoring!$C$44)))</f>
        <v>8</v>
      </c>
      <c r="AH490" s="22" t="n">
        <f aca="false">IF(T490="Y",0,IF(W490="",Scoring!$C$49,IFERROR(VLOOKUP(W490,Scoring!$B$45:$C$48,2,FALSE()),Scoring!$C$49)))</f>
        <v>5</v>
      </c>
      <c r="AI490" s="23" t="n">
        <f aca="false">C490+IF(ISNUMBER(J490),J490,0)/100000+(10000-ROW())/1000000000</f>
        <v>45.00036951</v>
      </c>
      <c r="AJ490" s="18"/>
      <c r="AK490" s="18"/>
      <c r="AL490" s="18"/>
      <c r="AM490" s="18"/>
    </row>
    <row r="491" customFormat="false" ht="15" hidden="false" customHeight="false" outlineLevel="0" collapsed="false">
      <c r="A491" s="15" t="n">
        <f aca="false">RANK(AI491,$AI$2:$AI$755)</f>
        <v>490</v>
      </c>
      <c r="B491" s="16" t="str">
        <f aca="false">IF(T491="Y","Superseded",IF(C491&gt;=Scoring!$B$16,"Immediate",IF(C491&gt;=Scoring!$B$17,"This week",IF(C491&gt;=Scoring!$B$18,"Nurture","Low"))))</f>
        <v>Nurture</v>
      </c>
      <c r="C491" s="3" t="n">
        <f aca="false">SUM(AC491:AH491)</f>
        <v>45</v>
      </c>
      <c r="D491" s="15" t="str">
        <f aca="false">IF(T491="Y","Superseded record",IF(AND(U491&lt;&gt;"",AA491&lt;0),"Expired (verified)",IF(AND(U491&lt;&gt;"",AA491&lt;=Scoring!$B$5),"Expiring: notice window (verified)",IF(AND(U491&lt;&gt;"",AA491&lt;=Scoring!$B$6),"Expiring: 10-yr horizon (verified)",IF(M491="No Longer Monitored","Out of program",IF(N491="","Unknown vintage",IF(N491&lt;Scoring!$B$12,"Pre-1990, still listed",IF(AND(U491="",AA491&lt;0),"Past 30-yr mark (verify)",IF(AND(U491="",AA491&lt;=Scoring!$B$5),"30-yr mark: notice window (est.)",IF(AND(O491&gt;=Scoring!$B$7,O491&lt;=Scoring!$B$8),"Year-15 window",IF(O491&gt;=Scoring!$B$9,"Recap window",IF(O491&gt;=11,"Late compliance","Credit period"))))))))))))</f>
        <v>Out of program</v>
      </c>
      <c r="E491" s="15" t="s">
        <v>1812</v>
      </c>
      <c r="F491" s="15" t="s">
        <v>1813</v>
      </c>
      <c r="G491" s="15" t="s">
        <v>1814</v>
      </c>
      <c r="H491" s="15" t="s">
        <v>565</v>
      </c>
      <c r="I491" s="15" t="s">
        <v>566</v>
      </c>
      <c r="J491" s="15" t="n">
        <v>36</v>
      </c>
      <c r="K491" s="15" t="n">
        <v>36</v>
      </c>
      <c r="L491" s="15" t="n">
        <f aca="false">IF(OR(J491="",K491=""),"",MAX(J491-K491,0))</f>
        <v>0</v>
      </c>
      <c r="M491" s="15" t="s">
        <v>1757</v>
      </c>
      <c r="N491" s="17" t="n">
        <v>1988</v>
      </c>
      <c r="O491" s="15" t="n">
        <f aca="false">IF(N491="","",Scoring!$B$4-N491)</f>
        <v>38</v>
      </c>
      <c r="P491" s="15" t="n">
        <f aca="false">IF(N491="","",N491+14)</f>
        <v>2002</v>
      </c>
      <c r="Q491" s="15" t="str">
        <f aca="false">IF(N491="","",IF(N491&lt;Scoring!$B$12,"n/a (pre-1990)",N491+Scoring!$B$13))</f>
        <v>n/a (pre-1990)</v>
      </c>
      <c r="R491" s="15" t="str">
        <f aca="false">IF(J491="","Unknown",IF(J491&gt;=5,"Yes","No (under 5 units)"))</f>
        <v>Yes</v>
      </c>
      <c r="S491" s="15"/>
      <c r="T491" s="18"/>
      <c r="U491" s="19"/>
      <c r="V491" s="18"/>
      <c r="W491" s="18"/>
      <c r="X491" s="20"/>
      <c r="Y491" s="18"/>
      <c r="Z491" s="18"/>
      <c r="AA491" s="21" t="str">
        <f aca="false">IF(U491&lt;&gt;"",(U491-Scoring!$B$3)/365.25,IF(N491="","",IF(N491&lt;Scoring!$B$12,"",(DATE(N491+Scoring!$B$13,12,31)-Scoring!$B$3)/365.25)))</f>
        <v/>
      </c>
      <c r="AB491" s="22" t="n">
        <f aca="false">IF(T491="Y",0,IF(OR(D491="Expired (verified)",D491="Expiring: notice window (verified)",D491="Expiring: 10-yr horizon (verified)",D491="Past 30-yr mark (verify)",D491="30-yr mark: notice window (est.)",D491="Year-15 window"),1,0)+IF(ISNUMBER(O491),IF(O491&gt;=Scoring!$B$10,1,0),0)+IF(AND(ISNUMBER(L491),ISNUMBER(J491)),IF(J491&gt;0,IF(L491/J491&gt;=Scoring!$B$11,1,0),0),0)+IF(ISNUMBER(Z491),MIN(Z491,3),0))</f>
        <v>1</v>
      </c>
      <c r="AC491" s="22" t="n">
        <f aca="false">IF(AB491&gt;=3,Scoring!$C$24,IF(AB491=2,Scoring!$C$23,IF(AB491=1,Scoring!$C$22,0)))</f>
        <v>10</v>
      </c>
      <c r="AD491" s="22" t="n">
        <f aca="false">IF(T491="Y",0,IF(ISNUMBER(X491),IF(X491&gt;0.7,Scoring!$C$25,IF(X491&gt;=0.5,Scoring!$C$26,IF(X491&gt;=0.3,Scoring!$C$27,Scoring!$C$28))),Scoring!$C$29))</f>
        <v>10</v>
      </c>
      <c r="AE491" s="22" t="n">
        <f aca="false">IF(D491="Expiring: notice window (verified)",Scoring!$C$30,IF(OR(D491="Expired (verified)",D491="30-yr mark: notice window (est.)",D491="Year-15 window"),Scoring!$C$31,IF(D491="Expiring: 10-yr horizon (verified)",Scoring!$C$32,IF(D491="Past 30-yr mark (verify)",Scoring!$C$33,IF(OR(D491="Credit period",D491="Superseded record"),Scoring!$C$35,Scoring!$C$34)))))</f>
        <v>4</v>
      </c>
      <c r="AF491" s="22" t="n">
        <f aca="false">IF(T491="Y",0,IF(ISNUMBER(V491),IF(Scoring!$B$4-V491&gt;15,Scoring!$C$36,IF(Scoring!$B$4-V491&gt;=10,Scoring!$C$37,IF(Scoring!$B$4-V491&gt;=5,Scoring!$C$38,Scoring!$C$39))),IF(OR(N491="",D491="Out of program"),Scoring!$C$40,IF(O491&gt;15,Scoring!$C$36,IF(O491&gt;=10,Scoring!$C$37,IF(O491&gt;=5,Scoring!$C$38,Scoring!$C$39))))))</f>
        <v>8</v>
      </c>
      <c r="AG491" s="22" t="n">
        <f aca="false">IF(T491="Y",0,IF(Y491="Y",Scoring!$C$41,IF(ISNUMBER(O491),IF(O491&gt;=25,Scoring!$C$42,IF(O491&gt;=15,Scoring!$C$43,Scoring!$C$44)),Scoring!$C$44)))</f>
        <v>8</v>
      </c>
      <c r="AH491" s="22" t="n">
        <f aca="false">IF(T491="Y",0,IF(W491="",Scoring!$C$49,IFERROR(VLOOKUP(W491,Scoring!$B$45:$C$48,2,FALSE()),Scoring!$C$49)))</f>
        <v>5</v>
      </c>
      <c r="AI491" s="23" t="n">
        <f aca="false">C491+IF(ISNUMBER(J491),J491,0)/100000+(10000-ROW())/1000000000</f>
        <v>45.000369509</v>
      </c>
      <c r="AJ491" s="18"/>
      <c r="AK491" s="18"/>
      <c r="AL491" s="18"/>
      <c r="AM491" s="18"/>
    </row>
    <row r="492" customFormat="false" ht="15" hidden="false" customHeight="false" outlineLevel="0" collapsed="false">
      <c r="A492" s="15" t="n">
        <f aca="false">RANK(AI492,$AI$2:$AI$755)</f>
        <v>491</v>
      </c>
      <c r="B492" s="16" t="str">
        <f aca="false">IF(T492="Y","Superseded",IF(C492&gt;=Scoring!$B$16,"Immediate",IF(C492&gt;=Scoring!$B$17,"This week",IF(C492&gt;=Scoring!$B$18,"Nurture","Low"))))</f>
        <v>Nurture</v>
      </c>
      <c r="C492" s="3" t="n">
        <f aca="false">SUM(AC492:AH492)</f>
        <v>45</v>
      </c>
      <c r="D492" s="15" t="str">
        <f aca="false">IF(T492="Y","Superseded record",IF(AND(U492&lt;&gt;"",AA492&lt;0),"Expired (verified)",IF(AND(U492&lt;&gt;"",AA492&lt;=Scoring!$B$5),"Expiring: notice window (verified)",IF(AND(U492&lt;&gt;"",AA492&lt;=Scoring!$B$6),"Expiring: 10-yr horizon (verified)",IF(M492="No Longer Monitored","Out of program",IF(N492="","Unknown vintage",IF(N492&lt;Scoring!$B$12,"Pre-1990, still listed",IF(AND(U492="",AA492&lt;0),"Past 30-yr mark (verify)",IF(AND(U492="",AA492&lt;=Scoring!$B$5),"30-yr mark: notice window (est.)",IF(AND(O492&gt;=Scoring!$B$7,O492&lt;=Scoring!$B$8),"Year-15 window",IF(O492&gt;=Scoring!$B$9,"Recap window",IF(O492&gt;=11,"Late compliance","Credit period"))))))))))))</f>
        <v>Out of program</v>
      </c>
      <c r="E492" s="15" t="s">
        <v>1815</v>
      </c>
      <c r="F492" s="15" t="s">
        <v>1816</v>
      </c>
      <c r="G492" s="15" t="s">
        <v>1817</v>
      </c>
      <c r="H492" s="15" t="s">
        <v>1818</v>
      </c>
      <c r="I492" s="15" t="s">
        <v>1819</v>
      </c>
      <c r="J492" s="15" t="n">
        <v>36</v>
      </c>
      <c r="K492" s="15" t="n">
        <v>36</v>
      </c>
      <c r="L492" s="15" t="n">
        <f aca="false">IF(OR(J492="",K492=""),"",MAX(J492-K492,0))</f>
        <v>0</v>
      </c>
      <c r="M492" s="15" t="s">
        <v>1757</v>
      </c>
      <c r="N492" s="17" t="n">
        <v>1989</v>
      </c>
      <c r="O492" s="15" t="n">
        <f aca="false">IF(N492="","",Scoring!$B$4-N492)</f>
        <v>37</v>
      </c>
      <c r="P492" s="15" t="n">
        <f aca="false">IF(N492="","",N492+14)</f>
        <v>2003</v>
      </c>
      <c r="Q492" s="15" t="str">
        <f aca="false">IF(N492="","",IF(N492&lt;Scoring!$B$12,"n/a (pre-1990)",N492+Scoring!$B$13))</f>
        <v>n/a (pre-1990)</v>
      </c>
      <c r="R492" s="15" t="str">
        <f aca="false">IF(J492="","Unknown",IF(J492&gt;=5,"Yes","No (under 5 units)"))</f>
        <v>Yes</v>
      </c>
      <c r="S492" s="15"/>
      <c r="T492" s="18"/>
      <c r="U492" s="19"/>
      <c r="V492" s="18"/>
      <c r="W492" s="18"/>
      <c r="X492" s="20"/>
      <c r="Y492" s="18"/>
      <c r="Z492" s="18"/>
      <c r="AA492" s="21" t="str">
        <f aca="false">IF(U492&lt;&gt;"",(U492-Scoring!$B$3)/365.25,IF(N492="","",IF(N492&lt;Scoring!$B$12,"",(DATE(N492+Scoring!$B$13,12,31)-Scoring!$B$3)/365.25)))</f>
        <v/>
      </c>
      <c r="AB492" s="22" t="n">
        <f aca="false">IF(T492="Y",0,IF(OR(D492="Expired (verified)",D492="Expiring: notice window (verified)",D492="Expiring: 10-yr horizon (verified)",D492="Past 30-yr mark (verify)",D492="30-yr mark: notice window (est.)",D492="Year-15 window"),1,0)+IF(ISNUMBER(O492),IF(O492&gt;=Scoring!$B$10,1,0),0)+IF(AND(ISNUMBER(L492),ISNUMBER(J492)),IF(J492&gt;0,IF(L492/J492&gt;=Scoring!$B$11,1,0),0),0)+IF(ISNUMBER(Z492),MIN(Z492,3),0))</f>
        <v>1</v>
      </c>
      <c r="AC492" s="22" t="n">
        <f aca="false">IF(AB492&gt;=3,Scoring!$C$24,IF(AB492=2,Scoring!$C$23,IF(AB492=1,Scoring!$C$22,0)))</f>
        <v>10</v>
      </c>
      <c r="AD492" s="22" t="n">
        <f aca="false">IF(T492="Y",0,IF(ISNUMBER(X492),IF(X492&gt;0.7,Scoring!$C$25,IF(X492&gt;=0.5,Scoring!$C$26,IF(X492&gt;=0.3,Scoring!$C$27,Scoring!$C$28))),Scoring!$C$29))</f>
        <v>10</v>
      </c>
      <c r="AE492" s="22" t="n">
        <f aca="false">IF(D492="Expiring: notice window (verified)",Scoring!$C$30,IF(OR(D492="Expired (verified)",D492="30-yr mark: notice window (est.)",D492="Year-15 window"),Scoring!$C$31,IF(D492="Expiring: 10-yr horizon (verified)",Scoring!$C$32,IF(D492="Past 30-yr mark (verify)",Scoring!$C$33,IF(OR(D492="Credit period",D492="Superseded record"),Scoring!$C$35,Scoring!$C$34)))))</f>
        <v>4</v>
      </c>
      <c r="AF492" s="22" t="n">
        <f aca="false">IF(T492="Y",0,IF(ISNUMBER(V492),IF(Scoring!$B$4-V492&gt;15,Scoring!$C$36,IF(Scoring!$B$4-V492&gt;=10,Scoring!$C$37,IF(Scoring!$B$4-V492&gt;=5,Scoring!$C$38,Scoring!$C$39))),IF(OR(N492="",D492="Out of program"),Scoring!$C$40,IF(O492&gt;15,Scoring!$C$36,IF(O492&gt;=10,Scoring!$C$37,IF(O492&gt;=5,Scoring!$C$38,Scoring!$C$39))))))</f>
        <v>8</v>
      </c>
      <c r="AG492" s="22" t="n">
        <f aca="false">IF(T492="Y",0,IF(Y492="Y",Scoring!$C$41,IF(ISNUMBER(O492),IF(O492&gt;=25,Scoring!$C$42,IF(O492&gt;=15,Scoring!$C$43,Scoring!$C$44)),Scoring!$C$44)))</f>
        <v>8</v>
      </c>
      <c r="AH492" s="22" t="n">
        <f aca="false">IF(T492="Y",0,IF(W492="",Scoring!$C$49,IFERROR(VLOOKUP(W492,Scoring!$B$45:$C$48,2,FALSE()),Scoring!$C$49)))</f>
        <v>5</v>
      </c>
      <c r="AI492" s="23" t="n">
        <f aca="false">C492+IF(ISNUMBER(J492),J492,0)/100000+(10000-ROW())/1000000000</f>
        <v>45.000369508</v>
      </c>
      <c r="AJ492" s="18"/>
      <c r="AK492" s="18"/>
      <c r="AL492" s="18"/>
      <c r="AM492" s="18"/>
    </row>
    <row r="493" customFormat="false" ht="15" hidden="false" customHeight="false" outlineLevel="0" collapsed="false">
      <c r="A493" s="15" t="n">
        <f aca="false">RANK(AI493,$AI$2:$AI$755)</f>
        <v>492</v>
      </c>
      <c r="B493" s="16" t="str">
        <f aca="false">IF(T493="Y","Superseded",IF(C493&gt;=Scoring!$B$16,"Immediate",IF(C493&gt;=Scoring!$B$17,"This week",IF(C493&gt;=Scoring!$B$18,"Nurture","Low"))))</f>
        <v>Nurture</v>
      </c>
      <c r="C493" s="3" t="n">
        <f aca="false">SUM(AC493:AH493)</f>
        <v>45</v>
      </c>
      <c r="D493" s="15" t="str">
        <f aca="false">IF(T493="Y","Superseded record",IF(AND(U493&lt;&gt;"",AA493&lt;0),"Expired (verified)",IF(AND(U493&lt;&gt;"",AA493&lt;=Scoring!$B$5),"Expiring: notice window (verified)",IF(AND(U493&lt;&gt;"",AA493&lt;=Scoring!$B$6),"Expiring: 10-yr horizon (verified)",IF(M493="No Longer Monitored","Out of program",IF(N493="","Unknown vintage",IF(N493&lt;Scoring!$B$12,"Pre-1990, still listed",IF(AND(U493="",AA493&lt;0),"Past 30-yr mark (verify)",IF(AND(U493="",AA493&lt;=Scoring!$B$5),"30-yr mark: notice window (est.)",IF(AND(O493&gt;=Scoring!$B$7,O493&lt;=Scoring!$B$8),"Year-15 window",IF(O493&gt;=Scoring!$B$9,"Recap window",IF(O493&gt;=11,"Late compliance","Credit period"))))))))))))</f>
        <v>Out of program</v>
      </c>
      <c r="E493" s="15" t="s">
        <v>1820</v>
      </c>
      <c r="F493" s="15" t="s">
        <v>1821</v>
      </c>
      <c r="G493" s="15" t="s">
        <v>1822</v>
      </c>
      <c r="H493" s="15" t="s">
        <v>97</v>
      </c>
      <c r="I493" s="15" t="s">
        <v>1393</v>
      </c>
      <c r="J493" s="15" t="n">
        <v>32</v>
      </c>
      <c r="K493" s="15" t="n">
        <v>32</v>
      </c>
      <c r="L493" s="15" t="n">
        <f aca="false">IF(OR(J493="",K493=""),"",MAX(J493-K493,0))</f>
        <v>0</v>
      </c>
      <c r="M493" s="15" t="s">
        <v>1757</v>
      </c>
      <c r="N493" s="17" t="n">
        <v>1988</v>
      </c>
      <c r="O493" s="15" t="n">
        <f aca="false">IF(N493="","",Scoring!$B$4-N493)</f>
        <v>38</v>
      </c>
      <c r="P493" s="15" t="n">
        <f aca="false">IF(N493="","",N493+14)</f>
        <v>2002</v>
      </c>
      <c r="Q493" s="15" t="str">
        <f aca="false">IF(N493="","",IF(N493&lt;Scoring!$B$12,"n/a (pre-1990)",N493+Scoring!$B$13))</f>
        <v>n/a (pre-1990)</v>
      </c>
      <c r="R493" s="15" t="str">
        <f aca="false">IF(J493="","Unknown",IF(J493&gt;=5,"Yes","No (under 5 units)"))</f>
        <v>Yes</v>
      </c>
      <c r="S493" s="15"/>
      <c r="T493" s="18"/>
      <c r="U493" s="19"/>
      <c r="V493" s="18"/>
      <c r="W493" s="18"/>
      <c r="X493" s="20"/>
      <c r="Y493" s="18"/>
      <c r="Z493" s="18"/>
      <c r="AA493" s="21" t="str">
        <f aca="false">IF(U493&lt;&gt;"",(U493-Scoring!$B$3)/365.25,IF(N493="","",IF(N493&lt;Scoring!$B$12,"",(DATE(N493+Scoring!$B$13,12,31)-Scoring!$B$3)/365.25)))</f>
        <v/>
      </c>
      <c r="AB493" s="22" t="n">
        <f aca="false">IF(T493="Y",0,IF(OR(D493="Expired (verified)",D493="Expiring: notice window (verified)",D493="Expiring: 10-yr horizon (verified)",D493="Past 30-yr mark (verify)",D493="30-yr mark: notice window (est.)",D493="Year-15 window"),1,0)+IF(ISNUMBER(O493),IF(O493&gt;=Scoring!$B$10,1,0),0)+IF(AND(ISNUMBER(L493),ISNUMBER(J493)),IF(J493&gt;0,IF(L493/J493&gt;=Scoring!$B$11,1,0),0),0)+IF(ISNUMBER(Z493),MIN(Z493,3),0))</f>
        <v>1</v>
      </c>
      <c r="AC493" s="22" t="n">
        <f aca="false">IF(AB493&gt;=3,Scoring!$C$24,IF(AB493=2,Scoring!$C$23,IF(AB493=1,Scoring!$C$22,0)))</f>
        <v>10</v>
      </c>
      <c r="AD493" s="22" t="n">
        <f aca="false">IF(T493="Y",0,IF(ISNUMBER(X493),IF(X493&gt;0.7,Scoring!$C$25,IF(X493&gt;=0.5,Scoring!$C$26,IF(X493&gt;=0.3,Scoring!$C$27,Scoring!$C$28))),Scoring!$C$29))</f>
        <v>10</v>
      </c>
      <c r="AE493" s="22" t="n">
        <f aca="false">IF(D493="Expiring: notice window (verified)",Scoring!$C$30,IF(OR(D493="Expired (verified)",D493="30-yr mark: notice window (est.)",D493="Year-15 window"),Scoring!$C$31,IF(D493="Expiring: 10-yr horizon (verified)",Scoring!$C$32,IF(D493="Past 30-yr mark (verify)",Scoring!$C$33,IF(OR(D493="Credit period",D493="Superseded record"),Scoring!$C$35,Scoring!$C$34)))))</f>
        <v>4</v>
      </c>
      <c r="AF493" s="22" t="n">
        <f aca="false">IF(T493="Y",0,IF(ISNUMBER(V493),IF(Scoring!$B$4-V493&gt;15,Scoring!$C$36,IF(Scoring!$B$4-V493&gt;=10,Scoring!$C$37,IF(Scoring!$B$4-V493&gt;=5,Scoring!$C$38,Scoring!$C$39))),IF(OR(N493="",D493="Out of program"),Scoring!$C$40,IF(O493&gt;15,Scoring!$C$36,IF(O493&gt;=10,Scoring!$C$37,IF(O493&gt;=5,Scoring!$C$38,Scoring!$C$39))))))</f>
        <v>8</v>
      </c>
      <c r="AG493" s="22" t="n">
        <f aca="false">IF(T493="Y",0,IF(Y493="Y",Scoring!$C$41,IF(ISNUMBER(O493),IF(O493&gt;=25,Scoring!$C$42,IF(O493&gt;=15,Scoring!$C$43,Scoring!$C$44)),Scoring!$C$44)))</f>
        <v>8</v>
      </c>
      <c r="AH493" s="22" t="n">
        <f aca="false">IF(T493="Y",0,IF(W493="",Scoring!$C$49,IFERROR(VLOOKUP(W493,Scoring!$B$45:$C$48,2,FALSE()),Scoring!$C$49)))</f>
        <v>5</v>
      </c>
      <c r="AI493" s="23" t="n">
        <f aca="false">C493+IF(ISNUMBER(J493),J493,0)/100000+(10000-ROW())/1000000000</f>
        <v>45.000329507</v>
      </c>
      <c r="AJ493" s="18"/>
      <c r="AK493" s="18"/>
      <c r="AL493" s="18"/>
      <c r="AM493" s="18"/>
    </row>
    <row r="494" customFormat="false" ht="15" hidden="false" customHeight="false" outlineLevel="0" collapsed="false">
      <c r="A494" s="15" t="n">
        <f aca="false">RANK(AI494,$AI$2:$AI$755)</f>
        <v>493</v>
      </c>
      <c r="B494" s="16" t="str">
        <f aca="false">IF(T494="Y","Superseded",IF(C494&gt;=Scoring!$B$16,"Immediate",IF(C494&gt;=Scoring!$B$17,"This week",IF(C494&gt;=Scoring!$B$18,"Nurture","Low"))))</f>
        <v>Nurture</v>
      </c>
      <c r="C494" s="3" t="n">
        <f aca="false">SUM(AC494:AH494)</f>
        <v>45</v>
      </c>
      <c r="D494" s="15" t="str">
        <f aca="false">IF(T494="Y","Superseded record",IF(AND(U494&lt;&gt;"",AA494&lt;0),"Expired (verified)",IF(AND(U494&lt;&gt;"",AA494&lt;=Scoring!$B$5),"Expiring: notice window (verified)",IF(AND(U494&lt;&gt;"",AA494&lt;=Scoring!$B$6),"Expiring: 10-yr horizon (verified)",IF(M494="No Longer Monitored","Out of program",IF(N494="","Unknown vintage",IF(N494&lt;Scoring!$B$12,"Pre-1990, still listed",IF(AND(U494="",AA494&lt;0),"Past 30-yr mark (verify)",IF(AND(U494="",AA494&lt;=Scoring!$B$5),"30-yr mark: notice window (est.)",IF(AND(O494&gt;=Scoring!$B$7,O494&lt;=Scoring!$B$8),"Year-15 window",IF(O494&gt;=Scoring!$B$9,"Recap window",IF(O494&gt;=11,"Late compliance","Credit period"))))))))))))</f>
        <v>Out of program</v>
      </c>
      <c r="E494" s="15" t="s">
        <v>1823</v>
      </c>
      <c r="F494" s="15" t="s">
        <v>1824</v>
      </c>
      <c r="G494" s="15" t="s">
        <v>1825</v>
      </c>
      <c r="H494" s="15" t="s">
        <v>151</v>
      </c>
      <c r="I494" s="15" t="s">
        <v>1174</v>
      </c>
      <c r="J494" s="15" t="n">
        <v>30</v>
      </c>
      <c r="K494" s="15"/>
      <c r="L494" s="15" t="str">
        <f aca="false">IF(OR(J494="",K494=""),"",MAX(J494-K494,0))</f>
        <v/>
      </c>
      <c r="M494" s="15" t="s">
        <v>1757</v>
      </c>
      <c r="N494" s="17" t="n">
        <v>1989</v>
      </c>
      <c r="O494" s="15" t="n">
        <f aca="false">IF(N494="","",Scoring!$B$4-N494)</f>
        <v>37</v>
      </c>
      <c r="P494" s="15" t="n">
        <f aca="false">IF(N494="","",N494+14)</f>
        <v>2003</v>
      </c>
      <c r="Q494" s="15" t="str">
        <f aca="false">IF(N494="","",IF(N494&lt;Scoring!$B$12,"n/a (pre-1990)",N494+Scoring!$B$13))</f>
        <v>n/a (pre-1990)</v>
      </c>
      <c r="R494" s="15" t="str">
        <f aca="false">IF(J494="","Unknown",IF(J494&gt;=5,"Yes","No (under 5 units)"))</f>
        <v>Yes</v>
      </c>
      <c r="S494" s="15"/>
      <c r="T494" s="18"/>
      <c r="U494" s="19"/>
      <c r="V494" s="18"/>
      <c r="W494" s="18"/>
      <c r="X494" s="20"/>
      <c r="Y494" s="18"/>
      <c r="Z494" s="18"/>
      <c r="AA494" s="21" t="str">
        <f aca="false">IF(U494&lt;&gt;"",(U494-Scoring!$B$3)/365.25,IF(N494="","",IF(N494&lt;Scoring!$B$12,"",(DATE(N494+Scoring!$B$13,12,31)-Scoring!$B$3)/365.25)))</f>
        <v/>
      </c>
      <c r="AB494" s="22" t="n">
        <f aca="false">IF(T494="Y",0,IF(OR(D494="Expired (verified)",D494="Expiring: notice window (verified)",D494="Expiring: 10-yr horizon (verified)",D494="Past 30-yr mark (verify)",D494="30-yr mark: notice window (est.)",D494="Year-15 window"),1,0)+IF(ISNUMBER(O494),IF(O494&gt;=Scoring!$B$10,1,0),0)+IF(AND(ISNUMBER(L494),ISNUMBER(J494)),IF(J494&gt;0,IF(L494/J494&gt;=Scoring!$B$11,1,0),0),0)+IF(ISNUMBER(Z494),MIN(Z494,3),0))</f>
        <v>1</v>
      </c>
      <c r="AC494" s="22" t="n">
        <f aca="false">IF(AB494&gt;=3,Scoring!$C$24,IF(AB494=2,Scoring!$C$23,IF(AB494=1,Scoring!$C$22,0)))</f>
        <v>10</v>
      </c>
      <c r="AD494" s="22" t="n">
        <f aca="false">IF(T494="Y",0,IF(ISNUMBER(X494),IF(X494&gt;0.7,Scoring!$C$25,IF(X494&gt;=0.5,Scoring!$C$26,IF(X494&gt;=0.3,Scoring!$C$27,Scoring!$C$28))),Scoring!$C$29))</f>
        <v>10</v>
      </c>
      <c r="AE494" s="22" t="n">
        <f aca="false">IF(D494="Expiring: notice window (verified)",Scoring!$C$30,IF(OR(D494="Expired (verified)",D494="30-yr mark: notice window (est.)",D494="Year-15 window"),Scoring!$C$31,IF(D494="Expiring: 10-yr horizon (verified)",Scoring!$C$32,IF(D494="Past 30-yr mark (verify)",Scoring!$C$33,IF(OR(D494="Credit period",D494="Superseded record"),Scoring!$C$35,Scoring!$C$34)))))</f>
        <v>4</v>
      </c>
      <c r="AF494" s="22" t="n">
        <f aca="false">IF(T494="Y",0,IF(ISNUMBER(V494),IF(Scoring!$B$4-V494&gt;15,Scoring!$C$36,IF(Scoring!$B$4-V494&gt;=10,Scoring!$C$37,IF(Scoring!$B$4-V494&gt;=5,Scoring!$C$38,Scoring!$C$39))),IF(OR(N494="",D494="Out of program"),Scoring!$C$40,IF(O494&gt;15,Scoring!$C$36,IF(O494&gt;=10,Scoring!$C$37,IF(O494&gt;=5,Scoring!$C$38,Scoring!$C$39))))))</f>
        <v>8</v>
      </c>
      <c r="AG494" s="22" t="n">
        <f aca="false">IF(T494="Y",0,IF(Y494="Y",Scoring!$C$41,IF(ISNUMBER(O494),IF(O494&gt;=25,Scoring!$C$42,IF(O494&gt;=15,Scoring!$C$43,Scoring!$C$44)),Scoring!$C$44)))</f>
        <v>8</v>
      </c>
      <c r="AH494" s="22" t="n">
        <f aca="false">IF(T494="Y",0,IF(W494="",Scoring!$C$49,IFERROR(VLOOKUP(W494,Scoring!$B$45:$C$48,2,FALSE()),Scoring!$C$49)))</f>
        <v>5</v>
      </c>
      <c r="AI494" s="23" t="n">
        <f aca="false">C494+IF(ISNUMBER(J494),J494,0)/100000+(10000-ROW())/1000000000</f>
        <v>45.000309506</v>
      </c>
      <c r="AJ494" s="18"/>
      <c r="AK494" s="18"/>
      <c r="AL494" s="18"/>
      <c r="AM494" s="18"/>
    </row>
    <row r="495" customFormat="false" ht="15" hidden="false" customHeight="false" outlineLevel="0" collapsed="false">
      <c r="A495" s="15" t="n">
        <f aca="false">RANK(AI495,$AI$2:$AI$755)</f>
        <v>494</v>
      </c>
      <c r="B495" s="16" t="str">
        <f aca="false">IF(T495="Y","Superseded",IF(C495&gt;=Scoring!$B$16,"Immediate",IF(C495&gt;=Scoring!$B$17,"This week",IF(C495&gt;=Scoring!$B$18,"Nurture","Low"))))</f>
        <v>Nurture</v>
      </c>
      <c r="C495" s="3" t="n">
        <f aca="false">SUM(AC495:AH495)</f>
        <v>45</v>
      </c>
      <c r="D495" s="15" t="str">
        <f aca="false">IF(T495="Y","Superseded record",IF(AND(U495&lt;&gt;"",AA495&lt;0),"Expired (verified)",IF(AND(U495&lt;&gt;"",AA495&lt;=Scoring!$B$5),"Expiring: notice window (verified)",IF(AND(U495&lt;&gt;"",AA495&lt;=Scoring!$B$6),"Expiring: 10-yr horizon (verified)",IF(M495="No Longer Monitored","Out of program",IF(N495="","Unknown vintage",IF(N495&lt;Scoring!$B$12,"Pre-1990, still listed",IF(AND(U495="",AA495&lt;0),"Past 30-yr mark (verify)",IF(AND(U495="",AA495&lt;=Scoring!$B$5),"30-yr mark: notice window (est.)",IF(AND(O495&gt;=Scoring!$B$7,O495&lt;=Scoring!$B$8),"Year-15 window",IF(O495&gt;=Scoring!$B$9,"Recap window",IF(O495&gt;=11,"Late compliance","Credit period"))))))))))))</f>
        <v>Out of program</v>
      </c>
      <c r="E495" s="15" t="s">
        <v>1826</v>
      </c>
      <c r="F495" s="15" t="s">
        <v>1827</v>
      </c>
      <c r="G495" s="15" t="s">
        <v>1828</v>
      </c>
      <c r="H495" s="15" t="s">
        <v>1214</v>
      </c>
      <c r="I495" s="15" t="s">
        <v>1215</v>
      </c>
      <c r="J495" s="15" t="n">
        <v>28</v>
      </c>
      <c r="K495" s="15" t="n">
        <v>28</v>
      </c>
      <c r="L495" s="15" t="n">
        <f aca="false">IF(OR(J495="",K495=""),"",MAX(J495-K495,0))</f>
        <v>0</v>
      </c>
      <c r="M495" s="15" t="s">
        <v>1757</v>
      </c>
      <c r="N495" s="17" t="n">
        <v>1989</v>
      </c>
      <c r="O495" s="15" t="n">
        <f aca="false">IF(N495="","",Scoring!$B$4-N495)</f>
        <v>37</v>
      </c>
      <c r="P495" s="15" t="n">
        <f aca="false">IF(N495="","",N495+14)</f>
        <v>2003</v>
      </c>
      <c r="Q495" s="15" t="str">
        <f aca="false">IF(N495="","",IF(N495&lt;Scoring!$B$12,"n/a (pre-1990)",N495+Scoring!$B$13))</f>
        <v>n/a (pre-1990)</v>
      </c>
      <c r="R495" s="15" t="str">
        <f aca="false">IF(J495="","Unknown",IF(J495&gt;=5,"Yes","No (under 5 units)"))</f>
        <v>Yes</v>
      </c>
      <c r="S495" s="15"/>
      <c r="T495" s="18"/>
      <c r="U495" s="19"/>
      <c r="V495" s="18"/>
      <c r="W495" s="18"/>
      <c r="X495" s="20"/>
      <c r="Y495" s="18"/>
      <c r="Z495" s="18"/>
      <c r="AA495" s="21" t="str">
        <f aca="false">IF(U495&lt;&gt;"",(U495-Scoring!$B$3)/365.25,IF(N495="","",IF(N495&lt;Scoring!$B$12,"",(DATE(N495+Scoring!$B$13,12,31)-Scoring!$B$3)/365.25)))</f>
        <v/>
      </c>
      <c r="AB495" s="22" t="n">
        <f aca="false">IF(T495="Y",0,IF(OR(D495="Expired (verified)",D495="Expiring: notice window (verified)",D495="Expiring: 10-yr horizon (verified)",D495="Past 30-yr mark (verify)",D495="30-yr mark: notice window (est.)",D495="Year-15 window"),1,0)+IF(ISNUMBER(O495),IF(O495&gt;=Scoring!$B$10,1,0),0)+IF(AND(ISNUMBER(L495),ISNUMBER(J495)),IF(J495&gt;0,IF(L495/J495&gt;=Scoring!$B$11,1,0),0),0)+IF(ISNUMBER(Z495),MIN(Z495,3),0))</f>
        <v>1</v>
      </c>
      <c r="AC495" s="22" t="n">
        <f aca="false">IF(AB495&gt;=3,Scoring!$C$24,IF(AB495=2,Scoring!$C$23,IF(AB495=1,Scoring!$C$22,0)))</f>
        <v>10</v>
      </c>
      <c r="AD495" s="22" t="n">
        <f aca="false">IF(T495="Y",0,IF(ISNUMBER(X495),IF(X495&gt;0.7,Scoring!$C$25,IF(X495&gt;=0.5,Scoring!$C$26,IF(X495&gt;=0.3,Scoring!$C$27,Scoring!$C$28))),Scoring!$C$29))</f>
        <v>10</v>
      </c>
      <c r="AE495" s="22" t="n">
        <f aca="false">IF(D495="Expiring: notice window (verified)",Scoring!$C$30,IF(OR(D495="Expired (verified)",D495="30-yr mark: notice window (est.)",D495="Year-15 window"),Scoring!$C$31,IF(D495="Expiring: 10-yr horizon (verified)",Scoring!$C$32,IF(D495="Past 30-yr mark (verify)",Scoring!$C$33,IF(OR(D495="Credit period",D495="Superseded record"),Scoring!$C$35,Scoring!$C$34)))))</f>
        <v>4</v>
      </c>
      <c r="AF495" s="22" t="n">
        <f aca="false">IF(T495="Y",0,IF(ISNUMBER(V495),IF(Scoring!$B$4-V495&gt;15,Scoring!$C$36,IF(Scoring!$B$4-V495&gt;=10,Scoring!$C$37,IF(Scoring!$B$4-V495&gt;=5,Scoring!$C$38,Scoring!$C$39))),IF(OR(N495="",D495="Out of program"),Scoring!$C$40,IF(O495&gt;15,Scoring!$C$36,IF(O495&gt;=10,Scoring!$C$37,IF(O495&gt;=5,Scoring!$C$38,Scoring!$C$39))))))</f>
        <v>8</v>
      </c>
      <c r="AG495" s="22" t="n">
        <f aca="false">IF(T495="Y",0,IF(Y495="Y",Scoring!$C$41,IF(ISNUMBER(O495),IF(O495&gt;=25,Scoring!$C$42,IF(O495&gt;=15,Scoring!$C$43,Scoring!$C$44)),Scoring!$C$44)))</f>
        <v>8</v>
      </c>
      <c r="AH495" s="22" t="n">
        <f aca="false">IF(T495="Y",0,IF(W495="",Scoring!$C$49,IFERROR(VLOOKUP(W495,Scoring!$B$45:$C$48,2,FALSE()),Scoring!$C$49)))</f>
        <v>5</v>
      </c>
      <c r="AI495" s="23" t="n">
        <f aca="false">C495+IF(ISNUMBER(J495),J495,0)/100000+(10000-ROW())/1000000000</f>
        <v>45.000289505</v>
      </c>
      <c r="AJ495" s="18"/>
      <c r="AK495" s="18"/>
      <c r="AL495" s="18"/>
      <c r="AM495" s="18"/>
    </row>
    <row r="496" customFormat="false" ht="15" hidden="false" customHeight="false" outlineLevel="0" collapsed="false">
      <c r="A496" s="15" t="n">
        <f aca="false">RANK(AI496,$AI$2:$AI$755)</f>
        <v>495</v>
      </c>
      <c r="B496" s="16" t="str">
        <f aca="false">IF(T496="Y","Superseded",IF(C496&gt;=Scoring!$B$16,"Immediate",IF(C496&gt;=Scoring!$B$17,"This week",IF(C496&gt;=Scoring!$B$18,"Nurture","Low"))))</f>
        <v>Nurture</v>
      </c>
      <c r="C496" s="3" t="n">
        <f aca="false">SUM(AC496:AH496)</f>
        <v>45</v>
      </c>
      <c r="D496" s="15" t="str">
        <f aca="false">IF(T496="Y","Superseded record",IF(AND(U496&lt;&gt;"",AA496&lt;0),"Expired (verified)",IF(AND(U496&lt;&gt;"",AA496&lt;=Scoring!$B$5),"Expiring: notice window (verified)",IF(AND(U496&lt;&gt;"",AA496&lt;=Scoring!$B$6),"Expiring: 10-yr horizon (verified)",IF(M496="No Longer Monitored","Out of program",IF(N496="","Unknown vintage",IF(N496&lt;Scoring!$B$12,"Pre-1990, still listed",IF(AND(U496="",AA496&lt;0),"Past 30-yr mark (verify)",IF(AND(U496="",AA496&lt;=Scoring!$B$5),"30-yr mark: notice window (est.)",IF(AND(O496&gt;=Scoring!$B$7,O496&lt;=Scoring!$B$8),"Year-15 window",IF(O496&gt;=Scoring!$B$9,"Recap window",IF(O496&gt;=11,"Late compliance","Credit period"))))))))))))</f>
        <v>Out of program</v>
      </c>
      <c r="E496" s="15" t="s">
        <v>1829</v>
      </c>
      <c r="F496" s="15" t="s">
        <v>1830</v>
      </c>
      <c r="G496" s="15" t="s">
        <v>1831</v>
      </c>
      <c r="H496" s="15" t="s">
        <v>97</v>
      </c>
      <c r="I496" s="15" t="s">
        <v>98</v>
      </c>
      <c r="J496" s="15" t="n">
        <v>27</v>
      </c>
      <c r="K496" s="15" t="n">
        <v>27</v>
      </c>
      <c r="L496" s="15" t="n">
        <f aca="false">IF(OR(J496="",K496=""),"",MAX(J496-K496,0))</f>
        <v>0</v>
      </c>
      <c r="M496" s="15" t="s">
        <v>1757</v>
      </c>
      <c r="N496" s="17" t="n">
        <v>1988</v>
      </c>
      <c r="O496" s="15" t="n">
        <f aca="false">IF(N496="","",Scoring!$B$4-N496)</f>
        <v>38</v>
      </c>
      <c r="P496" s="15" t="n">
        <f aca="false">IF(N496="","",N496+14)</f>
        <v>2002</v>
      </c>
      <c r="Q496" s="15" t="str">
        <f aca="false">IF(N496="","",IF(N496&lt;Scoring!$B$12,"n/a (pre-1990)",N496+Scoring!$B$13))</f>
        <v>n/a (pre-1990)</v>
      </c>
      <c r="R496" s="15" t="str">
        <f aca="false">IF(J496="","Unknown",IF(J496&gt;=5,"Yes","No (under 5 units)"))</f>
        <v>Yes</v>
      </c>
      <c r="S496" s="15"/>
      <c r="T496" s="18"/>
      <c r="U496" s="19"/>
      <c r="V496" s="18"/>
      <c r="W496" s="18"/>
      <c r="X496" s="20"/>
      <c r="Y496" s="18"/>
      <c r="Z496" s="18"/>
      <c r="AA496" s="21" t="str">
        <f aca="false">IF(U496&lt;&gt;"",(U496-Scoring!$B$3)/365.25,IF(N496="","",IF(N496&lt;Scoring!$B$12,"",(DATE(N496+Scoring!$B$13,12,31)-Scoring!$B$3)/365.25)))</f>
        <v/>
      </c>
      <c r="AB496" s="22" t="n">
        <f aca="false">IF(T496="Y",0,IF(OR(D496="Expired (verified)",D496="Expiring: notice window (verified)",D496="Expiring: 10-yr horizon (verified)",D496="Past 30-yr mark (verify)",D496="30-yr mark: notice window (est.)",D496="Year-15 window"),1,0)+IF(ISNUMBER(O496),IF(O496&gt;=Scoring!$B$10,1,0),0)+IF(AND(ISNUMBER(L496),ISNUMBER(J496)),IF(J496&gt;0,IF(L496/J496&gt;=Scoring!$B$11,1,0),0),0)+IF(ISNUMBER(Z496),MIN(Z496,3),0))</f>
        <v>1</v>
      </c>
      <c r="AC496" s="22" t="n">
        <f aca="false">IF(AB496&gt;=3,Scoring!$C$24,IF(AB496=2,Scoring!$C$23,IF(AB496=1,Scoring!$C$22,0)))</f>
        <v>10</v>
      </c>
      <c r="AD496" s="22" t="n">
        <f aca="false">IF(T496="Y",0,IF(ISNUMBER(X496),IF(X496&gt;0.7,Scoring!$C$25,IF(X496&gt;=0.5,Scoring!$C$26,IF(X496&gt;=0.3,Scoring!$C$27,Scoring!$C$28))),Scoring!$C$29))</f>
        <v>10</v>
      </c>
      <c r="AE496" s="22" t="n">
        <f aca="false">IF(D496="Expiring: notice window (verified)",Scoring!$C$30,IF(OR(D496="Expired (verified)",D496="30-yr mark: notice window (est.)",D496="Year-15 window"),Scoring!$C$31,IF(D496="Expiring: 10-yr horizon (verified)",Scoring!$C$32,IF(D496="Past 30-yr mark (verify)",Scoring!$C$33,IF(OR(D496="Credit period",D496="Superseded record"),Scoring!$C$35,Scoring!$C$34)))))</f>
        <v>4</v>
      </c>
      <c r="AF496" s="22" t="n">
        <f aca="false">IF(T496="Y",0,IF(ISNUMBER(V496),IF(Scoring!$B$4-V496&gt;15,Scoring!$C$36,IF(Scoring!$B$4-V496&gt;=10,Scoring!$C$37,IF(Scoring!$B$4-V496&gt;=5,Scoring!$C$38,Scoring!$C$39))),IF(OR(N496="",D496="Out of program"),Scoring!$C$40,IF(O496&gt;15,Scoring!$C$36,IF(O496&gt;=10,Scoring!$C$37,IF(O496&gt;=5,Scoring!$C$38,Scoring!$C$39))))))</f>
        <v>8</v>
      </c>
      <c r="AG496" s="22" t="n">
        <f aca="false">IF(T496="Y",0,IF(Y496="Y",Scoring!$C$41,IF(ISNUMBER(O496),IF(O496&gt;=25,Scoring!$C$42,IF(O496&gt;=15,Scoring!$C$43,Scoring!$C$44)),Scoring!$C$44)))</f>
        <v>8</v>
      </c>
      <c r="AH496" s="22" t="n">
        <f aca="false">IF(T496="Y",0,IF(W496="",Scoring!$C$49,IFERROR(VLOOKUP(W496,Scoring!$B$45:$C$48,2,FALSE()),Scoring!$C$49)))</f>
        <v>5</v>
      </c>
      <c r="AI496" s="23" t="n">
        <f aca="false">C496+IF(ISNUMBER(J496),J496,0)/100000+(10000-ROW())/1000000000</f>
        <v>45.000279504</v>
      </c>
      <c r="AJ496" s="18"/>
      <c r="AK496" s="18"/>
      <c r="AL496" s="18"/>
      <c r="AM496" s="18"/>
    </row>
    <row r="497" customFormat="false" ht="15" hidden="false" customHeight="false" outlineLevel="0" collapsed="false">
      <c r="A497" s="15" t="n">
        <f aca="false">RANK(AI497,$AI$2:$AI$755)</f>
        <v>496</v>
      </c>
      <c r="B497" s="16" t="str">
        <f aca="false">IF(T497="Y","Superseded",IF(C497&gt;=Scoring!$B$16,"Immediate",IF(C497&gt;=Scoring!$B$17,"This week",IF(C497&gt;=Scoring!$B$18,"Nurture","Low"))))</f>
        <v>Nurture</v>
      </c>
      <c r="C497" s="3" t="n">
        <f aca="false">SUM(AC497:AH497)</f>
        <v>45</v>
      </c>
      <c r="D497" s="15" t="str">
        <f aca="false">IF(T497="Y","Superseded record",IF(AND(U497&lt;&gt;"",AA497&lt;0),"Expired (verified)",IF(AND(U497&lt;&gt;"",AA497&lt;=Scoring!$B$5),"Expiring: notice window (verified)",IF(AND(U497&lt;&gt;"",AA497&lt;=Scoring!$B$6),"Expiring: 10-yr horizon (verified)",IF(M497="No Longer Monitored","Out of program",IF(N497="","Unknown vintage",IF(N497&lt;Scoring!$B$12,"Pre-1990, still listed",IF(AND(U497="",AA497&lt;0),"Past 30-yr mark (verify)",IF(AND(U497="",AA497&lt;=Scoring!$B$5),"30-yr mark: notice window (est.)",IF(AND(O497&gt;=Scoring!$B$7,O497&lt;=Scoring!$B$8),"Year-15 window",IF(O497&gt;=Scoring!$B$9,"Recap window",IF(O497&gt;=11,"Late compliance","Credit period"))))))))))))</f>
        <v>Out of program</v>
      </c>
      <c r="E497" s="15" t="s">
        <v>1832</v>
      </c>
      <c r="F497" s="15" t="s">
        <v>1833</v>
      </c>
      <c r="G497" s="15" t="s">
        <v>1834</v>
      </c>
      <c r="H497" s="15" t="s">
        <v>1835</v>
      </c>
      <c r="I497" s="15" t="s">
        <v>1836</v>
      </c>
      <c r="J497" s="15" t="n">
        <v>24</v>
      </c>
      <c r="K497" s="15" t="n">
        <v>24</v>
      </c>
      <c r="L497" s="15" t="n">
        <f aca="false">IF(OR(J497="",K497=""),"",MAX(J497-K497,0))</f>
        <v>0</v>
      </c>
      <c r="M497" s="15" t="s">
        <v>1757</v>
      </c>
      <c r="N497" s="17" t="n">
        <v>1988</v>
      </c>
      <c r="O497" s="15" t="n">
        <f aca="false">IF(N497="","",Scoring!$B$4-N497)</f>
        <v>38</v>
      </c>
      <c r="P497" s="15" t="n">
        <f aca="false">IF(N497="","",N497+14)</f>
        <v>2002</v>
      </c>
      <c r="Q497" s="15" t="str">
        <f aca="false">IF(N497="","",IF(N497&lt;Scoring!$B$12,"n/a (pre-1990)",N497+Scoring!$B$13))</f>
        <v>n/a (pre-1990)</v>
      </c>
      <c r="R497" s="15" t="str">
        <f aca="false">IF(J497="","Unknown",IF(J497&gt;=5,"Yes","No (under 5 units)"))</f>
        <v>Yes</v>
      </c>
      <c r="S497" s="15"/>
      <c r="T497" s="18"/>
      <c r="U497" s="19"/>
      <c r="V497" s="18"/>
      <c r="W497" s="18"/>
      <c r="X497" s="20"/>
      <c r="Y497" s="18"/>
      <c r="Z497" s="18"/>
      <c r="AA497" s="21" t="str">
        <f aca="false">IF(U497&lt;&gt;"",(U497-Scoring!$B$3)/365.25,IF(N497="","",IF(N497&lt;Scoring!$B$12,"",(DATE(N497+Scoring!$B$13,12,31)-Scoring!$B$3)/365.25)))</f>
        <v/>
      </c>
      <c r="AB497" s="22" t="n">
        <f aca="false">IF(T497="Y",0,IF(OR(D497="Expired (verified)",D497="Expiring: notice window (verified)",D497="Expiring: 10-yr horizon (verified)",D497="Past 30-yr mark (verify)",D497="30-yr mark: notice window (est.)",D497="Year-15 window"),1,0)+IF(ISNUMBER(O497),IF(O497&gt;=Scoring!$B$10,1,0),0)+IF(AND(ISNUMBER(L497),ISNUMBER(J497)),IF(J497&gt;0,IF(L497/J497&gt;=Scoring!$B$11,1,0),0),0)+IF(ISNUMBER(Z497),MIN(Z497,3),0))</f>
        <v>1</v>
      </c>
      <c r="AC497" s="22" t="n">
        <f aca="false">IF(AB497&gt;=3,Scoring!$C$24,IF(AB497=2,Scoring!$C$23,IF(AB497=1,Scoring!$C$22,0)))</f>
        <v>10</v>
      </c>
      <c r="AD497" s="22" t="n">
        <f aca="false">IF(T497="Y",0,IF(ISNUMBER(X497),IF(X497&gt;0.7,Scoring!$C$25,IF(X497&gt;=0.5,Scoring!$C$26,IF(X497&gt;=0.3,Scoring!$C$27,Scoring!$C$28))),Scoring!$C$29))</f>
        <v>10</v>
      </c>
      <c r="AE497" s="22" t="n">
        <f aca="false">IF(D497="Expiring: notice window (verified)",Scoring!$C$30,IF(OR(D497="Expired (verified)",D497="30-yr mark: notice window (est.)",D497="Year-15 window"),Scoring!$C$31,IF(D497="Expiring: 10-yr horizon (verified)",Scoring!$C$32,IF(D497="Past 30-yr mark (verify)",Scoring!$C$33,IF(OR(D497="Credit period",D497="Superseded record"),Scoring!$C$35,Scoring!$C$34)))))</f>
        <v>4</v>
      </c>
      <c r="AF497" s="22" t="n">
        <f aca="false">IF(T497="Y",0,IF(ISNUMBER(V497),IF(Scoring!$B$4-V497&gt;15,Scoring!$C$36,IF(Scoring!$B$4-V497&gt;=10,Scoring!$C$37,IF(Scoring!$B$4-V497&gt;=5,Scoring!$C$38,Scoring!$C$39))),IF(OR(N497="",D497="Out of program"),Scoring!$C$40,IF(O497&gt;15,Scoring!$C$36,IF(O497&gt;=10,Scoring!$C$37,IF(O497&gt;=5,Scoring!$C$38,Scoring!$C$39))))))</f>
        <v>8</v>
      </c>
      <c r="AG497" s="22" t="n">
        <f aca="false">IF(T497="Y",0,IF(Y497="Y",Scoring!$C$41,IF(ISNUMBER(O497),IF(O497&gt;=25,Scoring!$C$42,IF(O497&gt;=15,Scoring!$C$43,Scoring!$C$44)),Scoring!$C$44)))</f>
        <v>8</v>
      </c>
      <c r="AH497" s="22" t="n">
        <f aca="false">IF(T497="Y",0,IF(W497="",Scoring!$C$49,IFERROR(VLOOKUP(W497,Scoring!$B$45:$C$48,2,FALSE()),Scoring!$C$49)))</f>
        <v>5</v>
      </c>
      <c r="AI497" s="23" t="n">
        <f aca="false">C497+IF(ISNUMBER(J497),J497,0)/100000+(10000-ROW())/1000000000</f>
        <v>45.000249503</v>
      </c>
      <c r="AJ497" s="18"/>
      <c r="AK497" s="18"/>
      <c r="AL497" s="18"/>
      <c r="AM497" s="18"/>
    </row>
    <row r="498" customFormat="false" ht="15" hidden="false" customHeight="false" outlineLevel="0" collapsed="false">
      <c r="A498" s="15" t="n">
        <f aca="false">RANK(AI498,$AI$2:$AI$755)</f>
        <v>497</v>
      </c>
      <c r="B498" s="16" t="str">
        <f aca="false">IF(T498="Y","Superseded",IF(C498&gt;=Scoring!$B$16,"Immediate",IF(C498&gt;=Scoring!$B$17,"This week",IF(C498&gt;=Scoring!$B$18,"Nurture","Low"))))</f>
        <v>Nurture</v>
      </c>
      <c r="C498" s="3" t="n">
        <f aca="false">SUM(AC498:AH498)</f>
        <v>45</v>
      </c>
      <c r="D498" s="15" t="str">
        <f aca="false">IF(T498="Y","Superseded record",IF(AND(U498&lt;&gt;"",AA498&lt;0),"Expired (verified)",IF(AND(U498&lt;&gt;"",AA498&lt;=Scoring!$B$5),"Expiring: notice window (verified)",IF(AND(U498&lt;&gt;"",AA498&lt;=Scoring!$B$6),"Expiring: 10-yr horizon (verified)",IF(M498="No Longer Monitored","Out of program",IF(N498="","Unknown vintage",IF(N498&lt;Scoring!$B$12,"Pre-1990, still listed",IF(AND(U498="",AA498&lt;0),"Past 30-yr mark (verify)",IF(AND(U498="",AA498&lt;=Scoring!$B$5),"30-yr mark: notice window (est.)",IF(AND(O498&gt;=Scoring!$B$7,O498&lt;=Scoring!$B$8),"Year-15 window",IF(O498&gt;=Scoring!$B$9,"Recap window",IF(O498&gt;=11,"Late compliance","Credit period"))))))))))))</f>
        <v>Out of program</v>
      </c>
      <c r="E498" s="15" t="s">
        <v>1837</v>
      </c>
      <c r="F498" s="15" t="s">
        <v>1838</v>
      </c>
      <c r="G498" s="15" t="s">
        <v>1839</v>
      </c>
      <c r="H498" s="15" t="s">
        <v>221</v>
      </c>
      <c r="I498" s="15" t="s">
        <v>222</v>
      </c>
      <c r="J498" s="15" t="n">
        <v>24</v>
      </c>
      <c r="K498" s="15" t="n">
        <v>24</v>
      </c>
      <c r="L498" s="15" t="n">
        <f aca="false">IF(OR(J498="",K498=""),"",MAX(J498-K498,0))</f>
        <v>0</v>
      </c>
      <c r="M498" s="15" t="s">
        <v>1757</v>
      </c>
      <c r="N498" s="17" t="n">
        <v>1989</v>
      </c>
      <c r="O498" s="15" t="n">
        <f aca="false">IF(N498="","",Scoring!$B$4-N498)</f>
        <v>37</v>
      </c>
      <c r="P498" s="15" t="n">
        <f aca="false">IF(N498="","",N498+14)</f>
        <v>2003</v>
      </c>
      <c r="Q498" s="15" t="str">
        <f aca="false">IF(N498="","",IF(N498&lt;Scoring!$B$12,"n/a (pre-1990)",N498+Scoring!$B$13))</f>
        <v>n/a (pre-1990)</v>
      </c>
      <c r="R498" s="15" t="str">
        <f aca="false">IF(J498="","Unknown",IF(J498&gt;=5,"Yes","No (under 5 units)"))</f>
        <v>Yes</v>
      </c>
      <c r="S498" s="15"/>
      <c r="T498" s="18"/>
      <c r="U498" s="19"/>
      <c r="V498" s="18"/>
      <c r="W498" s="18"/>
      <c r="X498" s="20"/>
      <c r="Y498" s="18"/>
      <c r="Z498" s="18"/>
      <c r="AA498" s="21" t="str">
        <f aca="false">IF(U498&lt;&gt;"",(U498-Scoring!$B$3)/365.25,IF(N498="","",IF(N498&lt;Scoring!$B$12,"",(DATE(N498+Scoring!$B$13,12,31)-Scoring!$B$3)/365.25)))</f>
        <v/>
      </c>
      <c r="AB498" s="22" t="n">
        <f aca="false">IF(T498="Y",0,IF(OR(D498="Expired (verified)",D498="Expiring: notice window (verified)",D498="Expiring: 10-yr horizon (verified)",D498="Past 30-yr mark (verify)",D498="30-yr mark: notice window (est.)",D498="Year-15 window"),1,0)+IF(ISNUMBER(O498),IF(O498&gt;=Scoring!$B$10,1,0),0)+IF(AND(ISNUMBER(L498),ISNUMBER(J498)),IF(J498&gt;0,IF(L498/J498&gt;=Scoring!$B$11,1,0),0),0)+IF(ISNUMBER(Z498),MIN(Z498,3),0))</f>
        <v>1</v>
      </c>
      <c r="AC498" s="22" t="n">
        <f aca="false">IF(AB498&gt;=3,Scoring!$C$24,IF(AB498=2,Scoring!$C$23,IF(AB498=1,Scoring!$C$22,0)))</f>
        <v>10</v>
      </c>
      <c r="AD498" s="22" t="n">
        <f aca="false">IF(T498="Y",0,IF(ISNUMBER(X498),IF(X498&gt;0.7,Scoring!$C$25,IF(X498&gt;=0.5,Scoring!$C$26,IF(X498&gt;=0.3,Scoring!$C$27,Scoring!$C$28))),Scoring!$C$29))</f>
        <v>10</v>
      </c>
      <c r="AE498" s="22" t="n">
        <f aca="false">IF(D498="Expiring: notice window (verified)",Scoring!$C$30,IF(OR(D498="Expired (verified)",D498="30-yr mark: notice window (est.)",D498="Year-15 window"),Scoring!$C$31,IF(D498="Expiring: 10-yr horizon (verified)",Scoring!$C$32,IF(D498="Past 30-yr mark (verify)",Scoring!$C$33,IF(OR(D498="Credit period",D498="Superseded record"),Scoring!$C$35,Scoring!$C$34)))))</f>
        <v>4</v>
      </c>
      <c r="AF498" s="22" t="n">
        <f aca="false">IF(T498="Y",0,IF(ISNUMBER(V498),IF(Scoring!$B$4-V498&gt;15,Scoring!$C$36,IF(Scoring!$B$4-V498&gt;=10,Scoring!$C$37,IF(Scoring!$B$4-V498&gt;=5,Scoring!$C$38,Scoring!$C$39))),IF(OR(N498="",D498="Out of program"),Scoring!$C$40,IF(O498&gt;15,Scoring!$C$36,IF(O498&gt;=10,Scoring!$C$37,IF(O498&gt;=5,Scoring!$C$38,Scoring!$C$39))))))</f>
        <v>8</v>
      </c>
      <c r="AG498" s="22" t="n">
        <f aca="false">IF(T498="Y",0,IF(Y498="Y",Scoring!$C$41,IF(ISNUMBER(O498),IF(O498&gt;=25,Scoring!$C$42,IF(O498&gt;=15,Scoring!$C$43,Scoring!$C$44)),Scoring!$C$44)))</f>
        <v>8</v>
      </c>
      <c r="AH498" s="22" t="n">
        <f aca="false">IF(T498="Y",0,IF(W498="",Scoring!$C$49,IFERROR(VLOOKUP(W498,Scoring!$B$45:$C$48,2,FALSE()),Scoring!$C$49)))</f>
        <v>5</v>
      </c>
      <c r="AI498" s="23" t="n">
        <f aca="false">C498+IF(ISNUMBER(J498),J498,0)/100000+(10000-ROW())/1000000000</f>
        <v>45.000249502</v>
      </c>
      <c r="AJ498" s="18"/>
      <c r="AK498" s="18"/>
      <c r="AL498" s="18"/>
      <c r="AM498" s="18"/>
    </row>
    <row r="499" customFormat="false" ht="15" hidden="false" customHeight="false" outlineLevel="0" collapsed="false">
      <c r="A499" s="15" t="n">
        <f aca="false">RANK(AI499,$AI$2:$AI$755)</f>
        <v>498</v>
      </c>
      <c r="B499" s="16" t="str">
        <f aca="false">IF(T499="Y","Superseded",IF(C499&gt;=Scoring!$B$16,"Immediate",IF(C499&gt;=Scoring!$B$17,"This week",IF(C499&gt;=Scoring!$B$18,"Nurture","Low"))))</f>
        <v>Nurture</v>
      </c>
      <c r="C499" s="3" t="n">
        <f aca="false">SUM(AC499:AH499)</f>
        <v>45</v>
      </c>
      <c r="D499" s="15" t="str">
        <f aca="false">IF(T499="Y","Superseded record",IF(AND(U499&lt;&gt;"",AA499&lt;0),"Expired (verified)",IF(AND(U499&lt;&gt;"",AA499&lt;=Scoring!$B$5),"Expiring: notice window (verified)",IF(AND(U499&lt;&gt;"",AA499&lt;=Scoring!$B$6),"Expiring: 10-yr horizon (verified)",IF(M499="No Longer Monitored","Out of program",IF(N499="","Unknown vintage",IF(N499&lt;Scoring!$B$12,"Pre-1990, still listed",IF(AND(U499="",AA499&lt;0),"Past 30-yr mark (verify)",IF(AND(U499="",AA499&lt;=Scoring!$B$5),"30-yr mark: notice window (est.)",IF(AND(O499&gt;=Scoring!$B$7,O499&lt;=Scoring!$B$8),"Year-15 window",IF(O499&gt;=Scoring!$B$9,"Recap window",IF(O499&gt;=11,"Late compliance","Credit period"))))))))))))</f>
        <v>Out of program</v>
      </c>
      <c r="E499" s="15" t="s">
        <v>1840</v>
      </c>
      <c r="F499" s="15" t="s">
        <v>1841</v>
      </c>
      <c r="G499" s="15" t="s">
        <v>1353</v>
      </c>
      <c r="H499" s="15" t="s">
        <v>565</v>
      </c>
      <c r="I499" s="15" t="s">
        <v>566</v>
      </c>
      <c r="J499" s="15" t="n">
        <v>24</v>
      </c>
      <c r="K499" s="15" t="n">
        <v>24</v>
      </c>
      <c r="L499" s="15" t="n">
        <f aca="false">IF(OR(J499="",K499=""),"",MAX(J499-K499,0))</f>
        <v>0</v>
      </c>
      <c r="M499" s="15" t="s">
        <v>1757</v>
      </c>
      <c r="N499" s="17" t="n">
        <v>1989</v>
      </c>
      <c r="O499" s="15" t="n">
        <f aca="false">IF(N499="","",Scoring!$B$4-N499)</f>
        <v>37</v>
      </c>
      <c r="P499" s="15" t="n">
        <f aca="false">IF(N499="","",N499+14)</f>
        <v>2003</v>
      </c>
      <c r="Q499" s="15" t="str">
        <f aca="false">IF(N499="","",IF(N499&lt;Scoring!$B$12,"n/a (pre-1990)",N499+Scoring!$B$13))</f>
        <v>n/a (pre-1990)</v>
      </c>
      <c r="R499" s="15" t="str">
        <f aca="false">IF(J499="","Unknown",IF(J499&gt;=5,"Yes","No (under 5 units)"))</f>
        <v>Yes</v>
      </c>
      <c r="S499" s="15" t="s">
        <v>1842</v>
      </c>
      <c r="T499" s="18"/>
      <c r="U499" s="19"/>
      <c r="V499" s="18"/>
      <c r="W499" s="18"/>
      <c r="X499" s="20"/>
      <c r="Y499" s="18"/>
      <c r="Z499" s="18"/>
      <c r="AA499" s="21" t="str">
        <f aca="false">IF(U499&lt;&gt;"",(U499-Scoring!$B$3)/365.25,IF(N499="","",IF(N499&lt;Scoring!$B$12,"",(DATE(N499+Scoring!$B$13,12,31)-Scoring!$B$3)/365.25)))</f>
        <v/>
      </c>
      <c r="AB499" s="22" t="n">
        <f aca="false">IF(T499="Y",0,IF(OR(D499="Expired (verified)",D499="Expiring: notice window (verified)",D499="Expiring: 10-yr horizon (verified)",D499="Past 30-yr mark (verify)",D499="30-yr mark: notice window (est.)",D499="Year-15 window"),1,0)+IF(ISNUMBER(O499),IF(O499&gt;=Scoring!$B$10,1,0),0)+IF(AND(ISNUMBER(L499),ISNUMBER(J499)),IF(J499&gt;0,IF(L499/J499&gt;=Scoring!$B$11,1,0),0),0)+IF(ISNUMBER(Z499),MIN(Z499,3),0))</f>
        <v>1</v>
      </c>
      <c r="AC499" s="22" t="n">
        <f aca="false">IF(AB499&gt;=3,Scoring!$C$24,IF(AB499=2,Scoring!$C$23,IF(AB499=1,Scoring!$C$22,0)))</f>
        <v>10</v>
      </c>
      <c r="AD499" s="22" t="n">
        <f aca="false">IF(T499="Y",0,IF(ISNUMBER(X499),IF(X499&gt;0.7,Scoring!$C$25,IF(X499&gt;=0.5,Scoring!$C$26,IF(X499&gt;=0.3,Scoring!$C$27,Scoring!$C$28))),Scoring!$C$29))</f>
        <v>10</v>
      </c>
      <c r="AE499" s="22" t="n">
        <f aca="false">IF(D499="Expiring: notice window (verified)",Scoring!$C$30,IF(OR(D499="Expired (verified)",D499="30-yr mark: notice window (est.)",D499="Year-15 window"),Scoring!$C$31,IF(D499="Expiring: 10-yr horizon (verified)",Scoring!$C$32,IF(D499="Past 30-yr mark (verify)",Scoring!$C$33,IF(OR(D499="Credit period",D499="Superseded record"),Scoring!$C$35,Scoring!$C$34)))))</f>
        <v>4</v>
      </c>
      <c r="AF499" s="22" t="n">
        <f aca="false">IF(T499="Y",0,IF(ISNUMBER(V499),IF(Scoring!$B$4-V499&gt;15,Scoring!$C$36,IF(Scoring!$B$4-V499&gt;=10,Scoring!$C$37,IF(Scoring!$B$4-V499&gt;=5,Scoring!$C$38,Scoring!$C$39))),IF(OR(N499="",D499="Out of program"),Scoring!$C$40,IF(O499&gt;15,Scoring!$C$36,IF(O499&gt;=10,Scoring!$C$37,IF(O499&gt;=5,Scoring!$C$38,Scoring!$C$39))))))</f>
        <v>8</v>
      </c>
      <c r="AG499" s="22" t="n">
        <f aca="false">IF(T499="Y",0,IF(Y499="Y",Scoring!$C$41,IF(ISNUMBER(O499),IF(O499&gt;=25,Scoring!$C$42,IF(O499&gt;=15,Scoring!$C$43,Scoring!$C$44)),Scoring!$C$44)))</f>
        <v>8</v>
      </c>
      <c r="AH499" s="22" t="n">
        <f aca="false">IF(T499="Y",0,IF(W499="",Scoring!$C$49,IFERROR(VLOOKUP(W499,Scoring!$B$45:$C$48,2,FALSE()),Scoring!$C$49)))</f>
        <v>5</v>
      </c>
      <c r="AI499" s="23" t="n">
        <f aca="false">C499+IF(ISNUMBER(J499),J499,0)/100000+(10000-ROW())/1000000000</f>
        <v>45.000249501</v>
      </c>
      <c r="AJ499" s="18"/>
      <c r="AK499" s="18"/>
      <c r="AL499" s="18"/>
      <c r="AM499" s="18"/>
    </row>
    <row r="500" customFormat="false" ht="15" hidden="false" customHeight="false" outlineLevel="0" collapsed="false">
      <c r="A500" s="15" t="n">
        <f aca="false">RANK(AI500,$AI$2:$AI$755)</f>
        <v>499</v>
      </c>
      <c r="B500" s="16" t="str">
        <f aca="false">IF(T500="Y","Superseded",IF(C500&gt;=Scoring!$B$16,"Immediate",IF(C500&gt;=Scoring!$B$17,"This week",IF(C500&gt;=Scoring!$B$18,"Nurture","Low"))))</f>
        <v>Nurture</v>
      </c>
      <c r="C500" s="3" t="n">
        <f aca="false">SUM(AC500:AH500)</f>
        <v>45</v>
      </c>
      <c r="D500" s="15" t="str">
        <f aca="false">IF(T500="Y","Superseded record",IF(AND(U500&lt;&gt;"",AA500&lt;0),"Expired (verified)",IF(AND(U500&lt;&gt;"",AA500&lt;=Scoring!$B$5),"Expiring: notice window (verified)",IF(AND(U500&lt;&gt;"",AA500&lt;=Scoring!$B$6),"Expiring: 10-yr horizon (verified)",IF(M500="No Longer Monitored","Out of program",IF(N500="","Unknown vintage",IF(N500&lt;Scoring!$B$12,"Pre-1990, still listed",IF(AND(U500="",AA500&lt;0),"Past 30-yr mark (verify)",IF(AND(U500="",AA500&lt;=Scoring!$B$5),"30-yr mark: notice window (est.)",IF(AND(O500&gt;=Scoring!$B$7,O500&lt;=Scoring!$B$8),"Year-15 window",IF(O500&gt;=Scoring!$B$9,"Recap window",IF(O500&gt;=11,"Late compliance","Credit period"))))))))))))</f>
        <v>Out of program</v>
      </c>
      <c r="E500" s="15" t="s">
        <v>1843</v>
      </c>
      <c r="F500" s="15" t="s">
        <v>1844</v>
      </c>
      <c r="G500" s="15" t="s">
        <v>1845</v>
      </c>
      <c r="H500" s="15" t="s">
        <v>107</v>
      </c>
      <c r="I500" s="15" t="s">
        <v>459</v>
      </c>
      <c r="J500" s="15" t="n">
        <v>22</v>
      </c>
      <c r="K500" s="15" t="n">
        <v>22</v>
      </c>
      <c r="L500" s="15" t="n">
        <f aca="false">IF(OR(J500="",K500=""),"",MAX(J500-K500,0))</f>
        <v>0</v>
      </c>
      <c r="M500" s="15" t="s">
        <v>1757</v>
      </c>
      <c r="N500" s="17" t="n">
        <v>1987</v>
      </c>
      <c r="O500" s="15" t="n">
        <f aca="false">IF(N500="","",Scoring!$B$4-N500)</f>
        <v>39</v>
      </c>
      <c r="P500" s="15" t="n">
        <f aca="false">IF(N500="","",N500+14)</f>
        <v>2001</v>
      </c>
      <c r="Q500" s="15" t="str">
        <f aca="false">IF(N500="","",IF(N500&lt;Scoring!$B$12,"n/a (pre-1990)",N500+Scoring!$B$13))</f>
        <v>n/a (pre-1990)</v>
      </c>
      <c r="R500" s="15" t="str">
        <f aca="false">IF(J500="","Unknown",IF(J500&gt;=5,"Yes","No (under 5 units)"))</f>
        <v>Yes</v>
      </c>
      <c r="S500" s="15"/>
      <c r="T500" s="18"/>
      <c r="U500" s="19"/>
      <c r="V500" s="18"/>
      <c r="W500" s="18"/>
      <c r="X500" s="20"/>
      <c r="Y500" s="18"/>
      <c r="Z500" s="18"/>
      <c r="AA500" s="21" t="str">
        <f aca="false">IF(U500&lt;&gt;"",(U500-Scoring!$B$3)/365.25,IF(N500="","",IF(N500&lt;Scoring!$B$12,"",(DATE(N500+Scoring!$B$13,12,31)-Scoring!$B$3)/365.25)))</f>
        <v/>
      </c>
      <c r="AB500" s="22" t="n">
        <f aca="false">IF(T500="Y",0,IF(OR(D500="Expired (verified)",D500="Expiring: notice window (verified)",D500="Expiring: 10-yr horizon (verified)",D500="Past 30-yr mark (verify)",D500="30-yr mark: notice window (est.)",D500="Year-15 window"),1,0)+IF(ISNUMBER(O500),IF(O500&gt;=Scoring!$B$10,1,0),0)+IF(AND(ISNUMBER(L500),ISNUMBER(J500)),IF(J500&gt;0,IF(L500/J500&gt;=Scoring!$B$11,1,0),0),0)+IF(ISNUMBER(Z500),MIN(Z500,3),0))</f>
        <v>1</v>
      </c>
      <c r="AC500" s="22" t="n">
        <f aca="false">IF(AB500&gt;=3,Scoring!$C$24,IF(AB500=2,Scoring!$C$23,IF(AB500=1,Scoring!$C$22,0)))</f>
        <v>10</v>
      </c>
      <c r="AD500" s="22" t="n">
        <f aca="false">IF(T500="Y",0,IF(ISNUMBER(X500),IF(X500&gt;0.7,Scoring!$C$25,IF(X500&gt;=0.5,Scoring!$C$26,IF(X500&gt;=0.3,Scoring!$C$27,Scoring!$C$28))),Scoring!$C$29))</f>
        <v>10</v>
      </c>
      <c r="AE500" s="22" t="n">
        <f aca="false">IF(D500="Expiring: notice window (verified)",Scoring!$C$30,IF(OR(D500="Expired (verified)",D500="30-yr mark: notice window (est.)",D500="Year-15 window"),Scoring!$C$31,IF(D500="Expiring: 10-yr horizon (verified)",Scoring!$C$32,IF(D500="Past 30-yr mark (verify)",Scoring!$C$33,IF(OR(D500="Credit period",D500="Superseded record"),Scoring!$C$35,Scoring!$C$34)))))</f>
        <v>4</v>
      </c>
      <c r="AF500" s="22" t="n">
        <f aca="false">IF(T500="Y",0,IF(ISNUMBER(V500),IF(Scoring!$B$4-V500&gt;15,Scoring!$C$36,IF(Scoring!$B$4-V500&gt;=10,Scoring!$C$37,IF(Scoring!$B$4-V500&gt;=5,Scoring!$C$38,Scoring!$C$39))),IF(OR(N500="",D500="Out of program"),Scoring!$C$40,IF(O500&gt;15,Scoring!$C$36,IF(O500&gt;=10,Scoring!$C$37,IF(O500&gt;=5,Scoring!$C$38,Scoring!$C$39))))))</f>
        <v>8</v>
      </c>
      <c r="AG500" s="22" t="n">
        <f aca="false">IF(T500="Y",0,IF(Y500="Y",Scoring!$C$41,IF(ISNUMBER(O500),IF(O500&gt;=25,Scoring!$C$42,IF(O500&gt;=15,Scoring!$C$43,Scoring!$C$44)),Scoring!$C$44)))</f>
        <v>8</v>
      </c>
      <c r="AH500" s="22" t="n">
        <f aca="false">IF(T500="Y",0,IF(W500="",Scoring!$C$49,IFERROR(VLOOKUP(W500,Scoring!$B$45:$C$48,2,FALSE()),Scoring!$C$49)))</f>
        <v>5</v>
      </c>
      <c r="AI500" s="23" t="n">
        <f aca="false">C500+IF(ISNUMBER(J500),J500,0)/100000+(10000-ROW())/1000000000</f>
        <v>45.0002295</v>
      </c>
      <c r="AJ500" s="18"/>
      <c r="AK500" s="18"/>
      <c r="AL500" s="18"/>
      <c r="AM500" s="18"/>
    </row>
    <row r="501" customFormat="false" ht="15" hidden="false" customHeight="false" outlineLevel="0" collapsed="false">
      <c r="A501" s="15" t="n">
        <f aca="false">RANK(AI501,$AI$2:$AI$755)</f>
        <v>500</v>
      </c>
      <c r="B501" s="16" t="str">
        <f aca="false">IF(T501="Y","Superseded",IF(C501&gt;=Scoring!$B$16,"Immediate",IF(C501&gt;=Scoring!$B$17,"This week",IF(C501&gt;=Scoring!$B$18,"Nurture","Low"))))</f>
        <v>Nurture</v>
      </c>
      <c r="C501" s="3" t="n">
        <f aca="false">SUM(AC501:AH501)</f>
        <v>45</v>
      </c>
      <c r="D501" s="15" t="str">
        <f aca="false">IF(T501="Y","Superseded record",IF(AND(U501&lt;&gt;"",AA501&lt;0),"Expired (verified)",IF(AND(U501&lt;&gt;"",AA501&lt;=Scoring!$B$5),"Expiring: notice window (verified)",IF(AND(U501&lt;&gt;"",AA501&lt;=Scoring!$B$6),"Expiring: 10-yr horizon (verified)",IF(M501="No Longer Monitored","Out of program",IF(N501="","Unknown vintage",IF(N501&lt;Scoring!$B$12,"Pre-1990, still listed",IF(AND(U501="",AA501&lt;0),"Past 30-yr mark (verify)",IF(AND(U501="",AA501&lt;=Scoring!$B$5),"30-yr mark: notice window (est.)",IF(AND(O501&gt;=Scoring!$B$7,O501&lt;=Scoring!$B$8),"Year-15 window",IF(O501&gt;=Scoring!$B$9,"Recap window",IF(O501&gt;=11,"Late compliance","Credit period"))))))))))))</f>
        <v>Out of program</v>
      </c>
      <c r="E501" s="15" t="s">
        <v>1846</v>
      </c>
      <c r="F501" s="15" t="s">
        <v>1847</v>
      </c>
      <c r="G501" s="15" t="s">
        <v>1848</v>
      </c>
      <c r="H501" s="15" t="s">
        <v>97</v>
      </c>
      <c r="I501" s="15" t="s">
        <v>1849</v>
      </c>
      <c r="J501" s="15" t="n">
        <v>22</v>
      </c>
      <c r="K501" s="15" t="n">
        <v>22</v>
      </c>
      <c r="L501" s="15" t="n">
        <f aca="false">IF(OR(J501="",K501=""),"",MAX(J501-K501,0))</f>
        <v>0</v>
      </c>
      <c r="M501" s="15" t="s">
        <v>1757</v>
      </c>
      <c r="N501" s="17" t="n">
        <v>1988</v>
      </c>
      <c r="O501" s="15" t="n">
        <f aca="false">IF(N501="","",Scoring!$B$4-N501)</f>
        <v>38</v>
      </c>
      <c r="P501" s="15" t="n">
        <f aca="false">IF(N501="","",N501+14)</f>
        <v>2002</v>
      </c>
      <c r="Q501" s="15" t="str">
        <f aca="false">IF(N501="","",IF(N501&lt;Scoring!$B$12,"n/a (pre-1990)",N501+Scoring!$B$13))</f>
        <v>n/a (pre-1990)</v>
      </c>
      <c r="R501" s="15" t="str">
        <f aca="false">IF(J501="","Unknown",IF(J501&gt;=5,"Yes","No (under 5 units)"))</f>
        <v>Yes</v>
      </c>
      <c r="S501" s="15"/>
      <c r="T501" s="18"/>
      <c r="U501" s="19"/>
      <c r="V501" s="18"/>
      <c r="W501" s="18"/>
      <c r="X501" s="20"/>
      <c r="Y501" s="18"/>
      <c r="Z501" s="18"/>
      <c r="AA501" s="21" t="str">
        <f aca="false">IF(U501&lt;&gt;"",(U501-Scoring!$B$3)/365.25,IF(N501="","",IF(N501&lt;Scoring!$B$12,"",(DATE(N501+Scoring!$B$13,12,31)-Scoring!$B$3)/365.25)))</f>
        <v/>
      </c>
      <c r="AB501" s="22" t="n">
        <f aca="false">IF(T501="Y",0,IF(OR(D501="Expired (verified)",D501="Expiring: notice window (verified)",D501="Expiring: 10-yr horizon (verified)",D501="Past 30-yr mark (verify)",D501="30-yr mark: notice window (est.)",D501="Year-15 window"),1,0)+IF(ISNUMBER(O501),IF(O501&gt;=Scoring!$B$10,1,0),0)+IF(AND(ISNUMBER(L501),ISNUMBER(J501)),IF(J501&gt;0,IF(L501/J501&gt;=Scoring!$B$11,1,0),0),0)+IF(ISNUMBER(Z501),MIN(Z501,3),0))</f>
        <v>1</v>
      </c>
      <c r="AC501" s="22" t="n">
        <f aca="false">IF(AB501&gt;=3,Scoring!$C$24,IF(AB501=2,Scoring!$C$23,IF(AB501=1,Scoring!$C$22,0)))</f>
        <v>10</v>
      </c>
      <c r="AD501" s="22" t="n">
        <f aca="false">IF(T501="Y",0,IF(ISNUMBER(X501),IF(X501&gt;0.7,Scoring!$C$25,IF(X501&gt;=0.5,Scoring!$C$26,IF(X501&gt;=0.3,Scoring!$C$27,Scoring!$C$28))),Scoring!$C$29))</f>
        <v>10</v>
      </c>
      <c r="AE501" s="22" t="n">
        <f aca="false">IF(D501="Expiring: notice window (verified)",Scoring!$C$30,IF(OR(D501="Expired (verified)",D501="30-yr mark: notice window (est.)",D501="Year-15 window"),Scoring!$C$31,IF(D501="Expiring: 10-yr horizon (verified)",Scoring!$C$32,IF(D501="Past 30-yr mark (verify)",Scoring!$C$33,IF(OR(D501="Credit period",D501="Superseded record"),Scoring!$C$35,Scoring!$C$34)))))</f>
        <v>4</v>
      </c>
      <c r="AF501" s="22" t="n">
        <f aca="false">IF(T501="Y",0,IF(ISNUMBER(V501),IF(Scoring!$B$4-V501&gt;15,Scoring!$C$36,IF(Scoring!$B$4-V501&gt;=10,Scoring!$C$37,IF(Scoring!$B$4-V501&gt;=5,Scoring!$C$38,Scoring!$C$39))),IF(OR(N501="",D501="Out of program"),Scoring!$C$40,IF(O501&gt;15,Scoring!$C$36,IF(O501&gt;=10,Scoring!$C$37,IF(O501&gt;=5,Scoring!$C$38,Scoring!$C$39))))))</f>
        <v>8</v>
      </c>
      <c r="AG501" s="22" t="n">
        <f aca="false">IF(T501="Y",0,IF(Y501="Y",Scoring!$C$41,IF(ISNUMBER(O501),IF(O501&gt;=25,Scoring!$C$42,IF(O501&gt;=15,Scoring!$C$43,Scoring!$C$44)),Scoring!$C$44)))</f>
        <v>8</v>
      </c>
      <c r="AH501" s="22" t="n">
        <f aca="false">IF(T501="Y",0,IF(W501="",Scoring!$C$49,IFERROR(VLOOKUP(W501,Scoring!$B$45:$C$48,2,FALSE()),Scoring!$C$49)))</f>
        <v>5</v>
      </c>
      <c r="AI501" s="23" t="n">
        <f aca="false">C501+IF(ISNUMBER(J501),J501,0)/100000+(10000-ROW())/1000000000</f>
        <v>45.000229499</v>
      </c>
      <c r="AJ501" s="18"/>
      <c r="AK501" s="18"/>
      <c r="AL501" s="18"/>
      <c r="AM501" s="18"/>
    </row>
    <row r="502" customFormat="false" ht="15" hidden="false" customHeight="false" outlineLevel="0" collapsed="false">
      <c r="A502" s="15" t="n">
        <f aca="false">RANK(AI502,$AI$2:$AI$755)</f>
        <v>501</v>
      </c>
      <c r="B502" s="16" t="str">
        <f aca="false">IF(T502="Y","Superseded",IF(C502&gt;=Scoring!$B$16,"Immediate",IF(C502&gt;=Scoring!$B$17,"This week",IF(C502&gt;=Scoring!$B$18,"Nurture","Low"))))</f>
        <v>Nurture</v>
      </c>
      <c r="C502" s="3" t="n">
        <f aca="false">SUM(AC502:AH502)</f>
        <v>45</v>
      </c>
      <c r="D502" s="15" t="str">
        <f aca="false">IF(T502="Y","Superseded record",IF(AND(U502&lt;&gt;"",AA502&lt;0),"Expired (verified)",IF(AND(U502&lt;&gt;"",AA502&lt;=Scoring!$B$5),"Expiring: notice window (verified)",IF(AND(U502&lt;&gt;"",AA502&lt;=Scoring!$B$6),"Expiring: 10-yr horizon (verified)",IF(M502="No Longer Monitored","Out of program",IF(N502="","Unknown vintage",IF(N502&lt;Scoring!$B$12,"Pre-1990, still listed",IF(AND(U502="",AA502&lt;0),"Past 30-yr mark (verify)",IF(AND(U502="",AA502&lt;=Scoring!$B$5),"30-yr mark: notice window (est.)",IF(AND(O502&gt;=Scoring!$B$7,O502&lt;=Scoring!$B$8),"Year-15 window",IF(O502&gt;=Scoring!$B$9,"Recap window",IF(O502&gt;=11,"Late compliance","Credit period"))))))))))))</f>
        <v>Out of program</v>
      </c>
      <c r="E502" s="15" t="s">
        <v>1850</v>
      </c>
      <c r="F502" s="15" t="s">
        <v>1851</v>
      </c>
      <c r="G502" s="15" t="s">
        <v>1852</v>
      </c>
      <c r="H502" s="15" t="s">
        <v>1853</v>
      </c>
      <c r="I502" s="15" t="s">
        <v>1854</v>
      </c>
      <c r="J502" s="15" t="n">
        <v>22</v>
      </c>
      <c r="K502" s="15" t="n">
        <v>22</v>
      </c>
      <c r="L502" s="15" t="n">
        <f aca="false">IF(OR(J502="",K502=""),"",MAX(J502-K502,0))</f>
        <v>0</v>
      </c>
      <c r="M502" s="15" t="s">
        <v>1757</v>
      </c>
      <c r="N502" s="17" t="n">
        <v>1988</v>
      </c>
      <c r="O502" s="15" t="n">
        <f aca="false">IF(N502="","",Scoring!$B$4-N502)</f>
        <v>38</v>
      </c>
      <c r="P502" s="15" t="n">
        <f aca="false">IF(N502="","",N502+14)</f>
        <v>2002</v>
      </c>
      <c r="Q502" s="15" t="str">
        <f aca="false">IF(N502="","",IF(N502&lt;Scoring!$B$12,"n/a (pre-1990)",N502+Scoring!$B$13))</f>
        <v>n/a (pre-1990)</v>
      </c>
      <c r="R502" s="15" t="str">
        <f aca="false">IF(J502="","Unknown",IF(J502&gt;=5,"Yes","No (under 5 units)"))</f>
        <v>Yes</v>
      </c>
      <c r="S502" s="15"/>
      <c r="T502" s="18"/>
      <c r="U502" s="19"/>
      <c r="V502" s="18"/>
      <c r="W502" s="18"/>
      <c r="X502" s="20"/>
      <c r="Y502" s="18"/>
      <c r="Z502" s="18"/>
      <c r="AA502" s="21" t="str">
        <f aca="false">IF(U502&lt;&gt;"",(U502-Scoring!$B$3)/365.25,IF(N502="","",IF(N502&lt;Scoring!$B$12,"",(DATE(N502+Scoring!$B$13,12,31)-Scoring!$B$3)/365.25)))</f>
        <v/>
      </c>
      <c r="AB502" s="22" t="n">
        <f aca="false">IF(T502="Y",0,IF(OR(D502="Expired (verified)",D502="Expiring: notice window (verified)",D502="Expiring: 10-yr horizon (verified)",D502="Past 30-yr mark (verify)",D502="30-yr mark: notice window (est.)",D502="Year-15 window"),1,0)+IF(ISNUMBER(O502),IF(O502&gt;=Scoring!$B$10,1,0),0)+IF(AND(ISNUMBER(L502),ISNUMBER(J502)),IF(J502&gt;0,IF(L502/J502&gt;=Scoring!$B$11,1,0),0),0)+IF(ISNUMBER(Z502),MIN(Z502,3),0))</f>
        <v>1</v>
      </c>
      <c r="AC502" s="22" t="n">
        <f aca="false">IF(AB502&gt;=3,Scoring!$C$24,IF(AB502=2,Scoring!$C$23,IF(AB502=1,Scoring!$C$22,0)))</f>
        <v>10</v>
      </c>
      <c r="AD502" s="22" t="n">
        <f aca="false">IF(T502="Y",0,IF(ISNUMBER(X502),IF(X502&gt;0.7,Scoring!$C$25,IF(X502&gt;=0.5,Scoring!$C$26,IF(X502&gt;=0.3,Scoring!$C$27,Scoring!$C$28))),Scoring!$C$29))</f>
        <v>10</v>
      </c>
      <c r="AE502" s="22" t="n">
        <f aca="false">IF(D502="Expiring: notice window (verified)",Scoring!$C$30,IF(OR(D502="Expired (verified)",D502="30-yr mark: notice window (est.)",D502="Year-15 window"),Scoring!$C$31,IF(D502="Expiring: 10-yr horizon (verified)",Scoring!$C$32,IF(D502="Past 30-yr mark (verify)",Scoring!$C$33,IF(OR(D502="Credit period",D502="Superseded record"),Scoring!$C$35,Scoring!$C$34)))))</f>
        <v>4</v>
      </c>
      <c r="AF502" s="22" t="n">
        <f aca="false">IF(T502="Y",0,IF(ISNUMBER(V502),IF(Scoring!$B$4-V502&gt;15,Scoring!$C$36,IF(Scoring!$B$4-V502&gt;=10,Scoring!$C$37,IF(Scoring!$B$4-V502&gt;=5,Scoring!$C$38,Scoring!$C$39))),IF(OR(N502="",D502="Out of program"),Scoring!$C$40,IF(O502&gt;15,Scoring!$C$36,IF(O502&gt;=10,Scoring!$C$37,IF(O502&gt;=5,Scoring!$C$38,Scoring!$C$39))))))</f>
        <v>8</v>
      </c>
      <c r="AG502" s="22" t="n">
        <f aca="false">IF(T502="Y",0,IF(Y502="Y",Scoring!$C$41,IF(ISNUMBER(O502),IF(O502&gt;=25,Scoring!$C$42,IF(O502&gt;=15,Scoring!$C$43,Scoring!$C$44)),Scoring!$C$44)))</f>
        <v>8</v>
      </c>
      <c r="AH502" s="22" t="n">
        <f aca="false">IF(T502="Y",0,IF(W502="",Scoring!$C$49,IFERROR(VLOOKUP(W502,Scoring!$B$45:$C$48,2,FALSE()),Scoring!$C$49)))</f>
        <v>5</v>
      </c>
      <c r="AI502" s="23" t="n">
        <f aca="false">C502+IF(ISNUMBER(J502),J502,0)/100000+(10000-ROW())/1000000000</f>
        <v>45.000229498</v>
      </c>
      <c r="AJ502" s="18"/>
      <c r="AK502" s="18"/>
      <c r="AL502" s="18"/>
      <c r="AM502" s="18"/>
    </row>
    <row r="503" customFormat="false" ht="15" hidden="false" customHeight="false" outlineLevel="0" collapsed="false">
      <c r="A503" s="15" t="n">
        <f aca="false">RANK(AI503,$AI$2:$AI$755)</f>
        <v>502</v>
      </c>
      <c r="B503" s="16" t="str">
        <f aca="false">IF(T503="Y","Superseded",IF(C503&gt;=Scoring!$B$16,"Immediate",IF(C503&gt;=Scoring!$B$17,"This week",IF(C503&gt;=Scoring!$B$18,"Nurture","Low"))))</f>
        <v>Nurture</v>
      </c>
      <c r="C503" s="3" t="n">
        <f aca="false">SUM(AC503:AH503)</f>
        <v>45</v>
      </c>
      <c r="D503" s="15" t="str">
        <f aca="false">IF(T503="Y","Superseded record",IF(AND(U503&lt;&gt;"",AA503&lt;0),"Expired (verified)",IF(AND(U503&lt;&gt;"",AA503&lt;=Scoring!$B$5),"Expiring: notice window (verified)",IF(AND(U503&lt;&gt;"",AA503&lt;=Scoring!$B$6),"Expiring: 10-yr horizon (verified)",IF(M503="No Longer Monitored","Out of program",IF(N503="","Unknown vintage",IF(N503&lt;Scoring!$B$12,"Pre-1990, still listed",IF(AND(U503="",AA503&lt;0),"Past 30-yr mark (verify)",IF(AND(U503="",AA503&lt;=Scoring!$B$5),"30-yr mark: notice window (est.)",IF(AND(O503&gt;=Scoring!$B$7,O503&lt;=Scoring!$B$8),"Year-15 window",IF(O503&gt;=Scoring!$B$9,"Recap window",IF(O503&gt;=11,"Late compliance","Credit period"))))))))))))</f>
        <v>Out of program</v>
      </c>
      <c r="E503" s="15" t="s">
        <v>1855</v>
      </c>
      <c r="F503" s="15" t="s">
        <v>1856</v>
      </c>
      <c r="G503" s="15" t="s">
        <v>1857</v>
      </c>
      <c r="H503" s="15" t="s">
        <v>232</v>
      </c>
      <c r="I503" s="15" t="s">
        <v>640</v>
      </c>
      <c r="J503" s="15" t="n">
        <v>21</v>
      </c>
      <c r="K503" s="15" t="n">
        <v>21</v>
      </c>
      <c r="L503" s="15" t="n">
        <f aca="false">IF(OR(J503="",K503=""),"",MAX(J503-K503,0))</f>
        <v>0</v>
      </c>
      <c r="M503" s="15" t="s">
        <v>1757</v>
      </c>
      <c r="N503" s="17" t="n">
        <v>1988</v>
      </c>
      <c r="O503" s="15" t="n">
        <f aca="false">IF(N503="","",Scoring!$B$4-N503)</f>
        <v>38</v>
      </c>
      <c r="P503" s="15" t="n">
        <f aca="false">IF(N503="","",N503+14)</f>
        <v>2002</v>
      </c>
      <c r="Q503" s="15" t="str">
        <f aca="false">IF(N503="","",IF(N503&lt;Scoring!$B$12,"n/a (pre-1990)",N503+Scoring!$B$13))</f>
        <v>n/a (pre-1990)</v>
      </c>
      <c r="R503" s="15" t="str">
        <f aca="false">IF(J503="","Unknown",IF(J503&gt;=5,"Yes","No (under 5 units)"))</f>
        <v>Yes</v>
      </c>
      <c r="S503" s="15"/>
      <c r="T503" s="18"/>
      <c r="U503" s="19"/>
      <c r="V503" s="18"/>
      <c r="W503" s="18"/>
      <c r="X503" s="20"/>
      <c r="Y503" s="18"/>
      <c r="Z503" s="18"/>
      <c r="AA503" s="21" t="str">
        <f aca="false">IF(U503&lt;&gt;"",(U503-Scoring!$B$3)/365.25,IF(N503="","",IF(N503&lt;Scoring!$B$12,"",(DATE(N503+Scoring!$B$13,12,31)-Scoring!$B$3)/365.25)))</f>
        <v/>
      </c>
      <c r="AB503" s="22" t="n">
        <f aca="false">IF(T503="Y",0,IF(OR(D503="Expired (verified)",D503="Expiring: notice window (verified)",D503="Expiring: 10-yr horizon (verified)",D503="Past 30-yr mark (verify)",D503="30-yr mark: notice window (est.)",D503="Year-15 window"),1,0)+IF(ISNUMBER(O503),IF(O503&gt;=Scoring!$B$10,1,0),0)+IF(AND(ISNUMBER(L503),ISNUMBER(J503)),IF(J503&gt;0,IF(L503/J503&gt;=Scoring!$B$11,1,0),0),0)+IF(ISNUMBER(Z503),MIN(Z503,3),0))</f>
        <v>1</v>
      </c>
      <c r="AC503" s="22" t="n">
        <f aca="false">IF(AB503&gt;=3,Scoring!$C$24,IF(AB503=2,Scoring!$C$23,IF(AB503=1,Scoring!$C$22,0)))</f>
        <v>10</v>
      </c>
      <c r="AD503" s="22" t="n">
        <f aca="false">IF(T503="Y",0,IF(ISNUMBER(X503),IF(X503&gt;0.7,Scoring!$C$25,IF(X503&gt;=0.5,Scoring!$C$26,IF(X503&gt;=0.3,Scoring!$C$27,Scoring!$C$28))),Scoring!$C$29))</f>
        <v>10</v>
      </c>
      <c r="AE503" s="22" t="n">
        <f aca="false">IF(D503="Expiring: notice window (verified)",Scoring!$C$30,IF(OR(D503="Expired (verified)",D503="30-yr mark: notice window (est.)",D503="Year-15 window"),Scoring!$C$31,IF(D503="Expiring: 10-yr horizon (verified)",Scoring!$C$32,IF(D503="Past 30-yr mark (verify)",Scoring!$C$33,IF(OR(D503="Credit period",D503="Superseded record"),Scoring!$C$35,Scoring!$C$34)))))</f>
        <v>4</v>
      </c>
      <c r="AF503" s="22" t="n">
        <f aca="false">IF(T503="Y",0,IF(ISNUMBER(V503),IF(Scoring!$B$4-V503&gt;15,Scoring!$C$36,IF(Scoring!$B$4-V503&gt;=10,Scoring!$C$37,IF(Scoring!$B$4-V503&gt;=5,Scoring!$C$38,Scoring!$C$39))),IF(OR(N503="",D503="Out of program"),Scoring!$C$40,IF(O503&gt;15,Scoring!$C$36,IF(O503&gt;=10,Scoring!$C$37,IF(O503&gt;=5,Scoring!$C$38,Scoring!$C$39))))))</f>
        <v>8</v>
      </c>
      <c r="AG503" s="22" t="n">
        <f aca="false">IF(T503="Y",0,IF(Y503="Y",Scoring!$C$41,IF(ISNUMBER(O503),IF(O503&gt;=25,Scoring!$C$42,IF(O503&gt;=15,Scoring!$C$43,Scoring!$C$44)),Scoring!$C$44)))</f>
        <v>8</v>
      </c>
      <c r="AH503" s="22" t="n">
        <f aca="false">IF(T503="Y",0,IF(W503="",Scoring!$C$49,IFERROR(VLOOKUP(W503,Scoring!$B$45:$C$48,2,FALSE()),Scoring!$C$49)))</f>
        <v>5</v>
      </c>
      <c r="AI503" s="23" t="n">
        <f aca="false">C503+IF(ISNUMBER(J503),J503,0)/100000+(10000-ROW())/1000000000</f>
        <v>45.000219497</v>
      </c>
      <c r="AJ503" s="18"/>
      <c r="AK503" s="18"/>
      <c r="AL503" s="18"/>
      <c r="AM503" s="18"/>
    </row>
    <row r="504" customFormat="false" ht="15" hidden="false" customHeight="false" outlineLevel="0" collapsed="false">
      <c r="A504" s="15" t="n">
        <f aca="false">RANK(AI504,$AI$2:$AI$755)</f>
        <v>503</v>
      </c>
      <c r="B504" s="16" t="str">
        <f aca="false">IF(T504="Y","Superseded",IF(C504&gt;=Scoring!$B$16,"Immediate",IF(C504&gt;=Scoring!$B$17,"This week",IF(C504&gt;=Scoring!$B$18,"Nurture","Low"))))</f>
        <v>Nurture</v>
      </c>
      <c r="C504" s="3" t="n">
        <f aca="false">SUM(AC504:AH504)</f>
        <v>45</v>
      </c>
      <c r="D504" s="15" t="str">
        <f aca="false">IF(T504="Y","Superseded record",IF(AND(U504&lt;&gt;"",AA504&lt;0),"Expired (verified)",IF(AND(U504&lt;&gt;"",AA504&lt;=Scoring!$B$5),"Expiring: notice window (verified)",IF(AND(U504&lt;&gt;"",AA504&lt;=Scoring!$B$6),"Expiring: 10-yr horizon (verified)",IF(M504="No Longer Monitored","Out of program",IF(N504="","Unknown vintage",IF(N504&lt;Scoring!$B$12,"Pre-1990, still listed",IF(AND(U504="",AA504&lt;0),"Past 30-yr mark (verify)",IF(AND(U504="",AA504&lt;=Scoring!$B$5),"30-yr mark: notice window (est.)",IF(AND(O504&gt;=Scoring!$B$7,O504&lt;=Scoring!$B$8),"Year-15 window",IF(O504&gt;=Scoring!$B$9,"Recap window",IF(O504&gt;=11,"Late compliance","Credit period"))))))))))))</f>
        <v>Out of program</v>
      </c>
      <c r="E504" s="15" t="s">
        <v>1858</v>
      </c>
      <c r="F504" s="15" t="s">
        <v>1859</v>
      </c>
      <c r="G504" s="15" t="s">
        <v>1859</v>
      </c>
      <c r="H504" s="15" t="s">
        <v>956</v>
      </c>
      <c r="I504" s="15" t="s">
        <v>957</v>
      </c>
      <c r="J504" s="15" t="n">
        <v>20</v>
      </c>
      <c r="K504" s="15" t="n">
        <v>20</v>
      </c>
      <c r="L504" s="15" t="n">
        <f aca="false">IF(OR(J504="",K504=""),"",MAX(J504-K504,0))</f>
        <v>0</v>
      </c>
      <c r="M504" s="15" t="s">
        <v>1757</v>
      </c>
      <c r="N504" s="17" t="n">
        <v>1988</v>
      </c>
      <c r="O504" s="15" t="n">
        <f aca="false">IF(N504="","",Scoring!$B$4-N504)</f>
        <v>38</v>
      </c>
      <c r="P504" s="15" t="n">
        <f aca="false">IF(N504="","",N504+14)</f>
        <v>2002</v>
      </c>
      <c r="Q504" s="15" t="str">
        <f aca="false">IF(N504="","",IF(N504&lt;Scoring!$B$12,"n/a (pre-1990)",N504+Scoring!$B$13))</f>
        <v>n/a (pre-1990)</v>
      </c>
      <c r="R504" s="15" t="str">
        <f aca="false">IF(J504="","Unknown",IF(J504&gt;=5,"Yes","No (under 5 units)"))</f>
        <v>Yes</v>
      </c>
      <c r="S504" s="15"/>
      <c r="T504" s="18"/>
      <c r="U504" s="19"/>
      <c r="V504" s="18"/>
      <c r="W504" s="18"/>
      <c r="X504" s="20"/>
      <c r="Y504" s="18"/>
      <c r="Z504" s="18"/>
      <c r="AA504" s="21" t="str">
        <f aca="false">IF(U504&lt;&gt;"",(U504-Scoring!$B$3)/365.25,IF(N504="","",IF(N504&lt;Scoring!$B$12,"",(DATE(N504+Scoring!$B$13,12,31)-Scoring!$B$3)/365.25)))</f>
        <v/>
      </c>
      <c r="AB504" s="22" t="n">
        <f aca="false">IF(T504="Y",0,IF(OR(D504="Expired (verified)",D504="Expiring: notice window (verified)",D504="Expiring: 10-yr horizon (verified)",D504="Past 30-yr mark (verify)",D504="30-yr mark: notice window (est.)",D504="Year-15 window"),1,0)+IF(ISNUMBER(O504),IF(O504&gt;=Scoring!$B$10,1,0),0)+IF(AND(ISNUMBER(L504),ISNUMBER(J504)),IF(J504&gt;0,IF(L504/J504&gt;=Scoring!$B$11,1,0),0),0)+IF(ISNUMBER(Z504),MIN(Z504,3),0))</f>
        <v>1</v>
      </c>
      <c r="AC504" s="22" t="n">
        <f aca="false">IF(AB504&gt;=3,Scoring!$C$24,IF(AB504=2,Scoring!$C$23,IF(AB504=1,Scoring!$C$22,0)))</f>
        <v>10</v>
      </c>
      <c r="AD504" s="22" t="n">
        <f aca="false">IF(T504="Y",0,IF(ISNUMBER(X504),IF(X504&gt;0.7,Scoring!$C$25,IF(X504&gt;=0.5,Scoring!$C$26,IF(X504&gt;=0.3,Scoring!$C$27,Scoring!$C$28))),Scoring!$C$29))</f>
        <v>10</v>
      </c>
      <c r="AE504" s="22" t="n">
        <f aca="false">IF(D504="Expiring: notice window (verified)",Scoring!$C$30,IF(OR(D504="Expired (verified)",D504="30-yr mark: notice window (est.)",D504="Year-15 window"),Scoring!$C$31,IF(D504="Expiring: 10-yr horizon (verified)",Scoring!$C$32,IF(D504="Past 30-yr mark (verify)",Scoring!$C$33,IF(OR(D504="Credit period",D504="Superseded record"),Scoring!$C$35,Scoring!$C$34)))))</f>
        <v>4</v>
      </c>
      <c r="AF504" s="22" t="n">
        <f aca="false">IF(T504="Y",0,IF(ISNUMBER(V504),IF(Scoring!$B$4-V504&gt;15,Scoring!$C$36,IF(Scoring!$B$4-V504&gt;=10,Scoring!$C$37,IF(Scoring!$B$4-V504&gt;=5,Scoring!$C$38,Scoring!$C$39))),IF(OR(N504="",D504="Out of program"),Scoring!$C$40,IF(O504&gt;15,Scoring!$C$36,IF(O504&gt;=10,Scoring!$C$37,IF(O504&gt;=5,Scoring!$C$38,Scoring!$C$39))))))</f>
        <v>8</v>
      </c>
      <c r="AG504" s="22" t="n">
        <f aca="false">IF(T504="Y",0,IF(Y504="Y",Scoring!$C$41,IF(ISNUMBER(O504),IF(O504&gt;=25,Scoring!$C$42,IF(O504&gt;=15,Scoring!$C$43,Scoring!$C$44)),Scoring!$C$44)))</f>
        <v>8</v>
      </c>
      <c r="AH504" s="22" t="n">
        <f aca="false">IF(T504="Y",0,IF(W504="",Scoring!$C$49,IFERROR(VLOOKUP(W504,Scoring!$B$45:$C$48,2,FALSE()),Scoring!$C$49)))</f>
        <v>5</v>
      </c>
      <c r="AI504" s="23" t="n">
        <f aca="false">C504+IF(ISNUMBER(J504),J504,0)/100000+(10000-ROW())/1000000000</f>
        <v>45.000209496</v>
      </c>
      <c r="AJ504" s="18"/>
      <c r="AK504" s="18"/>
      <c r="AL504" s="18"/>
      <c r="AM504" s="18"/>
    </row>
    <row r="505" customFormat="false" ht="15" hidden="false" customHeight="false" outlineLevel="0" collapsed="false">
      <c r="A505" s="15" t="n">
        <f aca="false">RANK(AI505,$AI$2:$AI$755)</f>
        <v>504</v>
      </c>
      <c r="B505" s="16" t="str">
        <f aca="false">IF(T505="Y","Superseded",IF(C505&gt;=Scoring!$B$16,"Immediate",IF(C505&gt;=Scoring!$B$17,"This week",IF(C505&gt;=Scoring!$B$18,"Nurture","Low"))))</f>
        <v>Nurture</v>
      </c>
      <c r="C505" s="3" t="n">
        <f aca="false">SUM(AC505:AH505)</f>
        <v>45</v>
      </c>
      <c r="D505" s="15" t="str">
        <f aca="false">IF(T505="Y","Superseded record",IF(AND(U505&lt;&gt;"",AA505&lt;0),"Expired (verified)",IF(AND(U505&lt;&gt;"",AA505&lt;=Scoring!$B$5),"Expiring: notice window (verified)",IF(AND(U505&lt;&gt;"",AA505&lt;=Scoring!$B$6),"Expiring: 10-yr horizon (verified)",IF(M505="No Longer Monitored","Out of program",IF(N505="","Unknown vintage",IF(N505&lt;Scoring!$B$12,"Pre-1990, still listed",IF(AND(U505="",AA505&lt;0),"Past 30-yr mark (verify)",IF(AND(U505="",AA505&lt;=Scoring!$B$5),"30-yr mark: notice window (est.)",IF(AND(O505&gt;=Scoring!$B$7,O505&lt;=Scoring!$B$8),"Year-15 window",IF(O505&gt;=Scoring!$B$9,"Recap window",IF(O505&gt;=11,"Late compliance","Credit period"))))))))))))</f>
        <v>Out of program</v>
      </c>
      <c r="E505" s="15" t="s">
        <v>1860</v>
      </c>
      <c r="F505" s="15" t="s">
        <v>1861</v>
      </c>
      <c r="G505" s="15" t="s">
        <v>1862</v>
      </c>
      <c r="H505" s="15" t="s">
        <v>232</v>
      </c>
      <c r="I505" s="15" t="s">
        <v>267</v>
      </c>
      <c r="J505" s="15" t="n">
        <v>20</v>
      </c>
      <c r="K505" s="15" t="n">
        <v>20</v>
      </c>
      <c r="L505" s="15" t="n">
        <f aca="false">IF(OR(J505="",K505=""),"",MAX(J505-K505,0))</f>
        <v>0</v>
      </c>
      <c r="M505" s="15" t="s">
        <v>1757</v>
      </c>
      <c r="N505" s="17" t="n">
        <v>1988</v>
      </c>
      <c r="O505" s="15" t="n">
        <f aca="false">IF(N505="","",Scoring!$B$4-N505)</f>
        <v>38</v>
      </c>
      <c r="P505" s="15" t="n">
        <f aca="false">IF(N505="","",N505+14)</f>
        <v>2002</v>
      </c>
      <c r="Q505" s="15" t="str">
        <f aca="false">IF(N505="","",IF(N505&lt;Scoring!$B$12,"n/a (pre-1990)",N505+Scoring!$B$13))</f>
        <v>n/a (pre-1990)</v>
      </c>
      <c r="R505" s="15" t="str">
        <f aca="false">IF(J505="","Unknown",IF(J505&gt;=5,"Yes","No (under 5 units)"))</f>
        <v>Yes</v>
      </c>
      <c r="S505" s="15"/>
      <c r="T505" s="18"/>
      <c r="U505" s="19"/>
      <c r="V505" s="18"/>
      <c r="W505" s="18"/>
      <c r="X505" s="20"/>
      <c r="Y505" s="18"/>
      <c r="Z505" s="18"/>
      <c r="AA505" s="21" t="str">
        <f aca="false">IF(U505&lt;&gt;"",(U505-Scoring!$B$3)/365.25,IF(N505="","",IF(N505&lt;Scoring!$B$12,"",(DATE(N505+Scoring!$B$13,12,31)-Scoring!$B$3)/365.25)))</f>
        <v/>
      </c>
      <c r="AB505" s="22" t="n">
        <f aca="false">IF(T505="Y",0,IF(OR(D505="Expired (verified)",D505="Expiring: notice window (verified)",D505="Expiring: 10-yr horizon (verified)",D505="Past 30-yr mark (verify)",D505="30-yr mark: notice window (est.)",D505="Year-15 window"),1,0)+IF(ISNUMBER(O505),IF(O505&gt;=Scoring!$B$10,1,0),0)+IF(AND(ISNUMBER(L505),ISNUMBER(J505)),IF(J505&gt;0,IF(L505/J505&gt;=Scoring!$B$11,1,0),0),0)+IF(ISNUMBER(Z505),MIN(Z505,3),0))</f>
        <v>1</v>
      </c>
      <c r="AC505" s="22" t="n">
        <f aca="false">IF(AB505&gt;=3,Scoring!$C$24,IF(AB505=2,Scoring!$C$23,IF(AB505=1,Scoring!$C$22,0)))</f>
        <v>10</v>
      </c>
      <c r="AD505" s="22" t="n">
        <f aca="false">IF(T505="Y",0,IF(ISNUMBER(X505),IF(X505&gt;0.7,Scoring!$C$25,IF(X505&gt;=0.5,Scoring!$C$26,IF(X505&gt;=0.3,Scoring!$C$27,Scoring!$C$28))),Scoring!$C$29))</f>
        <v>10</v>
      </c>
      <c r="AE505" s="22" t="n">
        <f aca="false">IF(D505="Expiring: notice window (verified)",Scoring!$C$30,IF(OR(D505="Expired (verified)",D505="30-yr mark: notice window (est.)",D505="Year-15 window"),Scoring!$C$31,IF(D505="Expiring: 10-yr horizon (verified)",Scoring!$C$32,IF(D505="Past 30-yr mark (verify)",Scoring!$C$33,IF(OR(D505="Credit period",D505="Superseded record"),Scoring!$C$35,Scoring!$C$34)))))</f>
        <v>4</v>
      </c>
      <c r="AF505" s="22" t="n">
        <f aca="false">IF(T505="Y",0,IF(ISNUMBER(V505),IF(Scoring!$B$4-V505&gt;15,Scoring!$C$36,IF(Scoring!$B$4-V505&gt;=10,Scoring!$C$37,IF(Scoring!$B$4-V505&gt;=5,Scoring!$C$38,Scoring!$C$39))),IF(OR(N505="",D505="Out of program"),Scoring!$C$40,IF(O505&gt;15,Scoring!$C$36,IF(O505&gt;=10,Scoring!$C$37,IF(O505&gt;=5,Scoring!$C$38,Scoring!$C$39))))))</f>
        <v>8</v>
      </c>
      <c r="AG505" s="22" t="n">
        <f aca="false">IF(T505="Y",0,IF(Y505="Y",Scoring!$C$41,IF(ISNUMBER(O505),IF(O505&gt;=25,Scoring!$C$42,IF(O505&gt;=15,Scoring!$C$43,Scoring!$C$44)),Scoring!$C$44)))</f>
        <v>8</v>
      </c>
      <c r="AH505" s="22" t="n">
        <f aca="false">IF(T505="Y",0,IF(W505="",Scoring!$C$49,IFERROR(VLOOKUP(W505,Scoring!$B$45:$C$48,2,FALSE()),Scoring!$C$49)))</f>
        <v>5</v>
      </c>
      <c r="AI505" s="23" t="n">
        <f aca="false">C505+IF(ISNUMBER(J505),J505,0)/100000+(10000-ROW())/1000000000</f>
        <v>45.000209495</v>
      </c>
      <c r="AJ505" s="18"/>
      <c r="AK505" s="18"/>
      <c r="AL505" s="18"/>
      <c r="AM505" s="18"/>
    </row>
    <row r="506" customFormat="false" ht="15" hidden="false" customHeight="false" outlineLevel="0" collapsed="false">
      <c r="A506" s="15" t="n">
        <f aca="false">RANK(AI506,$AI$2:$AI$755)</f>
        <v>505</v>
      </c>
      <c r="B506" s="16" t="str">
        <f aca="false">IF(T506="Y","Superseded",IF(C506&gt;=Scoring!$B$16,"Immediate",IF(C506&gt;=Scoring!$B$17,"This week",IF(C506&gt;=Scoring!$B$18,"Nurture","Low"))))</f>
        <v>Nurture</v>
      </c>
      <c r="C506" s="3" t="n">
        <f aca="false">SUM(AC506:AH506)</f>
        <v>45</v>
      </c>
      <c r="D506" s="15" t="str">
        <f aca="false">IF(T506="Y","Superseded record",IF(AND(U506&lt;&gt;"",AA506&lt;0),"Expired (verified)",IF(AND(U506&lt;&gt;"",AA506&lt;=Scoring!$B$5),"Expiring: notice window (verified)",IF(AND(U506&lt;&gt;"",AA506&lt;=Scoring!$B$6),"Expiring: 10-yr horizon (verified)",IF(M506="No Longer Monitored","Out of program",IF(N506="","Unknown vintage",IF(N506&lt;Scoring!$B$12,"Pre-1990, still listed",IF(AND(U506="",AA506&lt;0),"Past 30-yr mark (verify)",IF(AND(U506="",AA506&lt;=Scoring!$B$5),"30-yr mark: notice window (est.)",IF(AND(O506&gt;=Scoring!$B$7,O506&lt;=Scoring!$B$8),"Year-15 window",IF(O506&gt;=Scoring!$B$9,"Recap window",IF(O506&gt;=11,"Late compliance","Credit period"))))))))))))</f>
        <v>Out of program</v>
      </c>
      <c r="E506" s="15" t="s">
        <v>1863</v>
      </c>
      <c r="F506" s="15" t="s">
        <v>1864</v>
      </c>
      <c r="G506" s="15" t="s">
        <v>1865</v>
      </c>
      <c r="H506" s="15" t="s">
        <v>97</v>
      </c>
      <c r="I506" s="15" t="s">
        <v>399</v>
      </c>
      <c r="J506" s="15" t="n">
        <v>19</v>
      </c>
      <c r="K506" s="15" t="n">
        <v>19</v>
      </c>
      <c r="L506" s="15" t="n">
        <f aca="false">IF(OR(J506="",K506=""),"",MAX(J506-K506,0))</f>
        <v>0</v>
      </c>
      <c r="M506" s="15" t="s">
        <v>1757</v>
      </c>
      <c r="N506" s="17" t="n">
        <v>1988</v>
      </c>
      <c r="O506" s="15" t="n">
        <f aca="false">IF(N506="","",Scoring!$B$4-N506)</f>
        <v>38</v>
      </c>
      <c r="P506" s="15" t="n">
        <f aca="false">IF(N506="","",N506+14)</f>
        <v>2002</v>
      </c>
      <c r="Q506" s="15" t="str">
        <f aca="false">IF(N506="","",IF(N506&lt;Scoring!$B$12,"n/a (pre-1990)",N506+Scoring!$B$13))</f>
        <v>n/a (pre-1990)</v>
      </c>
      <c r="R506" s="15" t="str">
        <f aca="false">IF(J506="","Unknown",IF(J506&gt;=5,"Yes","No (under 5 units)"))</f>
        <v>Yes</v>
      </c>
      <c r="S506" s="15"/>
      <c r="T506" s="18"/>
      <c r="U506" s="19"/>
      <c r="V506" s="18"/>
      <c r="W506" s="18"/>
      <c r="X506" s="20"/>
      <c r="Y506" s="18"/>
      <c r="Z506" s="18"/>
      <c r="AA506" s="21" t="str">
        <f aca="false">IF(U506&lt;&gt;"",(U506-Scoring!$B$3)/365.25,IF(N506="","",IF(N506&lt;Scoring!$B$12,"",(DATE(N506+Scoring!$B$13,12,31)-Scoring!$B$3)/365.25)))</f>
        <v/>
      </c>
      <c r="AB506" s="22" t="n">
        <f aca="false">IF(T506="Y",0,IF(OR(D506="Expired (verified)",D506="Expiring: notice window (verified)",D506="Expiring: 10-yr horizon (verified)",D506="Past 30-yr mark (verify)",D506="30-yr mark: notice window (est.)",D506="Year-15 window"),1,0)+IF(ISNUMBER(O506),IF(O506&gt;=Scoring!$B$10,1,0),0)+IF(AND(ISNUMBER(L506),ISNUMBER(J506)),IF(J506&gt;0,IF(L506/J506&gt;=Scoring!$B$11,1,0),0),0)+IF(ISNUMBER(Z506),MIN(Z506,3),0))</f>
        <v>1</v>
      </c>
      <c r="AC506" s="22" t="n">
        <f aca="false">IF(AB506&gt;=3,Scoring!$C$24,IF(AB506=2,Scoring!$C$23,IF(AB506=1,Scoring!$C$22,0)))</f>
        <v>10</v>
      </c>
      <c r="AD506" s="22" t="n">
        <f aca="false">IF(T506="Y",0,IF(ISNUMBER(X506),IF(X506&gt;0.7,Scoring!$C$25,IF(X506&gt;=0.5,Scoring!$C$26,IF(X506&gt;=0.3,Scoring!$C$27,Scoring!$C$28))),Scoring!$C$29))</f>
        <v>10</v>
      </c>
      <c r="AE506" s="22" t="n">
        <f aca="false">IF(D506="Expiring: notice window (verified)",Scoring!$C$30,IF(OR(D506="Expired (verified)",D506="30-yr mark: notice window (est.)",D506="Year-15 window"),Scoring!$C$31,IF(D506="Expiring: 10-yr horizon (verified)",Scoring!$C$32,IF(D506="Past 30-yr mark (verify)",Scoring!$C$33,IF(OR(D506="Credit period",D506="Superseded record"),Scoring!$C$35,Scoring!$C$34)))))</f>
        <v>4</v>
      </c>
      <c r="AF506" s="22" t="n">
        <f aca="false">IF(T506="Y",0,IF(ISNUMBER(V506),IF(Scoring!$B$4-V506&gt;15,Scoring!$C$36,IF(Scoring!$B$4-V506&gt;=10,Scoring!$C$37,IF(Scoring!$B$4-V506&gt;=5,Scoring!$C$38,Scoring!$C$39))),IF(OR(N506="",D506="Out of program"),Scoring!$C$40,IF(O506&gt;15,Scoring!$C$36,IF(O506&gt;=10,Scoring!$C$37,IF(O506&gt;=5,Scoring!$C$38,Scoring!$C$39))))))</f>
        <v>8</v>
      </c>
      <c r="AG506" s="22" t="n">
        <f aca="false">IF(T506="Y",0,IF(Y506="Y",Scoring!$C$41,IF(ISNUMBER(O506),IF(O506&gt;=25,Scoring!$C$42,IF(O506&gt;=15,Scoring!$C$43,Scoring!$C$44)),Scoring!$C$44)))</f>
        <v>8</v>
      </c>
      <c r="AH506" s="22" t="n">
        <f aca="false">IF(T506="Y",0,IF(W506="",Scoring!$C$49,IFERROR(VLOOKUP(W506,Scoring!$B$45:$C$48,2,FALSE()),Scoring!$C$49)))</f>
        <v>5</v>
      </c>
      <c r="AI506" s="23" t="n">
        <f aca="false">C506+IF(ISNUMBER(J506),J506,0)/100000+(10000-ROW())/1000000000</f>
        <v>45.000199494</v>
      </c>
      <c r="AJ506" s="18"/>
      <c r="AK506" s="18"/>
      <c r="AL506" s="18"/>
      <c r="AM506" s="18"/>
    </row>
    <row r="507" customFormat="false" ht="15" hidden="false" customHeight="false" outlineLevel="0" collapsed="false">
      <c r="A507" s="15" t="n">
        <f aca="false">RANK(AI507,$AI$2:$AI$755)</f>
        <v>506</v>
      </c>
      <c r="B507" s="16" t="str">
        <f aca="false">IF(T507="Y","Superseded",IF(C507&gt;=Scoring!$B$16,"Immediate",IF(C507&gt;=Scoring!$B$17,"This week",IF(C507&gt;=Scoring!$B$18,"Nurture","Low"))))</f>
        <v>Nurture</v>
      </c>
      <c r="C507" s="3" t="n">
        <f aca="false">SUM(AC507:AH507)</f>
        <v>45</v>
      </c>
      <c r="D507" s="15" t="str">
        <f aca="false">IF(T507="Y","Superseded record",IF(AND(U507&lt;&gt;"",AA507&lt;0),"Expired (verified)",IF(AND(U507&lt;&gt;"",AA507&lt;=Scoring!$B$5),"Expiring: notice window (verified)",IF(AND(U507&lt;&gt;"",AA507&lt;=Scoring!$B$6),"Expiring: 10-yr horizon (verified)",IF(M507="No Longer Monitored","Out of program",IF(N507="","Unknown vintage",IF(N507&lt;Scoring!$B$12,"Pre-1990, still listed",IF(AND(U507="",AA507&lt;0),"Past 30-yr mark (verify)",IF(AND(U507="",AA507&lt;=Scoring!$B$5),"30-yr mark: notice window (est.)",IF(AND(O507&gt;=Scoring!$B$7,O507&lt;=Scoring!$B$8),"Year-15 window",IF(O507&gt;=Scoring!$B$9,"Recap window",IF(O507&gt;=11,"Late compliance","Credit period"))))))))))))</f>
        <v>Out of program</v>
      </c>
      <c r="E507" s="15" t="s">
        <v>1866</v>
      </c>
      <c r="F507" s="15" t="s">
        <v>1867</v>
      </c>
      <c r="G507" s="15" t="s">
        <v>1868</v>
      </c>
      <c r="H507" s="15" t="s">
        <v>97</v>
      </c>
      <c r="I507" s="15" t="s">
        <v>160</v>
      </c>
      <c r="J507" s="15" t="n">
        <v>18</v>
      </c>
      <c r="K507" s="15" t="n">
        <v>18</v>
      </c>
      <c r="L507" s="15" t="n">
        <f aca="false">IF(OR(J507="",K507=""),"",MAX(J507-K507,0))</f>
        <v>0</v>
      </c>
      <c r="M507" s="15" t="s">
        <v>1757</v>
      </c>
      <c r="N507" s="17" t="n">
        <v>1988</v>
      </c>
      <c r="O507" s="15" t="n">
        <f aca="false">IF(N507="","",Scoring!$B$4-N507)</f>
        <v>38</v>
      </c>
      <c r="P507" s="15" t="n">
        <f aca="false">IF(N507="","",N507+14)</f>
        <v>2002</v>
      </c>
      <c r="Q507" s="15" t="str">
        <f aca="false">IF(N507="","",IF(N507&lt;Scoring!$B$12,"n/a (pre-1990)",N507+Scoring!$B$13))</f>
        <v>n/a (pre-1990)</v>
      </c>
      <c r="R507" s="15" t="str">
        <f aca="false">IF(J507="","Unknown",IF(J507&gt;=5,"Yes","No (under 5 units)"))</f>
        <v>Yes</v>
      </c>
      <c r="S507" s="15"/>
      <c r="T507" s="18"/>
      <c r="U507" s="19"/>
      <c r="V507" s="18"/>
      <c r="W507" s="18"/>
      <c r="X507" s="20"/>
      <c r="Y507" s="18"/>
      <c r="Z507" s="18"/>
      <c r="AA507" s="21" t="str">
        <f aca="false">IF(U507&lt;&gt;"",(U507-Scoring!$B$3)/365.25,IF(N507="","",IF(N507&lt;Scoring!$B$12,"",(DATE(N507+Scoring!$B$13,12,31)-Scoring!$B$3)/365.25)))</f>
        <v/>
      </c>
      <c r="AB507" s="22" t="n">
        <f aca="false">IF(T507="Y",0,IF(OR(D507="Expired (verified)",D507="Expiring: notice window (verified)",D507="Expiring: 10-yr horizon (verified)",D507="Past 30-yr mark (verify)",D507="30-yr mark: notice window (est.)",D507="Year-15 window"),1,0)+IF(ISNUMBER(O507),IF(O507&gt;=Scoring!$B$10,1,0),0)+IF(AND(ISNUMBER(L507),ISNUMBER(J507)),IF(J507&gt;0,IF(L507/J507&gt;=Scoring!$B$11,1,0),0),0)+IF(ISNUMBER(Z507),MIN(Z507,3),0))</f>
        <v>1</v>
      </c>
      <c r="AC507" s="22" t="n">
        <f aca="false">IF(AB507&gt;=3,Scoring!$C$24,IF(AB507=2,Scoring!$C$23,IF(AB507=1,Scoring!$C$22,0)))</f>
        <v>10</v>
      </c>
      <c r="AD507" s="22" t="n">
        <f aca="false">IF(T507="Y",0,IF(ISNUMBER(X507),IF(X507&gt;0.7,Scoring!$C$25,IF(X507&gt;=0.5,Scoring!$C$26,IF(X507&gt;=0.3,Scoring!$C$27,Scoring!$C$28))),Scoring!$C$29))</f>
        <v>10</v>
      </c>
      <c r="AE507" s="22" t="n">
        <f aca="false">IF(D507="Expiring: notice window (verified)",Scoring!$C$30,IF(OR(D507="Expired (verified)",D507="30-yr mark: notice window (est.)",D507="Year-15 window"),Scoring!$C$31,IF(D507="Expiring: 10-yr horizon (verified)",Scoring!$C$32,IF(D507="Past 30-yr mark (verify)",Scoring!$C$33,IF(OR(D507="Credit period",D507="Superseded record"),Scoring!$C$35,Scoring!$C$34)))))</f>
        <v>4</v>
      </c>
      <c r="AF507" s="22" t="n">
        <f aca="false">IF(T507="Y",0,IF(ISNUMBER(V507),IF(Scoring!$B$4-V507&gt;15,Scoring!$C$36,IF(Scoring!$B$4-V507&gt;=10,Scoring!$C$37,IF(Scoring!$B$4-V507&gt;=5,Scoring!$C$38,Scoring!$C$39))),IF(OR(N507="",D507="Out of program"),Scoring!$C$40,IF(O507&gt;15,Scoring!$C$36,IF(O507&gt;=10,Scoring!$C$37,IF(O507&gt;=5,Scoring!$C$38,Scoring!$C$39))))))</f>
        <v>8</v>
      </c>
      <c r="AG507" s="22" t="n">
        <f aca="false">IF(T507="Y",0,IF(Y507="Y",Scoring!$C$41,IF(ISNUMBER(O507),IF(O507&gt;=25,Scoring!$C$42,IF(O507&gt;=15,Scoring!$C$43,Scoring!$C$44)),Scoring!$C$44)))</f>
        <v>8</v>
      </c>
      <c r="AH507" s="22" t="n">
        <f aca="false">IF(T507="Y",0,IF(W507="",Scoring!$C$49,IFERROR(VLOOKUP(W507,Scoring!$B$45:$C$48,2,FALSE()),Scoring!$C$49)))</f>
        <v>5</v>
      </c>
      <c r="AI507" s="23" t="n">
        <f aca="false">C507+IF(ISNUMBER(J507),J507,0)/100000+(10000-ROW())/1000000000</f>
        <v>45.000189493</v>
      </c>
      <c r="AJ507" s="18"/>
      <c r="AK507" s="18"/>
      <c r="AL507" s="18"/>
      <c r="AM507" s="18"/>
    </row>
    <row r="508" customFormat="false" ht="15" hidden="false" customHeight="false" outlineLevel="0" collapsed="false">
      <c r="A508" s="15" t="n">
        <f aca="false">RANK(AI508,$AI$2:$AI$755)</f>
        <v>507</v>
      </c>
      <c r="B508" s="16" t="str">
        <f aca="false">IF(T508="Y","Superseded",IF(C508&gt;=Scoring!$B$16,"Immediate",IF(C508&gt;=Scoring!$B$17,"This week",IF(C508&gt;=Scoring!$B$18,"Nurture","Low"))))</f>
        <v>Nurture</v>
      </c>
      <c r="C508" s="3" t="n">
        <f aca="false">SUM(AC508:AH508)</f>
        <v>45</v>
      </c>
      <c r="D508" s="15" t="str">
        <f aca="false">IF(T508="Y","Superseded record",IF(AND(U508&lt;&gt;"",AA508&lt;0),"Expired (verified)",IF(AND(U508&lt;&gt;"",AA508&lt;=Scoring!$B$5),"Expiring: notice window (verified)",IF(AND(U508&lt;&gt;"",AA508&lt;=Scoring!$B$6),"Expiring: 10-yr horizon (verified)",IF(M508="No Longer Monitored","Out of program",IF(N508="","Unknown vintage",IF(N508&lt;Scoring!$B$12,"Pre-1990, still listed",IF(AND(U508="",AA508&lt;0),"Past 30-yr mark (verify)",IF(AND(U508="",AA508&lt;=Scoring!$B$5),"30-yr mark: notice window (est.)",IF(AND(O508&gt;=Scoring!$B$7,O508&lt;=Scoring!$B$8),"Year-15 window",IF(O508&gt;=Scoring!$B$9,"Recap window",IF(O508&gt;=11,"Late compliance","Credit period"))))))))))))</f>
        <v>Out of program</v>
      </c>
      <c r="E508" s="15" t="s">
        <v>1869</v>
      </c>
      <c r="F508" s="15" t="s">
        <v>1870</v>
      </c>
      <c r="G508" s="15" t="s">
        <v>1871</v>
      </c>
      <c r="H508" s="15" t="s">
        <v>232</v>
      </c>
      <c r="I508" s="15" t="s">
        <v>267</v>
      </c>
      <c r="J508" s="15" t="n">
        <v>18</v>
      </c>
      <c r="K508" s="15" t="n">
        <v>18</v>
      </c>
      <c r="L508" s="15" t="n">
        <f aca="false">IF(OR(J508="",K508=""),"",MAX(J508-K508,0))</f>
        <v>0</v>
      </c>
      <c r="M508" s="15" t="s">
        <v>1757</v>
      </c>
      <c r="N508" s="17" t="n">
        <v>1988</v>
      </c>
      <c r="O508" s="15" t="n">
        <f aca="false">IF(N508="","",Scoring!$B$4-N508)</f>
        <v>38</v>
      </c>
      <c r="P508" s="15" t="n">
        <f aca="false">IF(N508="","",N508+14)</f>
        <v>2002</v>
      </c>
      <c r="Q508" s="15" t="str">
        <f aca="false">IF(N508="","",IF(N508&lt;Scoring!$B$12,"n/a (pre-1990)",N508+Scoring!$B$13))</f>
        <v>n/a (pre-1990)</v>
      </c>
      <c r="R508" s="15" t="str">
        <f aca="false">IF(J508="","Unknown",IF(J508&gt;=5,"Yes","No (under 5 units)"))</f>
        <v>Yes</v>
      </c>
      <c r="S508" s="15"/>
      <c r="T508" s="18"/>
      <c r="U508" s="19"/>
      <c r="V508" s="18"/>
      <c r="W508" s="18"/>
      <c r="X508" s="20"/>
      <c r="Y508" s="18"/>
      <c r="Z508" s="18"/>
      <c r="AA508" s="21" t="str">
        <f aca="false">IF(U508&lt;&gt;"",(U508-Scoring!$B$3)/365.25,IF(N508="","",IF(N508&lt;Scoring!$B$12,"",(DATE(N508+Scoring!$B$13,12,31)-Scoring!$B$3)/365.25)))</f>
        <v/>
      </c>
      <c r="AB508" s="22" t="n">
        <f aca="false">IF(T508="Y",0,IF(OR(D508="Expired (verified)",D508="Expiring: notice window (verified)",D508="Expiring: 10-yr horizon (verified)",D508="Past 30-yr mark (verify)",D508="30-yr mark: notice window (est.)",D508="Year-15 window"),1,0)+IF(ISNUMBER(O508),IF(O508&gt;=Scoring!$B$10,1,0),0)+IF(AND(ISNUMBER(L508),ISNUMBER(J508)),IF(J508&gt;0,IF(L508/J508&gt;=Scoring!$B$11,1,0),0),0)+IF(ISNUMBER(Z508),MIN(Z508,3),0))</f>
        <v>1</v>
      </c>
      <c r="AC508" s="22" t="n">
        <f aca="false">IF(AB508&gt;=3,Scoring!$C$24,IF(AB508=2,Scoring!$C$23,IF(AB508=1,Scoring!$C$22,0)))</f>
        <v>10</v>
      </c>
      <c r="AD508" s="22" t="n">
        <f aca="false">IF(T508="Y",0,IF(ISNUMBER(X508),IF(X508&gt;0.7,Scoring!$C$25,IF(X508&gt;=0.5,Scoring!$C$26,IF(X508&gt;=0.3,Scoring!$C$27,Scoring!$C$28))),Scoring!$C$29))</f>
        <v>10</v>
      </c>
      <c r="AE508" s="22" t="n">
        <f aca="false">IF(D508="Expiring: notice window (verified)",Scoring!$C$30,IF(OR(D508="Expired (verified)",D508="30-yr mark: notice window (est.)",D508="Year-15 window"),Scoring!$C$31,IF(D508="Expiring: 10-yr horizon (verified)",Scoring!$C$32,IF(D508="Past 30-yr mark (verify)",Scoring!$C$33,IF(OR(D508="Credit period",D508="Superseded record"),Scoring!$C$35,Scoring!$C$34)))))</f>
        <v>4</v>
      </c>
      <c r="AF508" s="22" t="n">
        <f aca="false">IF(T508="Y",0,IF(ISNUMBER(V508),IF(Scoring!$B$4-V508&gt;15,Scoring!$C$36,IF(Scoring!$B$4-V508&gt;=10,Scoring!$C$37,IF(Scoring!$B$4-V508&gt;=5,Scoring!$C$38,Scoring!$C$39))),IF(OR(N508="",D508="Out of program"),Scoring!$C$40,IF(O508&gt;15,Scoring!$C$36,IF(O508&gt;=10,Scoring!$C$37,IF(O508&gt;=5,Scoring!$C$38,Scoring!$C$39))))))</f>
        <v>8</v>
      </c>
      <c r="AG508" s="22" t="n">
        <f aca="false">IF(T508="Y",0,IF(Y508="Y",Scoring!$C$41,IF(ISNUMBER(O508),IF(O508&gt;=25,Scoring!$C$42,IF(O508&gt;=15,Scoring!$C$43,Scoring!$C$44)),Scoring!$C$44)))</f>
        <v>8</v>
      </c>
      <c r="AH508" s="22" t="n">
        <f aca="false">IF(T508="Y",0,IF(W508="",Scoring!$C$49,IFERROR(VLOOKUP(W508,Scoring!$B$45:$C$48,2,FALSE()),Scoring!$C$49)))</f>
        <v>5</v>
      </c>
      <c r="AI508" s="23" t="n">
        <f aca="false">C508+IF(ISNUMBER(J508),J508,0)/100000+(10000-ROW())/1000000000</f>
        <v>45.000189492</v>
      </c>
      <c r="AJ508" s="18"/>
      <c r="AK508" s="18"/>
      <c r="AL508" s="18"/>
      <c r="AM508" s="18"/>
    </row>
    <row r="509" customFormat="false" ht="15" hidden="false" customHeight="false" outlineLevel="0" collapsed="false">
      <c r="A509" s="15" t="n">
        <f aca="false">RANK(AI509,$AI$2:$AI$755)</f>
        <v>508</v>
      </c>
      <c r="B509" s="16" t="str">
        <f aca="false">IF(T509="Y","Superseded",IF(C509&gt;=Scoring!$B$16,"Immediate",IF(C509&gt;=Scoring!$B$17,"This week",IF(C509&gt;=Scoring!$B$18,"Nurture","Low"))))</f>
        <v>Nurture</v>
      </c>
      <c r="C509" s="3" t="n">
        <f aca="false">SUM(AC509:AH509)</f>
        <v>45</v>
      </c>
      <c r="D509" s="15" t="str">
        <f aca="false">IF(T509="Y","Superseded record",IF(AND(U509&lt;&gt;"",AA509&lt;0),"Expired (verified)",IF(AND(U509&lt;&gt;"",AA509&lt;=Scoring!$B$5),"Expiring: notice window (verified)",IF(AND(U509&lt;&gt;"",AA509&lt;=Scoring!$B$6),"Expiring: 10-yr horizon (verified)",IF(M509="No Longer Monitored","Out of program",IF(N509="","Unknown vintage",IF(N509&lt;Scoring!$B$12,"Pre-1990, still listed",IF(AND(U509="",AA509&lt;0),"Past 30-yr mark (verify)",IF(AND(U509="",AA509&lt;=Scoring!$B$5),"30-yr mark: notice window (est.)",IF(AND(O509&gt;=Scoring!$B$7,O509&lt;=Scoring!$B$8),"Year-15 window",IF(O509&gt;=Scoring!$B$9,"Recap window",IF(O509&gt;=11,"Late compliance","Credit period"))))))))))))</f>
        <v>Out of program</v>
      </c>
      <c r="E509" s="15" t="s">
        <v>1872</v>
      </c>
      <c r="F509" s="15" t="s">
        <v>1873</v>
      </c>
      <c r="G509" s="15" t="s">
        <v>1874</v>
      </c>
      <c r="H509" s="15" t="s">
        <v>255</v>
      </c>
      <c r="I509" s="15" t="s">
        <v>256</v>
      </c>
      <c r="J509" s="15" t="n">
        <v>16</v>
      </c>
      <c r="K509" s="15" t="n">
        <v>16</v>
      </c>
      <c r="L509" s="15" t="n">
        <f aca="false">IF(OR(J509="",K509=""),"",MAX(J509-K509,0))</f>
        <v>0</v>
      </c>
      <c r="M509" s="15" t="s">
        <v>1757</v>
      </c>
      <c r="N509" s="17" t="n">
        <v>1988</v>
      </c>
      <c r="O509" s="15" t="n">
        <f aca="false">IF(N509="","",Scoring!$B$4-N509)</f>
        <v>38</v>
      </c>
      <c r="P509" s="15" t="n">
        <f aca="false">IF(N509="","",N509+14)</f>
        <v>2002</v>
      </c>
      <c r="Q509" s="15" t="str">
        <f aca="false">IF(N509="","",IF(N509&lt;Scoring!$B$12,"n/a (pre-1990)",N509+Scoring!$B$13))</f>
        <v>n/a (pre-1990)</v>
      </c>
      <c r="R509" s="15" t="str">
        <f aca="false">IF(J509="","Unknown",IF(J509&gt;=5,"Yes","No (under 5 units)"))</f>
        <v>Yes</v>
      </c>
      <c r="S509" s="15"/>
      <c r="T509" s="18"/>
      <c r="U509" s="19"/>
      <c r="V509" s="18"/>
      <c r="W509" s="18"/>
      <c r="X509" s="20"/>
      <c r="Y509" s="18"/>
      <c r="Z509" s="18"/>
      <c r="AA509" s="21" t="str">
        <f aca="false">IF(U509&lt;&gt;"",(U509-Scoring!$B$3)/365.25,IF(N509="","",IF(N509&lt;Scoring!$B$12,"",(DATE(N509+Scoring!$B$13,12,31)-Scoring!$B$3)/365.25)))</f>
        <v/>
      </c>
      <c r="AB509" s="22" t="n">
        <f aca="false">IF(T509="Y",0,IF(OR(D509="Expired (verified)",D509="Expiring: notice window (verified)",D509="Expiring: 10-yr horizon (verified)",D509="Past 30-yr mark (verify)",D509="30-yr mark: notice window (est.)",D509="Year-15 window"),1,0)+IF(ISNUMBER(O509),IF(O509&gt;=Scoring!$B$10,1,0),0)+IF(AND(ISNUMBER(L509),ISNUMBER(J509)),IF(J509&gt;0,IF(L509/J509&gt;=Scoring!$B$11,1,0),0),0)+IF(ISNUMBER(Z509),MIN(Z509,3),0))</f>
        <v>1</v>
      </c>
      <c r="AC509" s="22" t="n">
        <f aca="false">IF(AB509&gt;=3,Scoring!$C$24,IF(AB509=2,Scoring!$C$23,IF(AB509=1,Scoring!$C$22,0)))</f>
        <v>10</v>
      </c>
      <c r="AD509" s="22" t="n">
        <f aca="false">IF(T509="Y",0,IF(ISNUMBER(X509),IF(X509&gt;0.7,Scoring!$C$25,IF(X509&gt;=0.5,Scoring!$C$26,IF(X509&gt;=0.3,Scoring!$C$27,Scoring!$C$28))),Scoring!$C$29))</f>
        <v>10</v>
      </c>
      <c r="AE509" s="22" t="n">
        <f aca="false">IF(D509="Expiring: notice window (verified)",Scoring!$C$30,IF(OR(D509="Expired (verified)",D509="30-yr mark: notice window (est.)",D509="Year-15 window"),Scoring!$C$31,IF(D509="Expiring: 10-yr horizon (verified)",Scoring!$C$32,IF(D509="Past 30-yr mark (verify)",Scoring!$C$33,IF(OR(D509="Credit period",D509="Superseded record"),Scoring!$C$35,Scoring!$C$34)))))</f>
        <v>4</v>
      </c>
      <c r="AF509" s="22" t="n">
        <f aca="false">IF(T509="Y",0,IF(ISNUMBER(V509),IF(Scoring!$B$4-V509&gt;15,Scoring!$C$36,IF(Scoring!$B$4-V509&gt;=10,Scoring!$C$37,IF(Scoring!$B$4-V509&gt;=5,Scoring!$C$38,Scoring!$C$39))),IF(OR(N509="",D509="Out of program"),Scoring!$C$40,IF(O509&gt;15,Scoring!$C$36,IF(O509&gt;=10,Scoring!$C$37,IF(O509&gt;=5,Scoring!$C$38,Scoring!$C$39))))))</f>
        <v>8</v>
      </c>
      <c r="AG509" s="22" t="n">
        <f aca="false">IF(T509="Y",0,IF(Y509="Y",Scoring!$C$41,IF(ISNUMBER(O509),IF(O509&gt;=25,Scoring!$C$42,IF(O509&gt;=15,Scoring!$C$43,Scoring!$C$44)),Scoring!$C$44)))</f>
        <v>8</v>
      </c>
      <c r="AH509" s="22" t="n">
        <f aca="false">IF(T509="Y",0,IF(W509="",Scoring!$C$49,IFERROR(VLOOKUP(W509,Scoring!$B$45:$C$48,2,FALSE()),Scoring!$C$49)))</f>
        <v>5</v>
      </c>
      <c r="AI509" s="23" t="n">
        <f aca="false">C509+IF(ISNUMBER(J509),J509,0)/100000+(10000-ROW())/1000000000</f>
        <v>45.000169491</v>
      </c>
      <c r="AJ509" s="18"/>
      <c r="AK509" s="18"/>
      <c r="AL509" s="18"/>
      <c r="AM509" s="18"/>
    </row>
    <row r="510" customFormat="false" ht="15" hidden="false" customHeight="false" outlineLevel="0" collapsed="false">
      <c r="A510" s="15" t="n">
        <f aca="false">RANK(AI510,$AI$2:$AI$755)</f>
        <v>509</v>
      </c>
      <c r="B510" s="16" t="str">
        <f aca="false">IF(T510="Y","Superseded",IF(C510&gt;=Scoring!$B$16,"Immediate",IF(C510&gt;=Scoring!$B$17,"This week",IF(C510&gt;=Scoring!$B$18,"Nurture","Low"))))</f>
        <v>Nurture</v>
      </c>
      <c r="C510" s="3" t="n">
        <f aca="false">SUM(AC510:AH510)</f>
        <v>45</v>
      </c>
      <c r="D510" s="15" t="str">
        <f aca="false">IF(T510="Y","Superseded record",IF(AND(U510&lt;&gt;"",AA510&lt;0),"Expired (verified)",IF(AND(U510&lt;&gt;"",AA510&lt;=Scoring!$B$5),"Expiring: notice window (verified)",IF(AND(U510&lt;&gt;"",AA510&lt;=Scoring!$B$6),"Expiring: 10-yr horizon (verified)",IF(M510="No Longer Monitored","Out of program",IF(N510="","Unknown vintage",IF(N510&lt;Scoring!$B$12,"Pre-1990, still listed",IF(AND(U510="",AA510&lt;0),"Past 30-yr mark (verify)",IF(AND(U510="",AA510&lt;=Scoring!$B$5),"30-yr mark: notice window (est.)",IF(AND(O510&gt;=Scoring!$B$7,O510&lt;=Scoring!$B$8),"Year-15 window",IF(O510&gt;=Scoring!$B$9,"Recap window",IF(O510&gt;=11,"Late compliance","Credit period"))))))))))))</f>
        <v>Out of program</v>
      </c>
      <c r="E510" s="15" t="s">
        <v>1875</v>
      </c>
      <c r="F510" s="15" t="s">
        <v>1876</v>
      </c>
      <c r="G510" s="15" t="s">
        <v>1877</v>
      </c>
      <c r="H510" s="15" t="s">
        <v>97</v>
      </c>
      <c r="I510" s="15" t="s">
        <v>175</v>
      </c>
      <c r="J510" s="15" t="n">
        <v>14</v>
      </c>
      <c r="K510" s="15" t="n">
        <v>14</v>
      </c>
      <c r="L510" s="15" t="n">
        <f aca="false">IF(OR(J510="",K510=""),"",MAX(J510-K510,0))</f>
        <v>0</v>
      </c>
      <c r="M510" s="15" t="s">
        <v>1757</v>
      </c>
      <c r="N510" s="17" t="n">
        <v>1988</v>
      </c>
      <c r="O510" s="15" t="n">
        <f aca="false">IF(N510="","",Scoring!$B$4-N510)</f>
        <v>38</v>
      </c>
      <c r="P510" s="15" t="n">
        <f aca="false">IF(N510="","",N510+14)</f>
        <v>2002</v>
      </c>
      <c r="Q510" s="15" t="str">
        <f aca="false">IF(N510="","",IF(N510&lt;Scoring!$B$12,"n/a (pre-1990)",N510+Scoring!$B$13))</f>
        <v>n/a (pre-1990)</v>
      </c>
      <c r="R510" s="15" t="str">
        <f aca="false">IF(J510="","Unknown",IF(J510&gt;=5,"Yes","No (under 5 units)"))</f>
        <v>Yes</v>
      </c>
      <c r="S510" s="15"/>
      <c r="T510" s="18"/>
      <c r="U510" s="19"/>
      <c r="V510" s="18"/>
      <c r="W510" s="18"/>
      <c r="X510" s="20"/>
      <c r="Y510" s="18"/>
      <c r="Z510" s="18"/>
      <c r="AA510" s="21" t="str">
        <f aca="false">IF(U510&lt;&gt;"",(U510-Scoring!$B$3)/365.25,IF(N510="","",IF(N510&lt;Scoring!$B$12,"",(DATE(N510+Scoring!$B$13,12,31)-Scoring!$B$3)/365.25)))</f>
        <v/>
      </c>
      <c r="AB510" s="22" t="n">
        <f aca="false">IF(T510="Y",0,IF(OR(D510="Expired (verified)",D510="Expiring: notice window (verified)",D510="Expiring: 10-yr horizon (verified)",D510="Past 30-yr mark (verify)",D510="30-yr mark: notice window (est.)",D510="Year-15 window"),1,0)+IF(ISNUMBER(O510),IF(O510&gt;=Scoring!$B$10,1,0),0)+IF(AND(ISNUMBER(L510),ISNUMBER(J510)),IF(J510&gt;0,IF(L510/J510&gt;=Scoring!$B$11,1,0),0),0)+IF(ISNUMBER(Z510),MIN(Z510,3),0))</f>
        <v>1</v>
      </c>
      <c r="AC510" s="22" t="n">
        <f aca="false">IF(AB510&gt;=3,Scoring!$C$24,IF(AB510=2,Scoring!$C$23,IF(AB510=1,Scoring!$C$22,0)))</f>
        <v>10</v>
      </c>
      <c r="AD510" s="22" t="n">
        <f aca="false">IF(T510="Y",0,IF(ISNUMBER(X510),IF(X510&gt;0.7,Scoring!$C$25,IF(X510&gt;=0.5,Scoring!$C$26,IF(X510&gt;=0.3,Scoring!$C$27,Scoring!$C$28))),Scoring!$C$29))</f>
        <v>10</v>
      </c>
      <c r="AE510" s="22" t="n">
        <f aca="false">IF(D510="Expiring: notice window (verified)",Scoring!$C$30,IF(OR(D510="Expired (verified)",D510="30-yr mark: notice window (est.)",D510="Year-15 window"),Scoring!$C$31,IF(D510="Expiring: 10-yr horizon (verified)",Scoring!$C$32,IF(D510="Past 30-yr mark (verify)",Scoring!$C$33,IF(OR(D510="Credit period",D510="Superseded record"),Scoring!$C$35,Scoring!$C$34)))))</f>
        <v>4</v>
      </c>
      <c r="AF510" s="22" t="n">
        <f aca="false">IF(T510="Y",0,IF(ISNUMBER(V510),IF(Scoring!$B$4-V510&gt;15,Scoring!$C$36,IF(Scoring!$B$4-V510&gt;=10,Scoring!$C$37,IF(Scoring!$B$4-V510&gt;=5,Scoring!$C$38,Scoring!$C$39))),IF(OR(N510="",D510="Out of program"),Scoring!$C$40,IF(O510&gt;15,Scoring!$C$36,IF(O510&gt;=10,Scoring!$C$37,IF(O510&gt;=5,Scoring!$C$38,Scoring!$C$39))))))</f>
        <v>8</v>
      </c>
      <c r="AG510" s="22" t="n">
        <f aca="false">IF(T510="Y",0,IF(Y510="Y",Scoring!$C$41,IF(ISNUMBER(O510),IF(O510&gt;=25,Scoring!$C$42,IF(O510&gt;=15,Scoring!$C$43,Scoring!$C$44)),Scoring!$C$44)))</f>
        <v>8</v>
      </c>
      <c r="AH510" s="22" t="n">
        <f aca="false">IF(T510="Y",0,IF(W510="",Scoring!$C$49,IFERROR(VLOOKUP(W510,Scoring!$B$45:$C$48,2,FALSE()),Scoring!$C$49)))</f>
        <v>5</v>
      </c>
      <c r="AI510" s="23" t="n">
        <f aca="false">C510+IF(ISNUMBER(J510),J510,0)/100000+(10000-ROW())/1000000000</f>
        <v>45.00014949</v>
      </c>
      <c r="AJ510" s="18"/>
      <c r="AK510" s="18"/>
      <c r="AL510" s="18"/>
      <c r="AM510" s="18"/>
    </row>
    <row r="511" customFormat="false" ht="15" hidden="false" customHeight="false" outlineLevel="0" collapsed="false">
      <c r="A511" s="15" t="n">
        <f aca="false">RANK(AI511,$AI$2:$AI$755)</f>
        <v>510</v>
      </c>
      <c r="B511" s="16" t="str">
        <f aca="false">IF(T511="Y","Superseded",IF(C511&gt;=Scoring!$B$16,"Immediate",IF(C511&gt;=Scoring!$B$17,"This week",IF(C511&gt;=Scoring!$B$18,"Nurture","Low"))))</f>
        <v>Nurture</v>
      </c>
      <c r="C511" s="3" t="n">
        <f aca="false">SUM(AC511:AH511)</f>
        <v>45</v>
      </c>
      <c r="D511" s="15" t="str">
        <f aca="false">IF(T511="Y","Superseded record",IF(AND(U511&lt;&gt;"",AA511&lt;0),"Expired (verified)",IF(AND(U511&lt;&gt;"",AA511&lt;=Scoring!$B$5),"Expiring: notice window (verified)",IF(AND(U511&lt;&gt;"",AA511&lt;=Scoring!$B$6),"Expiring: 10-yr horizon (verified)",IF(M511="No Longer Monitored","Out of program",IF(N511="","Unknown vintage",IF(N511&lt;Scoring!$B$12,"Pre-1990, still listed",IF(AND(U511="",AA511&lt;0),"Past 30-yr mark (verify)",IF(AND(U511="",AA511&lt;=Scoring!$B$5),"30-yr mark: notice window (est.)",IF(AND(O511&gt;=Scoring!$B$7,O511&lt;=Scoring!$B$8),"Year-15 window",IF(O511&gt;=Scoring!$B$9,"Recap window",IF(O511&gt;=11,"Late compliance","Credit period"))))))))))))</f>
        <v>Out of program</v>
      </c>
      <c r="E511" s="15" t="s">
        <v>1878</v>
      </c>
      <c r="F511" s="15" t="s">
        <v>1879</v>
      </c>
      <c r="G511" s="15" t="s">
        <v>1880</v>
      </c>
      <c r="H511" s="15" t="s">
        <v>97</v>
      </c>
      <c r="I511" s="15" t="s">
        <v>217</v>
      </c>
      <c r="J511" s="15" t="n">
        <v>14</v>
      </c>
      <c r="K511" s="15" t="n">
        <v>14</v>
      </c>
      <c r="L511" s="15" t="n">
        <f aca="false">IF(OR(J511="",K511=""),"",MAX(J511-K511,0))</f>
        <v>0</v>
      </c>
      <c r="M511" s="15" t="s">
        <v>1757</v>
      </c>
      <c r="N511" s="17" t="n">
        <v>1988</v>
      </c>
      <c r="O511" s="15" t="n">
        <f aca="false">IF(N511="","",Scoring!$B$4-N511)</f>
        <v>38</v>
      </c>
      <c r="P511" s="15" t="n">
        <f aca="false">IF(N511="","",N511+14)</f>
        <v>2002</v>
      </c>
      <c r="Q511" s="15" t="str">
        <f aca="false">IF(N511="","",IF(N511&lt;Scoring!$B$12,"n/a (pre-1990)",N511+Scoring!$B$13))</f>
        <v>n/a (pre-1990)</v>
      </c>
      <c r="R511" s="15" t="str">
        <f aca="false">IF(J511="","Unknown",IF(J511&gt;=5,"Yes","No (under 5 units)"))</f>
        <v>Yes</v>
      </c>
      <c r="S511" s="15"/>
      <c r="T511" s="18"/>
      <c r="U511" s="19"/>
      <c r="V511" s="18"/>
      <c r="W511" s="18"/>
      <c r="X511" s="20"/>
      <c r="Y511" s="18"/>
      <c r="Z511" s="18"/>
      <c r="AA511" s="21" t="str">
        <f aca="false">IF(U511&lt;&gt;"",(U511-Scoring!$B$3)/365.25,IF(N511="","",IF(N511&lt;Scoring!$B$12,"",(DATE(N511+Scoring!$B$13,12,31)-Scoring!$B$3)/365.25)))</f>
        <v/>
      </c>
      <c r="AB511" s="22" t="n">
        <f aca="false">IF(T511="Y",0,IF(OR(D511="Expired (verified)",D511="Expiring: notice window (verified)",D511="Expiring: 10-yr horizon (verified)",D511="Past 30-yr mark (verify)",D511="30-yr mark: notice window (est.)",D511="Year-15 window"),1,0)+IF(ISNUMBER(O511),IF(O511&gt;=Scoring!$B$10,1,0),0)+IF(AND(ISNUMBER(L511),ISNUMBER(J511)),IF(J511&gt;0,IF(L511/J511&gt;=Scoring!$B$11,1,0),0),0)+IF(ISNUMBER(Z511),MIN(Z511,3),0))</f>
        <v>1</v>
      </c>
      <c r="AC511" s="22" t="n">
        <f aca="false">IF(AB511&gt;=3,Scoring!$C$24,IF(AB511=2,Scoring!$C$23,IF(AB511=1,Scoring!$C$22,0)))</f>
        <v>10</v>
      </c>
      <c r="AD511" s="22" t="n">
        <f aca="false">IF(T511="Y",0,IF(ISNUMBER(X511),IF(X511&gt;0.7,Scoring!$C$25,IF(X511&gt;=0.5,Scoring!$C$26,IF(X511&gt;=0.3,Scoring!$C$27,Scoring!$C$28))),Scoring!$C$29))</f>
        <v>10</v>
      </c>
      <c r="AE511" s="22" t="n">
        <f aca="false">IF(D511="Expiring: notice window (verified)",Scoring!$C$30,IF(OR(D511="Expired (verified)",D511="30-yr mark: notice window (est.)",D511="Year-15 window"),Scoring!$C$31,IF(D511="Expiring: 10-yr horizon (verified)",Scoring!$C$32,IF(D511="Past 30-yr mark (verify)",Scoring!$C$33,IF(OR(D511="Credit period",D511="Superseded record"),Scoring!$C$35,Scoring!$C$34)))))</f>
        <v>4</v>
      </c>
      <c r="AF511" s="22" t="n">
        <f aca="false">IF(T511="Y",0,IF(ISNUMBER(V511),IF(Scoring!$B$4-V511&gt;15,Scoring!$C$36,IF(Scoring!$B$4-V511&gt;=10,Scoring!$C$37,IF(Scoring!$B$4-V511&gt;=5,Scoring!$C$38,Scoring!$C$39))),IF(OR(N511="",D511="Out of program"),Scoring!$C$40,IF(O511&gt;15,Scoring!$C$36,IF(O511&gt;=10,Scoring!$C$37,IF(O511&gt;=5,Scoring!$C$38,Scoring!$C$39))))))</f>
        <v>8</v>
      </c>
      <c r="AG511" s="22" t="n">
        <f aca="false">IF(T511="Y",0,IF(Y511="Y",Scoring!$C$41,IF(ISNUMBER(O511),IF(O511&gt;=25,Scoring!$C$42,IF(O511&gt;=15,Scoring!$C$43,Scoring!$C$44)),Scoring!$C$44)))</f>
        <v>8</v>
      </c>
      <c r="AH511" s="22" t="n">
        <f aca="false">IF(T511="Y",0,IF(W511="",Scoring!$C$49,IFERROR(VLOOKUP(W511,Scoring!$B$45:$C$48,2,FALSE()),Scoring!$C$49)))</f>
        <v>5</v>
      </c>
      <c r="AI511" s="23" t="n">
        <f aca="false">C511+IF(ISNUMBER(J511),J511,0)/100000+(10000-ROW())/1000000000</f>
        <v>45.000149489</v>
      </c>
      <c r="AJ511" s="18"/>
      <c r="AK511" s="18"/>
      <c r="AL511" s="18"/>
      <c r="AM511" s="18"/>
    </row>
    <row r="512" customFormat="false" ht="15" hidden="false" customHeight="false" outlineLevel="0" collapsed="false">
      <c r="A512" s="15" t="n">
        <f aca="false">RANK(AI512,$AI$2:$AI$755)</f>
        <v>511</v>
      </c>
      <c r="B512" s="16" t="str">
        <f aca="false">IF(T512="Y","Superseded",IF(C512&gt;=Scoring!$B$16,"Immediate",IF(C512&gt;=Scoring!$B$17,"This week",IF(C512&gt;=Scoring!$B$18,"Nurture","Low"))))</f>
        <v>Nurture</v>
      </c>
      <c r="C512" s="3" t="n">
        <f aca="false">SUM(AC512:AH512)</f>
        <v>45</v>
      </c>
      <c r="D512" s="15" t="str">
        <f aca="false">IF(T512="Y","Superseded record",IF(AND(U512&lt;&gt;"",AA512&lt;0),"Expired (verified)",IF(AND(U512&lt;&gt;"",AA512&lt;=Scoring!$B$5),"Expiring: notice window (verified)",IF(AND(U512&lt;&gt;"",AA512&lt;=Scoring!$B$6),"Expiring: 10-yr horizon (verified)",IF(M512="No Longer Monitored","Out of program",IF(N512="","Unknown vintage",IF(N512&lt;Scoring!$B$12,"Pre-1990, still listed",IF(AND(U512="",AA512&lt;0),"Past 30-yr mark (verify)",IF(AND(U512="",AA512&lt;=Scoring!$B$5),"30-yr mark: notice window (est.)",IF(AND(O512&gt;=Scoring!$B$7,O512&lt;=Scoring!$B$8),"Year-15 window",IF(O512&gt;=Scoring!$B$9,"Recap window",IF(O512&gt;=11,"Late compliance","Credit period"))))))))))))</f>
        <v>Out of program</v>
      </c>
      <c r="E512" s="15" t="s">
        <v>1881</v>
      </c>
      <c r="F512" s="15" t="s">
        <v>1882</v>
      </c>
      <c r="G512" s="15" t="s">
        <v>1883</v>
      </c>
      <c r="H512" s="15" t="s">
        <v>345</v>
      </c>
      <c r="I512" s="15" t="s">
        <v>346</v>
      </c>
      <c r="J512" s="15" t="n">
        <v>13</v>
      </c>
      <c r="K512" s="15" t="n">
        <v>13</v>
      </c>
      <c r="L512" s="15" t="n">
        <f aca="false">IF(OR(J512="",K512=""),"",MAX(J512-K512,0))</f>
        <v>0</v>
      </c>
      <c r="M512" s="15" t="s">
        <v>1757</v>
      </c>
      <c r="N512" s="17" t="n">
        <v>1987</v>
      </c>
      <c r="O512" s="15" t="n">
        <f aca="false">IF(N512="","",Scoring!$B$4-N512)</f>
        <v>39</v>
      </c>
      <c r="P512" s="15" t="n">
        <f aca="false">IF(N512="","",N512+14)</f>
        <v>2001</v>
      </c>
      <c r="Q512" s="15" t="str">
        <f aca="false">IF(N512="","",IF(N512&lt;Scoring!$B$12,"n/a (pre-1990)",N512+Scoring!$B$13))</f>
        <v>n/a (pre-1990)</v>
      </c>
      <c r="R512" s="15" t="str">
        <f aca="false">IF(J512="","Unknown",IF(J512&gt;=5,"Yes","No (under 5 units)"))</f>
        <v>Yes</v>
      </c>
      <c r="S512" s="15"/>
      <c r="T512" s="18"/>
      <c r="U512" s="19"/>
      <c r="V512" s="18"/>
      <c r="W512" s="18"/>
      <c r="X512" s="20"/>
      <c r="Y512" s="18"/>
      <c r="Z512" s="18"/>
      <c r="AA512" s="21" t="str">
        <f aca="false">IF(U512&lt;&gt;"",(U512-Scoring!$B$3)/365.25,IF(N512="","",IF(N512&lt;Scoring!$B$12,"",(DATE(N512+Scoring!$B$13,12,31)-Scoring!$B$3)/365.25)))</f>
        <v/>
      </c>
      <c r="AB512" s="22" t="n">
        <f aca="false">IF(T512="Y",0,IF(OR(D512="Expired (verified)",D512="Expiring: notice window (verified)",D512="Expiring: 10-yr horizon (verified)",D512="Past 30-yr mark (verify)",D512="30-yr mark: notice window (est.)",D512="Year-15 window"),1,0)+IF(ISNUMBER(O512),IF(O512&gt;=Scoring!$B$10,1,0),0)+IF(AND(ISNUMBER(L512),ISNUMBER(J512)),IF(J512&gt;0,IF(L512/J512&gt;=Scoring!$B$11,1,0),0),0)+IF(ISNUMBER(Z512),MIN(Z512,3),0))</f>
        <v>1</v>
      </c>
      <c r="AC512" s="22" t="n">
        <f aca="false">IF(AB512&gt;=3,Scoring!$C$24,IF(AB512=2,Scoring!$C$23,IF(AB512=1,Scoring!$C$22,0)))</f>
        <v>10</v>
      </c>
      <c r="AD512" s="22" t="n">
        <f aca="false">IF(T512="Y",0,IF(ISNUMBER(X512),IF(X512&gt;0.7,Scoring!$C$25,IF(X512&gt;=0.5,Scoring!$C$26,IF(X512&gt;=0.3,Scoring!$C$27,Scoring!$C$28))),Scoring!$C$29))</f>
        <v>10</v>
      </c>
      <c r="AE512" s="22" t="n">
        <f aca="false">IF(D512="Expiring: notice window (verified)",Scoring!$C$30,IF(OR(D512="Expired (verified)",D512="30-yr mark: notice window (est.)",D512="Year-15 window"),Scoring!$C$31,IF(D512="Expiring: 10-yr horizon (verified)",Scoring!$C$32,IF(D512="Past 30-yr mark (verify)",Scoring!$C$33,IF(OR(D512="Credit period",D512="Superseded record"),Scoring!$C$35,Scoring!$C$34)))))</f>
        <v>4</v>
      </c>
      <c r="AF512" s="22" t="n">
        <f aca="false">IF(T512="Y",0,IF(ISNUMBER(V512),IF(Scoring!$B$4-V512&gt;15,Scoring!$C$36,IF(Scoring!$B$4-V512&gt;=10,Scoring!$C$37,IF(Scoring!$B$4-V512&gt;=5,Scoring!$C$38,Scoring!$C$39))),IF(OR(N512="",D512="Out of program"),Scoring!$C$40,IF(O512&gt;15,Scoring!$C$36,IF(O512&gt;=10,Scoring!$C$37,IF(O512&gt;=5,Scoring!$C$38,Scoring!$C$39))))))</f>
        <v>8</v>
      </c>
      <c r="AG512" s="22" t="n">
        <f aca="false">IF(T512="Y",0,IF(Y512="Y",Scoring!$C$41,IF(ISNUMBER(O512),IF(O512&gt;=25,Scoring!$C$42,IF(O512&gt;=15,Scoring!$C$43,Scoring!$C$44)),Scoring!$C$44)))</f>
        <v>8</v>
      </c>
      <c r="AH512" s="22" t="n">
        <f aca="false">IF(T512="Y",0,IF(W512="",Scoring!$C$49,IFERROR(VLOOKUP(W512,Scoring!$B$45:$C$48,2,FALSE()),Scoring!$C$49)))</f>
        <v>5</v>
      </c>
      <c r="AI512" s="23" t="n">
        <f aca="false">C512+IF(ISNUMBER(J512),J512,0)/100000+(10000-ROW())/1000000000</f>
        <v>45.000139488</v>
      </c>
      <c r="AJ512" s="18"/>
      <c r="AK512" s="18"/>
      <c r="AL512" s="18"/>
      <c r="AM512" s="18"/>
    </row>
    <row r="513" customFormat="false" ht="15" hidden="false" customHeight="false" outlineLevel="0" collapsed="false">
      <c r="A513" s="15" t="n">
        <f aca="false">RANK(AI513,$AI$2:$AI$755)</f>
        <v>512</v>
      </c>
      <c r="B513" s="16" t="str">
        <f aca="false">IF(T513="Y","Superseded",IF(C513&gt;=Scoring!$B$16,"Immediate",IF(C513&gt;=Scoring!$B$17,"This week",IF(C513&gt;=Scoring!$B$18,"Nurture","Low"))))</f>
        <v>Nurture</v>
      </c>
      <c r="C513" s="3" t="n">
        <f aca="false">SUM(AC513:AH513)</f>
        <v>45</v>
      </c>
      <c r="D513" s="15" t="str">
        <f aca="false">IF(T513="Y","Superseded record",IF(AND(U513&lt;&gt;"",AA513&lt;0),"Expired (verified)",IF(AND(U513&lt;&gt;"",AA513&lt;=Scoring!$B$5),"Expiring: notice window (verified)",IF(AND(U513&lt;&gt;"",AA513&lt;=Scoring!$B$6),"Expiring: 10-yr horizon (verified)",IF(M513="No Longer Monitored","Out of program",IF(N513="","Unknown vintage",IF(N513&lt;Scoring!$B$12,"Pre-1990, still listed",IF(AND(U513="",AA513&lt;0),"Past 30-yr mark (verify)",IF(AND(U513="",AA513&lt;=Scoring!$B$5),"30-yr mark: notice window (est.)",IF(AND(O513&gt;=Scoring!$B$7,O513&lt;=Scoring!$B$8),"Year-15 window",IF(O513&gt;=Scoring!$B$9,"Recap window",IF(O513&gt;=11,"Late compliance","Credit period"))))))))))))</f>
        <v>Out of program</v>
      </c>
      <c r="E513" s="15" t="s">
        <v>1884</v>
      </c>
      <c r="F513" s="15" t="s">
        <v>1885</v>
      </c>
      <c r="G513" s="15" t="s">
        <v>1886</v>
      </c>
      <c r="H513" s="15" t="s">
        <v>107</v>
      </c>
      <c r="I513" s="15" t="s">
        <v>594</v>
      </c>
      <c r="J513" s="15" t="n">
        <v>12</v>
      </c>
      <c r="K513" s="15" t="n">
        <v>12</v>
      </c>
      <c r="L513" s="15" t="n">
        <f aca="false">IF(OR(J513="",K513=""),"",MAX(J513-K513,0))</f>
        <v>0</v>
      </c>
      <c r="M513" s="15" t="s">
        <v>1757</v>
      </c>
      <c r="N513" s="17" t="n">
        <v>1987</v>
      </c>
      <c r="O513" s="15" t="n">
        <f aca="false">IF(N513="","",Scoring!$B$4-N513)</f>
        <v>39</v>
      </c>
      <c r="P513" s="15" t="n">
        <f aca="false">IF(N513="","",N513+14)</f>
        <v>2001</v>
      </c>
      <c r="Q513" s="15" t="str">
        <f aca="false">IF(N513="","",IF(N513&lt;Scoring!$B$12,"n/a (pre-1990)",N513+Scoring!$B$13))</f>
        <v>n/a (pre-1990)</v>
      </c>
      <c r="R513" s="15" t="str">
        <f aca="false">IF(J513="","Unknown",IF(J513&gt;=5,"Yes","No (under 5 units)"))</f>
        <v>Yes</v>
      </c>
      <c r="S513" s="15"/>
      <c r="T513" s="18"/>
      <c r="U513" s="19"/>
      <c r="V513" s="18"/>
      <c r="W513" s="18"/>
      <c r="X513" s="20"/>
      <c r="Y513" s="18"/>
      <c r="Z513" s="18"/>
      <c r="AA513" s="21" t="str">
        <f aca="false">IF(U513&lt;&gt;"",(U513-Scoring!$B$3)/365.25,IF(N513="","",IF(N513&lt;Scoring!$B$12,"",(DATE(N513+Scoring!$B$13,12,31)-Scoring!$B$3)/365.25)))</f>
        <v/>
      </c>
      <c r="AB513" s="22" t="n">
        <f aca="false">IF(T513="Y",0,IF(OR(D513="Expired (verified)",D513="Expiring: notice window (verified)",D513="Expiring: 10-yr horizon (verified)",D513="Past 30-yr mark (verify)",D513="30-yr mark: notice window (est.)",D513="Year-15 window"),1,0)+IF(ISNUMBER(O513),IF(O513&gt;=Scoring!$B$10,1,0),0)+IF(AND(ISNUMBER(L513),ISNUMBER(J513)),IF(J513&gt;0,IF(L513/J513&gt;=Scoring!$B$11,1,0),0),0)+IF(ISNUMBER(Z513),MIN(Z513,3),0))</f>
        <v>1</v>
      </c>
      <c r="AC513" s="22" t="n">
        <f aca="false">IF(AB513&gt;=3,Scoring!$C$24,IF(AB513=2,Scoring!$C$23,IF(AB513=1,Scoring!$C$22,0)))</f>
        <v>10</v>
      </c>
      <c r="AD513" s="22" t="n">
        <f aca="false">IF(T513="Y",0,IF(ISNUMBER(X513),IF(X513&gt;0.7,Scoring!$C$25,IF(X513&gt;=0.5,Scoring!$C$26,IF(X513&gt;=0.3,Scoring!$C$27,Scoring!$C$28))),Scoring!$C$29))</f>
        <v>10</v>
      </c>
      <c r="AE513" s="22" t="n">
        <f aca="false">IF(D513="Expiring: notice window (verified)",Scoring!$C$30,IF(OR(D513="Expired (verified)",D513="30-yr mark: notice window (est.)",D513="Year-15 window"),Scoring!$C$31,IF(D513="Expiring: 10-yr horizon (verified)",Scoring!$C$32,IF(D513="Past 30-yr mark (verify)",Scoring!$C$33,IF(OR(D513="Credit period",D513="Superseded record"),Scoring!$C$35,Scoring!$C$34)))))</f>
        <v>4</v>
      </c>
      <c r="AF513" s="22" t="n">
        <f aca="false">IF(T513="Y",0,IF(ISNUMBER(V513),IF(Scoring!$B$4-V513&gt;15,Scoring!$C$36,IF(Scoring!$B$4-V513&gt;=10,Scoring!$C$37,IF(Scoring!$B$4-V513&gt;=5,Scoring!$C$38,Scoring!$C$39))),IF(OR(N513="",D513="Out of program"),Scoring!$C$40,IF(O513&gt;15,Scoring!$C$36,IF(O513&gt;=10,Scoring!$C$37,IF(O513&gt;=5,Scoring!$C$38,Scoring!$C$39))))))</f>
        <v>8</v>
      </c>
      <c r="AG513" s="22" t="n">
        <f aca="false">IF(T513="Y",0,IF(Y513="Y",Scoring!$C$41,IF(ISNUMBER(O513),IF(O513&gt;=25,Scoring!$C$42,IF(O513&gt;=15,Scoring!$C$43,Scoring!$C$44)),Scoring!$C$44)))</f>
        <v>8</v>
      </c>
      <c r="AH513" s="22" t="n">
        <f aca="false">IF(T513="Y",0,IF(W513="",Scoring!$C$49,IFERROR(VLOOKUP(W513,Scoring!$B$45:$C$48,2,FALSE()),Scoring!$C$49)))</f>
        <v>5</v>
      </c>
      <c r="AI513" s="23" t="n">
        <f aca="false">C513+IF(ISNUMBER(J513),J513,0)/100000+(10000-ROW())/1000000000</f>
        <v>45.000129487</v>
      </c>
      <c r="AJ513" s="18"/>
      <c r="AK513" s="18"/>
      <c r="AL513" s="18"/>
      <c r="AM513" s="18"/>
    </row>
    <row r="514" customFormat="false" ht="15" hidden="false" customHeight="false" outlineLevel="0" collapsed="false">
      <c r="A514" s="15" t="n">
        <f aca="false">RANK(AI514,$AI$2:$AI$755)</f>
        <v>513</v>
      </c>
      <c r="B514" s="16" t="str">
        <f aca="false">IF(T514="Y","Superseded",IF(C514&gt;=Scoring!$B$16,"Immediate",IF(C514&gt;=Scoring!$B$17,"This week",IF(C514&gt;=Scoring!$B$18,"Nurture","Low"))))</f>
        <v>Nurture</v>
      </c>
      <c r="C514" s="3" t="n">
        <f aca="false">SUM(AC514:AH514)</f>
        <v>45</v>
      </c>
      <c r="D514" s="15" t="str">
        <f aca="false">IF(T514="Y","Superseded record",IF(AND(U514&lt;&gt;"",AA514&lt;0),"Expired (verified)",IF(AND(U514&lt;&gt;"",AA514&lt;=Scoring!$B$5),"Expiring: notice window (verified)",IF(AND(U514&lt;&gt;"",AA514&lt;=Scoring!$B$6),"Expiring: 10-yr horizon (verified)",IF(M514="No Longer Monitored","Out of program",IF(N514="","Unknown vintage",IF(N514&lt;Scoring!$B$12,"Pre-1990, still listed",IF(AND(U514="",AA514&lt;0),"Past 30-yr mark (verify)",IF(AND(U514="",AA514&lt;=Scoring!$B$5),"30-yr mark: notice window (est.)",IF(AND(O514&gt;=Scoring!$B$7,O514&lt;=Scoring!$B$8),"Year-15 window",IF(O514&gt;=Scoring!$B$9,"Recap window",IF(O514&gt;=11,"Late compliance","Credit period"))))))))))))</f>
        <v>Out of program</v>
      </c>
      <c r="E514" s="15" t="s">
        <v>1887</v>
      </c>
      <c r="F514" s="15" t="s">
        <v>1888</v>
      </c>
      <c r="G514" s="15" t="s">
        <v>1889</v>
      </c>
      <c r="H514" s="15" t="s">
        <v>190</v>
      </c>
      <c r="I514" s="15" t="s">
        <v>1117</v>
      </c>
      <c r="J514" s="15" t="n">
        <v>12</v>
      </c>
      <c r="K514" s="15" t="n">
        <v>12</v>
      </c>
      <c r="L514" s="15" t="n">
        <f aca="false">IF(OR(J514="",K514=""),"",MAX(J514-K514,0))</f>
        <v>0</v>
      </c>
      <c r="M514" s="15" t="s">
        <v>1757</v>
      </c>
      <c r="N514" s="17" t="n">
        <v>1987</v>
      </c>
      <c r="O514" s="15" t="n">
        <f aca="false">IF(N514="","",Scoring!$B$4-N514)</f>
        <v>39</v>
      </c>
      <c r="P514" s="15" t="n">
        <f aca="false">IF(N514="","",N514+14)</f>
        <v>2001</v>
      </c>
      <c r="Q514" s="15" t="str">
        <f aca="false">IF(N514="","",IF(N514&lt;Scoring!$B$12,"n/a (pre-1990)",N514+Scoring!$B$13))</f>
        <v>n/a (pre-1990)</v>
      </c>
      <c r="R514" s="15" t="str">
        <f aca="false">IF(J514="","Unknown",IF(J514&gt;=5,"Yes","No (under 5 units)"))</f>
        <v>Yes</v>
      </c>
      <c r="S514" s="15"/>
      <c r="T514" s="18"/>
      <c r="U514" s="19"/>
      <c r="V514" s="18"/>
      <c r="W514" s="18"/>
      <c r="X514" s="20"/>
      <c r="Y514" s="18"/>
      <c r="Z514" s="18"/>
      <c r="AA514" s="21" t="str">
        <f aca="false">IF(U514&lt;&gt;"",(U514-Scoring!$B$3)/365.25,IF(N514="","",IF(N514&lt;Scoring!$B$12,"",(DATE(N514+Scoring!$B$13,12,31)-Scoring!$B$3)/365.25)))</f>
        <v/>
      </c>
      <c r="AB514" s="22" t="n">
        <f aca="false">IF(T514="Y",0,IF(OR(D514="Expired (verified)",D514="Expiring: notice window (verified)",D514="Expiring: 10-yr horizon (verified)",D514="Past 30-yr mark (verify)",D514="30-yr mark: notice window (est.)",D514="Year-15 window"),1,0)+IF(ISNUMBER(O514),IF(O514&gt;=Scoring!$B$10,1,0),0)+IF(AND(ISNUMBER(L514),ISNUMBER(J514)),IF(J514&gt;0,IF(L514/J514&gt;=Scoring!$B$11,1,0),0),0)+IF(ISNUMBER(Z514),MIN(Z514,3),0))</f>
        <v>1</v>
      </c>
      <c r="AC514" s="22" t="n">
        <f aca="false">IF(AB514&gt;=3,Scoring!$C$24,IF(AB514=2,Scoring!$C$23,IF(AB514=1,Scoring!$C$22,0)))</f>
        <v>10</v>
      </c>
      <c r="AD514" s="22" t="n">
        <f aca="false">IF(T514="Y",0,IF(ISNUMBER(X514),IF(X514&gt;0.7,Scoring!$C$25,IF(X514&gt;=0.5,Scoring!$C$26,IF(X514&gt;=0.3,Scoring!$C$27,Scoring!$C$28))),Scoring!$C$29))</f>
        <v>10</v>
      </c>
      <c r="AE514" s="22" t="n">
        <f aca="false">IF(D514="Expiring: notice window (verified)",Scoring!$C$30,IF(OR(D514="Expired (verified)",D514="30-yr mark: notice window (est.)",D514="Year-15 window"),Scoring!$C$31,IF(D514="Expiring: 10-yr horizon (verified)",Scoring!$C$32,IF(D514="Past 30-yr mark (verify)",Scoring!$C$33,IF(OR(D514="Credit period",D514="Superseded record"),Scoring!$C$35,Scoring!$C$34)))))</f>
        <v>4</v>
      </c>
      <c r="AF514" s="22" t="n">
        <f aca="false">IF(T514="Y",0,IF(ISNUMBER(V514),IF(Scoring!$B$4-V514&gt;15,Scoring!$C$36,IF(Scoring!$B$4-V514&gt;=10,Scoring!$C$37,IF(Scoring!$B$4-V514&gt;=5,Scoring!$C$38,Scoring!$C$39))),IF(OR(N514="",D514="Out of program"),Scoring!$C$40,IF(O514&gt;15,Scoring!$C$36,IF(O514&gt;=10,Scoring!$C$37,IF(O514&gt;=5,Scoring!$C$38,Scoring!$C$39))))))</f>
        <v>8</v>
      </c>
      <c r="AG514" s="22" t="n">
        <f aca="false">IF(T514="Y",0,IF(Y514="Y",Scoring!$C$41,IF(ISNUMBER(O514),IF(O514&gt;=25,Scoring!$C$42,IF(O514&gt;=15,Scoring!$C$43,Scoring!$C$44)),Scoring!$C$44)))</f>
        <v>8</v>
      </c>
      <c r="AH514" s="22" t="n">
        <f aca="false">IF(T514="Y",0,IF(W514="",Scoring!$C$49,IFERROR(VLOOKUP(W514,Scoring!$B$45:$C$48,2,FALSE()),Scoring!$C$49)))</f>
        <v>5</v>
      </c>
      <c r="AI514" s="23" t="n">
        <f aca="false">C514+IF(ISNUMBER(J514),J514,0)/100000+(10000-ROW())/1000000000</f>
        <v>45.000129486</v>
      </c>
      <c r="AJ514" s="18"/>
      <c r="AK514" s="18"/>
      <c r="AL514" s="18"/>
      <c r="AM514" s="18"/>
    </row>
    <row r="515" customFormat="false" ht="15" hidden="false" customHeight="false" outlineLevel="0" collapsed="false">
      <c r="A515" s="15" t="n">
        <f aca="false">RANK(AI515,$AI$2:$AI$755)</f>
        <v>514</v>
      </c>
      <c r="B515" s="16" t="str">
        <f aca="false">IF(T515="Y","Superseded",IF(C515&gt;=Scoring!$B$16,"Immediate",IF(C515&gt;=Scoring!$B$17,"This week",IF(C515&gt;=Scoring!$B$18,"Nurture","Low"))))</f>
        <v>Nurture</v>
      </c>
      <c r="C515" s="3" t="n">
        <f aca="false">SUM(AC515:AH515)</f>
        <v>45</v>
      </c>
      <c r="D515" s="15" t="str">
        <f aca="false">IF(T515="Y","Superseded record",IF(AND(U515&lt;&gt;"",AA515&lt;0),"Expired (verified)",IF(AND(U515&lt;&gt;"",AA515&lt;=Scoring!$B$5),"Expiring: notice window (verified)",IF(AND(U515&lt;&gt;"",AA515&lt;=Scoring!$B$6),"Expiring: 10-yr horizon (verified)",IF(M515="No Longer Monitored","Out of program",IF(N515="","Unknown vintage",IF(N515&lt;Scoring!$B$12,"Pre-1990, still listed",IF(AND(U515="",AA515&lt;0),"Past 30-yr mark (verify)",IF(AND(U515="",AA515&lt;=Scoring!$B$5),"30-yr mark: notice window (est.)",IF(AND(O515&gt;=Scoring!$B$7,O515&lt;=Scoring!$B$8),"Year-15 window",IF(O515&gt;=Scoring!$B$9,"Recap window",IF(O515&gt;=11,"Late compliance","Credit period"))))))))))))</f>
        <v>Out of program</v>
      </c>
      <c r="E515" s="15" t="s">
        <v>1890</v>
      </c>
      <c r="F515" s="15" t="s">
        <v>1891</v>
      </c>
      <c r="G515" s="15" t="s">
        <v>1892</v>
      </c>
      <c r="H515" s="15" t="s">
        <v>565</v>
      </c>
      <c r="I515" s="15" t="s">
        <v>566</v>
      </c>
      <c r="J515" s="15" t="n">
        <v>10</v>
      </c>
      <c r="K515" s="15" t="n">
        <v>10</v>
      </c>
      <c r="L515" s="15" t="n">
        <f aca="false">IF(OR(J515="",K515=""),"",MAX(J515-K515,0))</f>
        <v>0</v>
      </c>
      <c r="M515" s="15" t="s">
        <v>1757</v>
      </c>
      <c r="N515" s="17" t="n">
        <v>1988</v>
      </c>
      <c r="O515" s="15" t="n">
        <f aca="false">IF(N515="","",Scoring!$B$4-N515)</f>
        <v>38</v>
      </c>
      <c r="P515" s="15" t="n">
        <f aca="false">IF(N515="","",N515+14)</f>
        <v>2002</v>
      </c>
      <c r="Q515" s="15" t="str">
        <f aca="false">IF(N515="","",IF(N515&lt;Scoring!$B$12,"n/a (pre-1990)",N515+Scoring!$B$13))</f>
        <v>n/a (pre-1990)</v>
      </c>
      <c r="R515" s="15" t="str">
        <f aca="false">IF(J515="","Unknown",IF(J515&gt;=5,"Yes","No (under 5 units)"))</f>
        <v>Yes</v>
      </c>
      <c r="S515" s="15"/>
      <c r="T515" s="18"/>
      <c r="U515" s="19"/>
      <c r="V515" s="18"/>
      <c r="W515" s="18"/>
      <c r="X515" s="20"/>
      <c r="Y515" s="18"/>
      <c r="Z515" s="18"/>
      <c r="AA515" s="21" t="str">
        <f aca="false">IF(U515&lt;&gt;"",(U515-Scoring!$B$3)/365.25,IF(N515="","",IF(N515&lt;Scoring!$B$12,"",(DATE(N515+Scoring!$B$13,12,31)-Scoring!$B$3)/365.25)))</f>
        <v/>
      </c>
      <c r="AB515" s="22" t="n">
        <f aca="false">IF(T515="Y",0,IF(OR(D515="Expired (verified)",D515="Expiring: notice window (verified)",D515="Expiring: 10-yr horizon (verified)",D515="Past 30-yr mark (verify)",D515="30-yr mark: notice window (est.)",D515="Year-15 window"),1,0)+IF(ISNUMBER(O515),IF(O515&gt;=Scoring!$B$10,1,0),0)+IF(AND(ISNUMBER(L515),ISNUMBER(J515)),IF(J515&gt;0,IF(L515/J515&gt;=Scoring!$B$11,1,0),0),0)+IF(ISNUMBER(Z515),MIN(Z515,3),0))</f>
        <v>1</v>
      </c>
      <c r="AC515" s="22" t="n">
        <f aca="false">IF(AB515&gt;=3,Scoring!$C$24,IF(AB515=2,Scoring!$C$23,IF(AB515=1,Scoring!$C$22,0)))</f>
        <v>10</v>
      </c>
      <c r="AD515" s="22" t="n">
        <f aca="false">IF(T515="Y",0,IF(ISNUMBER(X515),IF(X515&gt;0.7,Scoring!$C$25,IF(X515&gt;=0.5,Scoring!$C$26,IF(X515&gt;=0.3,Scoring!$C$27,Scoring!$C$28))),Scoring!$C$29))</f>
        <v>10</v>
      </c>
      <c r="AE515" s="22" t="n">
        <f aca="false">IF(D515="Expiring: notice window (verified)",Scoring!$C$30,IF(OR(D515="Expired (verified)",D515="30-yr mark: notice window (est.)",D515="Year-15 window"),Scoring!$C$31,IF(D515="Expiring: 10-yr horizon (verified)",Scoring!$C$32,IF(D515="Past 30-yr mark (verify)",Scoring!$C$33,IF(OR(D515="Credit period",D515="Superseded record"),Scoring!$C$35,Scoring!$C$34)))))</f>
        <v>4</v>
      </c>
      <c r="AF515" s="22" t="n">
        <f aca="false">IF(T515="Y",0,IF(ISNUMBER(V515),IF(Scoring!$B$4-V515&gt;15,Scoring!$C$36,IF(Scoring!$B$4-V515&gt;=10,Scoring!$C$37,IF(Scoring!$B$4-V515&gt;=5,Scoring!$C$38,Scoring!$C$39))),IF(OR(N515="",D515="Out of program"),Scoring!$C$40,IF(O515&gt;15,Scoring!$C$36,IF(O515&gt;=10,Scoring!$C$37,IF(O515&gt;=5,Scoring!$C$38,Scoring!$C$39))))))</f>
        <v>8</v>
      </c>
      <c r="AG515" s="22" t="n">
        <f aca="false">IF(T515="Y",0,IF(Y515="Y",Scoring!$C$41,IF(ISNUMBER(O515),IF(O515&gt;=25,Scoring!$C$42,IF(O515&gt;=15,Scoring!$C$43,Scoring!$C$44)),Scoring!$C$44)))</f>
        <v>8</v>
      </c>
      <c r="AH515" s="22" t="n">
        <f aca="false">IF(T515="Y",0,IF(W515="",Scoring!$C$49,IFERROR(VLOOKUP(W515,Scoring!$B$45:$C$48,2,FALSE()),Scoring!$C$49)))</f>
        <v>5</v>
      </c>
      <c r="AI515" s="23" t="n">
        <f aca="false">C515+IF(ISNUMBER(J515),J515,0)/100000+(10000-ROW())/1000000000</f>
        <v>45.000109485</v>
      </c>
      <c r="AJ515" s="18"/>
      <c r="AK515" s="18"/>
      <c r="AL515" s="18"/>
      <c r="AM515" s="18"/>
    </row>
    <row r="516" customFormat="false" ht="15" hidden="false" customHeight="false" outlineLevel="0" collapsed="false">
      <c r="A516" s="15" t="n">
        <f aca="false">RANK(AI516,$AI$2:$AI$755)</f>
        <v>515</v>
      </c>
      <c r="B516" s="16" t="str">
        <f aca="false">IF(T516="Y","Superseded",IF(C516&gt;=Scoring!$B$16,"Immediate",IF(C516&gt;=Scoring!$B$17,"This week",IF(C516&gt;=Scoring!$B$18,"Nurture","Low"))))</f>
        <v>Nurture</v>
      </c>
      <c r="C516" s="3" t="n">
        <f aca="false">SUM(AC516:AH516)</f>
        <v>45</v>
      </c>
      <c r="D516" s="15" t="str">
        <f aca="false">IF(T516="Y","Superseded record",IF(AND(U516&lt;&gt;"",AA516&lt;0),"Expired (verified)",IF(AND(U516&lt;&gt;"",AA516&lt;=Scoring!$B$5),"Expiring: notice window (verified)",IF(AND(U516&lt;&gt;"",AA516&lt;=Scoring!$B$6),"Expiring: 10-yr horizon (verified)",IF(M516="No Longer Monitored","Out of program",IF(N516="","Unknown vintage",IF(N516&lt;Scoring!$B$12,"Pre-1990, still listed",IF(AND(U516="",AA516&lt;0),"Past 30-yr mark (verify)",IF(AND(U516="",AA516&lt;=Scoring!$B$5),"30-yr mark: notice window (est.)",IF(AND(O516&gt;=Scoring!$B$7,O516&lt;=Scoring!$B$8),"Year-15 window",IF(O516&gt;=Scoring!$B$9,"Recap window",IF(O516&gt;=11,"Late compliance","Credit period"))))))))))))</f>
        <v>Out of program</v>
      </c>
      <c r="E516" s="15" t="s">
        <v>1893</v>
      </c>
      <c r="F516" s="15" t="s">
        <v>1894</v>
      </c>
      <c r="G516" s="15" t="s">
        <v>1895</v>
      </c>
      <c r="H516" s="15" t="s">
        <v>255</v>
      </c>
      <c r="I516" s="15" t="s">
        <v>256</v>
      </c>
      <c r="J516" s="15" t="n">
        <v>10</v>
      </c>
      <c r="K516" s="15" t="n">
        <v>10</v>
      </c>
      <c r="L516" s="15" t="n">
        <f aca="false">IF(OR(J516="",K516=""),"",MAX(J516-K516,0))</f>
        <v>0</v>
      </c>
      <c r="M516" s="15" t="s">
        <v>1757</v>
      </c>
      <c r="N516" s="17" t="n">
        <v>1988</v>
      </c>
      <c r="O516" s="15" t="n">
        <f aca="false">IF(N516="","",Scoring!$B$4-N516)</f>
        <v>38</v>
      </c>
      <c r="P516" s="15" t="n">
        <f aca="false">IF(N516="","",N516+14)</f>
        <v>2002</v>
      </c>
      <c r="Q516" s="15" t="str">
        <f aca="false">IF(N516="","",IF(N516&lt;Scoring!$B$12,"n/a (pre-1990)",N516+Scoring!$B$13))</f>
        <v>n/a (pre-1990)</v>
      </c>
      <c r="R516" s="15" t="str">
        <f aca="false">IF(J516="","Unknown",IF(J516&gt;=5,"Yes","No (under 5 units)"))</f>
        <v>Yes</v>
      </c>
      <c r="S516" s="15"/>
      <c r="T516" s="18"/>
      <c r="U516" s="19"/>
      <c r="V516" s="18"/>
      <c r="W516" s="18"/>
      <c r="X516" s="20"/>
      <c r="Y516" s="18"/>
      <c r="Z516" s="18"/>
      <c r="AA516" s="21" t="str">
        <f aca="false">IF(U516&lt;&gt;"",(U516-Scoring!$B$3)/365.25,IF(N516="","",IF(N516&lt;Scoring!$B$12,"",(DATE(N516+Scoring!$B$13,12,31)-Scoring!$B$3)/365.25)))</f>
        <v/>
      </c>
      <c r="AB516" s="22" t="n">
        <f aca="false">IF(T516="Y",0,IF(OR(D516="Expired (verified)",D516="Expiring: notice window (verified)",D516="Expiring: 10-yr horizon (verified)",D516="Past 30-yr mark (verify)",D516="30-yr mark: notice window (est.)",D516="Year-15 window"),1,0)+IF(ISNUMBER(O516),IF(O516&gt;=Scoring!$B$10,1,0),0)+IF(AND(ISNUMBER(L516),ISNUMBER(J516)),IF(J516&gt;0,IF(L516/J516&gt;=Scoring!$B$11,1,0),0),0)+IF(ISNUMBER(Z516),MIN(Z516,3),0))</f>
        <v>1</v>
      </c>
      <c r="AC516" s="22" t="n">
        <f aca="false">IF(AB516&gt;=3,Scoring!$C$24,IF(AB516=2,Scoring!$C$23,IF(AB516=1,Scoring!$C$22,0)))</f>
        <v>10</v>
      </c>
      <c r="AD516" s="22" t="n">
        <f aca="false">IF(T516="Y",0,IF(ISNUMBER(X516),IF(X516&gt;0.7,Scoring!$C$25,IF(X516&gt;=0.5,Scoring!$C$26,IF(X516&gt;=0.3,Scoring!$C$27,Scoring!$C$28))),Scoring!$C$29))</f>
        <v>10</v>
      </c>
      <c r="AE516" s="22" t="n">
        <f aca="false">IF(D516="Expiring: notice window (verified)",Scoring!$C$30,IF(OR(D516="Expired (verified)",D516="30-yr mark: notice window (est.)",D516="Year-15 window"),Scoring!$C$31,IF(D516="Expiring: 10-yr horizon (verified)",Scoring!$C$32,IF(D516="Past 30-yr mark (verify)",Scoring!$C$33,IF(OR(D516="Credit period",D516="Superseded record"),Scoring!$C$35,Scoring!$C$34)))))</f>
        <v>4</v>
      </c>
      <c r="AF516" s="22" t="n">
        <f aca="false">IF(T516="Y",0,IF(ISNUMBER(V516),IF(Scoring!$B$4-V516&gt;15,Scoring!$C$36,IF(Scoring!$B$4-V516&gt;=10,Scoring!$C$37,IF(Scoring!$B$4-V516&gt;=5,Scoring!$C$38,Scoring!$C$39))),IF(OR(N516="",D516="Out of program"),Scoring!$C$40,IF(O516&gt;15,Scoring!$C$36,IF(O516&gt;=10,Scoring!$C$37,IF(O516&gt;=5,Scoring!$C$38,Scoring!$C$39))))))</f>
        <v>8</v>
      </c>
      <c r="AG516" s="22" t="n">
        <f aca="false">IF(T516="Y",0,IF(Y516="Y",Scoring!$C$41,IF(ISNUMBER(O516),IF(O516&gt;=25,Scoring!$C$42,IF(O516&gt;=15,Scoring!$C$43,Scoring!$C$44)),Scoring!$C$44)))</f>
        <v>8</v>
      </c>
      <c r="AH516" s="22" t="n">
        <f aca="false">IF(T516="Y",0,IF(W516="",Scoring!$C$49,IFERROR(VLOOKUP(W516,Scoring!$B$45:$C$48,2,FALSE()),Scoring!$C$49)))</f>
        <v>5</v>
      </c>
      <c r="AI516" s="23" t="n">
        <f aca="false">C516+IF(ISNUMBER(J516),J516,0)/100000+(10000-ROW())/1000000000</f>
        <v>45.000109484</v>
      </c>
      <c r="AJ516" s="18"/>
      <c r="AK516" s="18"/>
      <c r="AL516" s="18"/>
      <c r="AM516" s="18"/>
    </row>
    <row r="517" customFormat="false" ht="15" hidden="false" customHeight="false" outlineLevel="0" collapsed="false">
      <c r="A517" s="15" t="n">
        <f aca="false">RANK(AI517,$AI$2:$AI$755)</f>
        <v>516</v>
      </c>
      <c r="B517" s="16" t="str">
        <f aca="false">IF(T517="Y","Superseded",IF(C517&gt;=Scoring!$B$16,"Immediate",IF(C517&gt;=Scoring!$B$17,"This week",IF(C517&gt;=Scoring!$B$18,"Nurture","Low"))))</f>
        <v>Nurture</v>
      </c>
      <c r="C517" s="3" t="n">
        <f aca="false">SUM(AC517:AH517)</f>
        <v>45</v>
      </c>
      <c r="D517" s="15" t="str">
        <f aca="false">IF(T517="Y","Superseded record",IF(AND(U517&lt;&gt;"",AA517&lt;0),"Expired (verified)",IF(AND(U517&lt;&gt;"",AA517&lt;=Scoring!$B$5),"Expiring: notice window (verified)",IF(AND(U517&lt;&gt;"",AA517&lt;=Scoring!$B$6),"Expiring: 10-yr horizon (verified)",IF(M517="No Longer Monitored","Out of program",IF(N517="","Unknown vintage",IF(N517&lt;Scoring!$B$12,"Pre-1990, still listed",IF(AND(U517="",AA517&lt;0),"Past 30-yr mark (verify)",IF(AND(U517="",AA517&lt;=Scoring!$B$5),"30-yr mark: notice window (est.)",IF(AND(O517&gt;=Scoring!$B$7,O517&lt;=Scoring!$B$8),"Year-15 window",IF(O517&gt;=Scoring!$B$9,"Recap window",IF(O517&gt;=11,"Late compliance","Credit period"))))))))))))</f>
        <v>Out of program</v>
      </c>
      <c r="E517" s="15" t="s">
        <v>1896</v>
      </c>
      <c r="F517" s="15" t="s">
        <v>1897</v>
      </c>
      <c r="G517" s="15" t="s">
        <v>1898</v>
      </c>
      <c r="H517" s="15" t="s">
        <v>977</v>
      </c>
      <c r="I517" s="15" t="s">
        <v>978</v>
      </c>
      <c r="J517" s="15" t="n">
        <v>9</v>
      </c>
      <c r="K517" s="15" t="n">
        <v>9</v>
      </c>
      <c r="L517" s="15" t="n">
        <f aca="false">IF(OR(J517="",K517=""),"",MAX(J517-K517,0))</f>
        <v>0</v>
      </c>
      <c r="M517" s="15" t="s">
        <v>1757</v>
      </c>
      <c r="N517" s="17" t="n">
        <v>1988</v>
      </c>
      <c r="O517" s="15" t="n">
        <f aca="false">IF(N517="","",Scoring!$B$4-N517)</f>
        <v>38</v>
      </c>
      <c r="P517" s="15" t="n">
        <f aca="false">IF(N517="","",N517+14)</f>
        <v>2002</v>
      </c>
      <c r="Q517" s="15" t="str">
        <f aca="false">IF(N517="","",IF(N517&lt;Scoring!$B$12,"n/a (pre-1990)",N517+Scoring!$B$13))</f>
        <v>n/a (pre-1990)</v>
      </c>
      <c r="R517" s="15" t="str">
        <f aca="false">IF(J517="","Unknown",IF(J517&gt;=5,"Yes","No (under 5 units)"))</f>
        <v>Yes</v>
      </c>
      <c r="S517" s="15"/>
      <c r="T517" s="18"/>
      <c r="U517" s="19"/>
      <c r="V517" s="18"/>
      <c r="W517" s="18"/>
      <c r="X517" s="20"/>
      <c r="Y517" s="18"/>
      <c r="Z517" s="18"/>
      <c r="AA517" s="21" t="str">
        <f aca="false">IF(U517&lt;&gt;"",(U517-Scoring!$B$3)/365.25,IF(N517="","",IF(N517&lt;Scoring!$B$12,"",(DATE(N517+Scoring!$B$13,12,31)-Scoring!$B$3)/365.25)))</f>
        <v/>
      </c>
      <c r="AB517" s="22" t="n">
        <f aca="false">IF(T517="Y",0,IF(OR(D517="Expired (verified)",D517="Expiring: notice window (verified)",D517="Expiring: 10-yr horizon (verified)",D517="Past 30-yr mark (verify)",D517="30-yr mark: notice window (est.)",D517="Year-15 window"),1,0)+IF(ISNUMBER(O517),IF(O517&gt;=Scoring!$B$10,1,0),0)+IF(AND(ISNUMBER(L517),ISNUMBER(J517)),IF(J517&gt;0,IF(L517/J517&gt;=Scoring!$B$11,1,0),0),0)+IF(ISNUMBER(Z517),MIN(Z517,3),0))</f>
        <v>1</v>
      </c>
      <c r="AC517" s="22" t="n">
        <f aca="false">IF(AB517&gt;=3,Scoring!$C$24,IF(AB517=2,Scoring!$C$23,IF(AB517=1,Scoring!$C$22,0)))</f>
        <v>10</v>
      </c>
      <c r="AD517" s="22" t="n">
        <f aca="false">IF(T517="Y",0,IF(ISNUMBER(X517),IF(X517&gt;0.7,Scoring!$C$25,IF(X517&gt;=0.5,Scoring!$C$26,IF(X517&gt;=0.3,Scoring!$C$27,Scoring!$C$28))),Scoring!$C$29))</f>
        <v>10</v>
      </c>
      <c r="AE517" s="22" t="n">
        <f aca="false">IF(D517="Expiring: notice window (verified)",Scoring!$C$30,IF(OR(D517="Expired (verified)",D517="30-yr mark: notice window (est.)",D517="Year-15 window"),Scoring!$C$31,IF(D517="Expiring: 10-yr horizon (verified)",Scoring!$C$32,IF(D517="Past 30-yr mark (verify)",Scoring!$C$33,IF(OR(D517="Credit period",D517="Superseded record"),Scoring!$C$35,Scoring!$C$34)))))</f>
        <v>4</v>
      </c>
      <c r="AF517" s="22" t="n">
        <f aca="false">IF(T517="Y",0,IF(ISNUMBER(V517),IF(Scoring!$B$4-V517&gt;15,Scoring!$C$36,IF(Scoring!$B$4-V517&gt;=10,Scoring!$C$37,IF(Scoring!$B$4-V517&gt;=5,Scoring!$C$38,Scoring!$C$39))),IF(OR(N517="",D517="Out of program"),Scoring!$C$40,IF(O517&gt;15,Scoring!$C$36,IF(O517&gt;=10,Scoring!$C$37,IF(O517&gt;=5,Scoring!$C$38,Scoring!$C$39))))))</f>
        <v>8</v>
      </c>
      <c r="AG517" s="22" t="n">
        <f aca="false">IF(T517="Y",0,IF(Y517="Y",Scoring!$C$41,IF(ISNUMBER(O517),IF(O517&gt;=25,Scoring!$C$42,IF(O517&gt;=15,Scoring!$C$43,Scoring!$C$44)),Scoring!$C$44)))</f>
        <v>8</v>
      </c>
      <c r="AH517" s="22" t="n">
        <f aca="false">IF(T517="Y",0,IF(W517="",Scoring!$C$49,IFERROR(VLOOKUP(W517,Scoring!$B$45:$C$48,2,FALSE()),Scoring!$C$49)))</f>
        <v>5</v>
      </c>
      <c r="AI517" s="23" t="n">
        <f aca="false">C517+IF(ISNUMBER(J517),J517,0)/100000+(10000-ROW())/1000000000</f>
        <v>45.000099483</v>
      </c>
      <c r="AJ517" s="18"/>
      <c r="AK517" s="18"/>
      <c r="AL517" s="18"/>
      <c r="AM517" s="18"/>
    </row>
    <row r="518" customFormat="false" ht="15" hidden="false" customHeight="false" outlineLevel="0" collapsed="false">
      <c r="A518" s="15" t="n">
        <f aca="false">RANK(AI518,$AI$2:$AI$755)</f>
        <v>517</v>
      </c>
      <c r="B518" s="16" t="str">
        <f aca="false">IF(T518="Y","Superseded",IF(C518&gt;=Scoring!$B$16,"Immediate",IF(C518&gt;=Scoring!$B$17,"This week",IF(C518&gt;=Scoring!$B$18,"Nurture","Low"))))</f>
        <v>Nurture</v>
      </c>
      <c r="C518" s="3" t="n">
        <f aca="false">SUM(AC518:AH518)</f>
        <v>45</v>
      </c>
      <c r="D518" s="15" t="str">
        <f aca="false">IF(T518="Y","Superseded record",IF(AND(U518&lt;&gt;"",AA518&lt;0),"Expired (verified)",IF(AND(U518&lt;&gt;"",AA518&lt;=Scoring!$B$5),"Expiring: notice window (verified)",IF(AND(U518&lt;&gt;"",AA518&lt;=Scoring!$B$6),"Expiring: 10-yr horizon (verified)",IF(M518="No Longer Monitored","Out of program",IF(N518="","Unknown vintage",IF(N518&lt;Scoring!$B$12,"Pre-1990, still listed",IF(AND(U518="",AA518&lt;0),"Past 30-yr mark (verify)",IF(AND(U518="",AA518&lt;=Scoring!$B$5),"30-yr mark: notice window (est.)",IF(AND(O518&gt;=Scoring!$B$7,O518&lt;=Scoring!$B$8),"Year-15 window",IF(O518&gt;=Scoring!$B$9,"Recap window",IF(O518&gt;=11,"Late compliance","Credit period"))))))))))))</f>
        <v>Out of program</v>
      </c>
      <c r="E518" s="15" t="s">
        <v>1899</v>
      </c>
      <c r="F518" s="15" t="s">
        <v>1900</v>
      </c>
      <c r="G518" s="15" t="s">
        <v>1901</v>
      </c>
      <c r="H518" s="15" t="s">
        <v>232</v>
      </c>
      <c r="I518" s="15" t="s">
        <v>640</v>
      </c>
      <c r="J518" s="15" t="n">
        <v>6</v>
      </c>
      <c r="K518" s="15" t="n">
        <v>6</v>
      </c>
      <c r="L518" s="15" t="n">
        <f aca="false">IF(OR(J518="",K518=""),"",MAX(J518-K518,0))</f>
        <v>0</v>
      </c>
      <c r="M518" s="15" t="s">
        <v>1757</v>
      </c>
      <c r="N518" s="17" t="n">
        <v>1989</v>
      </c>
      <c r="O518" s="15" t="n">
        <f aca="false">IF(N518="","",Scoring!$B$4-N518)</f>
        <v>37</v>
      </c>
      <c r="P518" s="15" t="n">
        <f aca="false">IF(N518="","",N518+14)</f>
        <v>2003</v>
      </c>
      <c r="Q518" s="15" t="str">
        <f aca="false">IF(N518="","",IF(N518&lt;Scoring!$B$12,"n/a (pre-1990)",N518+Scoring!$B$13))</f>
        <v>n/a (pre-1990)</v>
      </c>
      <c r="R518" s="15" t="str">
        <f aca="false">IF(J518="","Unknown",IF(J518&gt;=5,"Yes","No (under 5 units)"))</f>
        <v>Yes</v>
      </c>
      <c r="S518" s="15"/>
      <c r="T518" s="18"/>
      <c r="U518" s="19"/>
      <c r="V518" s="18"/>
      <c r="W518" s="18"/>
      <c r="X518" s="20"/>
      <c r="Y518" s="18"/>
      <c r="Z518" s="18"/>
      <c r="AA518" s="21" t="str">
        <f aca="false">IF(U518&lt;&gt;"",(U518-Scoring!$B$3)/365.25,IF(N518="","",IF(N518&lt;Scoring!$B$12,"",(DATE(N518+Scoring!$B$13,12,31)-Scoring!$B$3)/365.25)))</f>
        <v/>
      </c>
      <c r="AB518" s="22" t="n">
        <f aca="false">IF(T518="Y",0,IF(OR(D518="Expired (verified)",D518="Expiring: notice window (verified)",D518="Expiring: 10-yr horizon (verified)",D518="Past 30-yr mark (verify)",D518="30-yr mark: notice window (est.)",D518="Year-15 window"),1,0)+IF(ISNUMBER(O518),IF(O518&gt;=Scoring!$B$10,1,0),0)+IF(AND(ISNUMBER(L518),ISNUMBER(J518)),IF(J518&gt;0,IF(L518/J518&gt;=Scoring!$B$11,1,0),0),0)+IF(ISNUMBER(Z518),MIN(Z518,3),0))</f>
        <v>1</v>
      </c>
      <c r="AC518" s="22" t="n">
        <f aca="false">IF(AB518&gt;=3,Scoring!$C$24,IF(AB518=2,Scoring!$C$23,IF(AB518=1,Scoring!$C$22,0)))</f>
        <v>10</v>
      </c>
      <c r="AD518" s="22" t="n">
        <f aca="false">IF(T518="Y",0,IF(ISNUMBER(X518),IF(X518&gt;0.7,Scoring!$C$25,IF(X518&gt;=0.5,Scoring!$C$26,IF(X518&gt;=0.3,Scoring!$C$27,Scoring!$C$28))),Scoring!$C$29))</f>
        <v>10</v>
      </c>
      <c r="AE518" s="22" t="n">
        <f aca="false">IF(D518="Expiring: notice window (verified)",Scoring!$C$30,IF(OR(D518="Expired (verified)",D518="30-yr mark: notice window (est.)",D518="Year-15 window"),Scoring!$C$31,IF(D518="Expiring: 10-yr horizon (verified)",Scoring!$C$32,IF(D518="Past 30-yr mark (verify)",Scoring!$C$33,IF(OR(D518="Credit period",D518="Superseded record"),Scoring!$C$35,Scoring!$C$34)))))</f>
        <v>4</v>
      </c>
      <c r="AF518" s="22" t="n">
        <f aca="false">IF(T518="Y",0,IF(ISNUMBER(V518),IF(Scoring!$B$4-V518&gt;15,Scoring!$C$36,IF(Scoring!$B$4-V518&gt;=10,Scoring!$C$37,IF(Scoring!$B$4-V518&gt;=5,Scoring!$C$38,Scoring!$C$39))),IF(OR(N518="",D518="Out of program"),Scoring!$C$40,IF(O518&gt;15,Scoring!$C$36,IF(O518&gt;=10,Scoring!$C$37,IF(O518&gt;=5,Scoring!$C$38,Scoring!$C$39))))))</f>
        <v>8</v>
      </c>
      <c r="AG518" s="22" t="n">
        <f aca="false">IF(T518="Y",0,IF(Y518="Y",Scoring!$C$41,IF(ISNUMBER(O518),IF(O518&gt;=25,Scoring!$C$42,IF(O518&gt;=15,Scoring!$C$43,Scoring!$C$44)),Scoring!$C$44)))</f>
        <v>8</v>
      </c>
      <c r="AH518" s="22" t="n">
        <f aca="false">IF(T518="Y",0,IF(W518="",Scoring!$C$49,IFERROR(VLOOKUP(W518,Scoring!$B$45:$C$48,2,FALSE()),Scoring!$C$49)))</f>
        <v>5</v>
      </c>
      <c r="AI518" s="23" t="n">
        <f aca="false">C518+IF(ISNUMBER(J518),J518,0)/100000+(10000-ROW())/1000000000</f>
        <v>45.000069482</v>
      </c>
      <c r="AJ518" s="18"/>
      <c r="AK518" s="18"/>
      <c r="AL518" s="18"/>
      <c r="AM518" s="18"/>
    </row>
    <row r="519" customFormat="false" ht="15" hidden="false" customHeight="false" outlineLevel="0" collapsed="false">
      <c r="A519" s="15" t="n">
        <f aca="false">RANK(AI519,$AI$2:$AI$755)</f>
        <v>518</v>
      </c>
      <c r="B519" s="16" t="str">
        <f aca="false">IF(T519="Y","Superseded",IF(C519&gt;=Scoring!$B$16,"Immediate",IF(C519&gt;=Scoring!$B$17,"This week",IF(C519&gt;=Scoring!$B$18,"Nurture","Low"))))</f>
        <v>Nurture</v>
      </c>
      <c r="C519" s="3" t="n">
        <f aca="false">SUM(AC519:AH519)</f>
        <v>45</v>
      </c>
      <c r="D519" s="15" t="str">
        <f aca="false">IF(T519="Y","Superseded record",IF(AND(U519&lt;&gt;"",AA519&lt;0),"Expired (verified)",IF(AND(U519&lt;&gt;"",AA519&lt;=Scoring!$B$5),"Expiring: notice window (verified)",IF(AND(U519&lt;&gt;"",AA519&lt;=Scoring!$B$6),"Expiring: 10-yr horizon (verified)",IF(M519="No Longer Monitored","Out of program",IF(N519="","Unknown vintage",IF(N519&lt;Scoring!$B$12,"Pre-1990, still listed",IF(AND(U519="",AA519&lt;0),"Past 30-yr mark (verify)",IF(AND(U519="",AA519&lt;=Scoring!$B$5),"30-yr mark: notice window (est.)",IF(AND(O519&gt;=Scoring!$B$7,O519&lt;=Scoring!$B$8),"Year-15 window",IF(O519&gt;=Scoring!$B$9,"Recap window",IF(O519&gt;=11,"Late compliance","Credit period"))))))))))))</f>
        <v>Out of program</v>
      </c>
      <c r="E519" s="15" t="s">
        <v>1902</v>
      </c>
      <c r="F519" s="15" t="s">
        <v>1903</v>
      </c>
      <c r="G519" s="15" t="s">
        <v>1904</v>
      </c>
      <c r="H519" s="15" t="s">
        <v>97</v>
      </c>
      <c r="I519" s="15" t="s">
        <v>362</v>
      </c>
      <c r="J519" s="15" t="n">
        <v>6</v>
      </c>
      <c r="K519" s="15" t="n">
        <v>6</v>
      </c>
      <c r="L519" s="15" t="n">
        <f aca="false">IF(OR(J519="",K519=""),"",MAX(J519-K519,0))</f>
        <v>0</v>
      </c>
      <c r="M519" s="15" t="s">
        <v>1757</v>
      </c>
      <c r="N519" s="17" t="n">
        <v>1989</v>
      </c>
      <c r="O519" s="15" t="n">
        <f aca="false">IF(N519="","",Scoring!$B$4-N519)</f>
        <v>37</v>
      </c>
      <c r="P519" s="15" t="n">
        <f aca="false">IF(N519="","",N519+14)</f>
        <v>2003</v>
      </c>
      <c r="Q519" s="15" t="str">
        <f aca="false">IF(N519="","",IF(N519&lt;Scoring!$B$12,"n/a (pre-1990)",N519+Scoring!$B$13))</f>
        <v>n/a (pre-1990)</v>
      </c>
      <c r="R519" s="15" t="str">
        <f aca="false">IF(J519="","Unknown",IF(J519&gt;=5,"Yes","No (under 5 units)"))</f>
        <v>Yes</v>
      </c>
      <c r="S519" s="15"/>
      <c r="T519" s="18"/>
      <c r="U519" s="19"/>
      <c r="V519" s="18"/>
      <c r="W519" s="18"/>
      <c r="X519" s="20"/>
      <c r="Y519" s="18"/>
      <c r="Z519" s="18"/>
      <c r="AA519" s="21" t="str">
        <f aca="false">IF(U519&lt;&gt;"",(U519-Scoring!$B$3)/365.25,IF(N519="","",IF(N519&lt;Scoring!$B$12,"",(DATE(N519+Scoring!$B$13,12,31)-Scoring!$B$3)/365.25)))</f>
        <v/>
      </c>
      <c r="AB519" s="22" t="n">
        <f aca="false">IF(T519="Y",0,IF(OR(D519="Expired (verified)",D519="Expiring: notice window (verified)",D519="Expiring: 10-yr horizon (verified)",D519="Past 30-yr mark (verify)",D519="30-yr mark: notice window (est.)",D519="Year-15 window"),1,0)+IF(ISNUMBER(O519),IF(O519&gt;=Scoring!$B$10,1,0),0)+IF(AND(ISNUMBER(L519),ISNUMBER(J519)),IF(J519&gt;0,IF(L519/J519&gt;=Scoring!$B$11,1,0),0),0)+IF(ISNUMBER(Z519),MIN(Z519,3),0))</f>
        <v>1</v>
      </c>
      <c r="AC519" s="22" t="n">
        <f aca="false">IF(AB519&gt;=3,Scoring!$C$24,IF(AB519=2,Scoring!$C$23,IF(AB519=1,Scoring!$C$22,0)))</f>
        <v>10</v>
      </c>
      <c r="AD519" s="22" t="n">
        <f aca="false">IF(T519="Y",0,IF(ISNUMBER(X519),IF(X519&gt;0.7,Scoring!$C$25,IF(X519&gt;=0.5,Scoring!$C$26,IF(X519&gt;=0.3,Scoring!$C$27,Scoring!$C$28))),Scoring!$C$29))</f>
        <v>10</v>
      </c>
      <c r="AE519" s="22" t="n">
        <f aca="false">IF(D519="Expiring: notice window (verified)",Scoring!$C$30,IF(OR(D519="Expired (verified)",D519="30-yr mark: notice window (est.)",D519="Year-15 window"),Scoring!$C$31,IF(D519="Expiring: 10-yr horizon (verified)",Scoring!$C$32,IF(D519="Past 30-yr mark (verify)",Scoring!$C$33,IF(OR(D519="Credit period",D519="Superseded record"),Scoring!$C$35,Scoring!$C$34)))))</f>
        <v>4</v>
      </c>
      <c r="AF519" s="22" t="n">
        <f aca="false">IF(T519="Y",0,IF(ISNUMBER(V519),IF(Scoring!$B$4-V519&gt;15,Scoring!$C$36,IF(Scoring!$B$4-V519&gt;=10,Scoring!$C$37,IF(Scoring!$B$4-V519&gt;=5,Scoring!$C$38,Scoring!$C$39))),IF(OR(N519="",D519="Out of program"),Scoring!$C$40,IF(O519&gt;15,Scoring!$C$36,IF(O519&gt;=10,Scoring!$C$37,IF(O519&gt;=5,Scoring!$C$38,Scoring!$C$39))))))</f>
        <v>8</v>
      </c>
      <c r="AG519" s="22" t="n">
        <f aca="false">IF(T519="Y",0,IF(Y519="Y",Scoring!$C$41,IF(ISNUMBER(O519),IF(O519&gt;=25,Scoring!$C$42,IF(O519&gt;=15,Scoring!$C$43,Scoring!$C$44)),Scoring!$C$44)))</f>
        <v>8</v>
      </c>
      <c r="AH519" s="22" t="n">
        <f aca="false">IF(T519="Y",0,IF(W519="",Scoring!$C$49,IFERROR(VLOOKUP(W519,Scoring!$B$45:$C$48,2,FALSE()),Scoring!$C$49)))</f>
        <v>5</v>
      </c>
      <c r="AI519" s="23" t="n">
        <f aca="false">C519+IF(ISNUMBER(J519),J519,0)/100000+(10000-ROW())/1000000000</f>
        <v>45.000069481</v>
      </c>
      <c r="AJ519" s="18"/>
      <c r="AK519" s="18"/>
      <c r="AL519" s="18"/>
      <c r="AM519" s="18"/>
    </row>
    <row r="520" customFormat="false" ht="15" hidden="false" customHeight="false" outlineLevel="0" collapsed="false">
      <c r="A520" s="15" t="n">
        <f aca="false">RANK(AI520,$AI$2:$AI$755)</f>
        <v>519</v>
      </c>
      <c r="B520" s="16" t="str">
        <f aca="false">IF(T520="Y","Superseded",IF(C520&gt;=Scoring!$B$16,"Immediate",IF(C520&gt;=Scoring!$B$17,"This week",IF(C520&gt;=Scoring!$B$18,"Nurture","Low"))))</f>
        <v>Nurture</v>
      </c>
      <c r="C520" s="3" t="n">
        <f aca="false">SUM(AC520:AH520)</f>
        <v>45</v>
      </c>
      <c r="D520" s="15" t="str">
        <f aca="false">IF(T520="Y","Superseded record",IF(AND(U520&lt;&gt;"",AA520&lt;0),"Expired (verified)",IF(AND(U520&lt;&gt;"",AA520&lt;=Scoring!$B$5),"Expiring: notice window (verified)",IF(AND(U520&lt;&gt;"",AA520&lt;=Scoring!$B$6),"Expiring: 10-yr horizon (verified)",IF(M520="No Longer Monitored","Out of program",IF(N520="","Unknown vintage",IF(N520&lt;Scoring!$B$12,"Pre-1990, still listed",IF(AND(U520="",AA520&lt;0),"Past 30-yr mark (verify)",IF(AND(U520="",AA520&lt;=Scoring!$B$5),"30-yr mark: notice window (est.)",IF(AND(O520&gt;=Scoring!$B$7,O520&lt;=Scoring!$B$8),"Year-15 window",IF(O520&gt;=Scoring!$B$9,"Recap window",IF(O520&gt;=11,"Late compliance","Credit period"))))))))))))</f>
        <v>Out of program</v>
      </c>
      <c r="E520" s="15" t="s">
        <v>1905</v>
      </c>
      <c r="F520" s="15" t="s">
        <v>1906</v>
      </c>
      <c r="G520" s="15" t="s">
        <v>1907</v>
      </c>
      <c r="H520" s="15" t="s">
        <v>499</v>
      </c>
      <c r="I520" s="15" t="s">
        <v>500</v>
      </c>
      <c r="J520" s="15" t="n">
        <v>5</v>
      </c>
      <c r="K520" s="15" t="n">
        <v>5</v>
      </c>
      <c r="L520" s="15" t="n">
        <f aca="false">IF(OR(J520="",K520=""),"",MAX(J520-K520,0))</f>
        <v>0</v>
      </c>
      <c r="M520" s="15" t="s">
        <v>1757</v>
      </c>
      <c r="N520" s="17" t="n">
        <v>1988</v>
      </c>
      <c r="O520" s="15" t="n">
        <f aca="false">IF(N520="","",Scoring!$B$4-N520)</f>
        <v>38</v>
      </c>
      <c r="P520" s="15" t="n">
        <f aca="false">IF(N520="","",N520+14)</f>
        <v>2002</v>
      </c>
      <c r="Q520" s="15" t="str">
        <f aca="false">IF(N520="","",IF(N520&lt;Scoring!$B$12,"n/a (pre-1990)",N520+Scoring!$B$13))</f>
        <v>n/a (pre-1990)</v>
      </c>
      <c r="R520" s="15" t="str">
        <f aca="false">IF(J520="","Unknown",IF(J520&gt;=5,"Yes","No (under 5 units)"))</f>
        <v>Yes</v>
      </c>
      <c r="S520" s="15"/>
      <c r="T520" s="18"/>
      <c r="U520" s="19"/>
      <c r="V520" s="18"/>
      <c r="W520" s="18"/>
      <c r="X520" s="20"/>
      <c r="Y520" s="18"/>
      <c r="Z520" s="18"/>
      <c r="AA520" s="21" t="str">
        <f aca="false">IF(U520&lt;&gt;"",(U520-Scoring!$B$3)/365.25,IF(N520="","",IF(N520&lt;Scoring!$B$12,"",(DATE(N520+Scoring!$B$13,12,31)-Scoring!$B$3)/365.25)))</f>
        <v/>
      </c>
      <c r="AB520" s="22" t="n">
        <f aca="false">IF(T520="Y",0,IF(OR(D520="Expired (verified)",D520="Expiring: notice window (verified)",D520="Expiring: 10-yr horizon (verified)",D520="Past 30-yr mark (verify)",D520="30-yr mark: notice window (est.)",D520="Year-15 window"),1,0)+IF(ISNUMBER(O520),IF(O520&gt;=Scoring!$B$10,1,0),0)+IF(AND(ISNUMBER(L520),ISNUMBER(J520)),IF(J520&gt;0,IF(L520/J520&gt;=Scoring!$B$11,1,0),0),0)+IF(ISNUMBER(Z520),MIN(Z520,3),0))</f>
        <v>1</v>
      </c>
      <c r="AC520" s="22" t="n">
        <f aca="false">IF(AB520&gt;=3,Scoring!$C$24,IF(AB520=2,Scoring!$C$23,IF(AB520=1,Scoring!$C$22,0)))</f>
        <v>10</v>
      </c>
      <c r="AD520" s="22" t="n">
        <f aca="false">IF(T520="Y",0,IF(ISNUMBER(X520),IF(X520&gt;0.7,Scoring!$C$25,IF(X520&gt;=0.5,Scoring!$C$26,IF(X520&gt;=0.3,Scoring!$C$27,Scoring!$C$28))),Scoring!$C$29))</f>
        <v>10</v>
      </c>
      <c r="AE520" s="22" t="n">
        <f aca="false">IF(D520="Expiring: notice window (verified)",Scoring!$C$30,IF(OR(D520="Expired (verified)",D520="30-yr mark: notice window (est.)",D520="Year-15 window"),Scoring!$C$31,IF(D520="Expiring: 10-yr horizon (verified)",Scoring!$C$32,IF(D520="Past 30-yr mark (verify)",Scoring!$C$33,IF(OR(D520="Credit period",D520="Superseded record"),Scoring!$C$35,Scoring!$C$34)))))</f>
        <v>4</v>
      </c>
      <c r="AF520" s="22" t="n">
        <f aca="false">IF(T520="Y",0,IF(ISNUMBER(V520),IF(Scoring!$B$4-V520&gt;15,Scoring!$C$36,IF(Scoring!$B$4-V520&gt;=10,Scoring!$C$37,IF(Scoring!$B$4-V520&gt;=5,Scoring!$C$38,Scoring!$C$39))),IF(OR(N520="",D520="Out of program"),Scoring!$C$40,IF(O520&gt;15,Scoring!$C$36,IF(O520&gt;=10,Scoring!$C$37,IF(O520&gt;=5,Scoring!$C$38,Scoring!$C$39))))))</f>
        <v>8</v>
      </c>
      <c r="AG520" s="22" t="n">
        <f aca="false">IF(T520="Y",0,IF(Y520="Y",Scoring!$C$41,IF(ISNUMBER(O520),IF(O520&gt;=25,Scoring!$C$42,IF(O520&gt;=15,Scoring!$C$43,Scoring!$C$44)),Scoring!$C$44)))</f>
        <v>8</v>
      </c>
      <c r="AH520" s="22" t="n">
        <f aca="false">IF(T520="Y",0,IF(W520="",Scoring!$C$49,IFERROR(VLOOKUP(W520,Scoring!$B$45:$C$48,2,FALSE()),Scoring!$C$49)))</f>
        <v>5</v>
      </c>
      <c r="AI520" s="23" t="n">
        <f aca="false">C520+IF(ISNUMBER(J520),J520,0)/100000+(10000-ROW())/1000000000</f>
        <v>45.00005948</v>
      </c>
      <c r="AJ520" s="18"/>
      <c r="AK520" s="18"/>
      <c r="AL520" s="18"/>
      <c r="AM520" s="18"/>
    </row>
    <row r="521" customFormat="false" ht="15" hidden="false" customHeight="false" outlineLevel="0" collapsed="false">
      <c r="A521" s="15" t="n">
        <f aca="false">RANK(AI521,$AI$2:$AI$755)</f>
        <v>520</v>
      </c>
      <c r="B521" s="16" t="str">
        <f aca="false">IF(T521="Y","Superseded",IF(C521&gt;=Scoring!$B$16,"Immediate",IF(C521&gt;=Scoring!$B$17,"This week",IF(C521&gt;=Scoring!$B$18,"Nurture","Low"))))</f>
        <v>Nurture</v>
      </c>
      <c r="C521" s="3" t="n">
        <f aca="false">SUM(AC521:AH521)</f>
        <v>45</v>
      </c>
      <c r="D521" s="15" t="str">
        <f aca="false">IF(T521="Y","Superseded record",IF(AND(U521&lt;&gt;"",AA521&lt;0),"Expired (verified)",IF(AND(U521&lt;&gt;"",AA521&lt;=Scoring!$B$5),"Expiring: notice window (verified)",IF(AND(U521&lt;&gt;"",AA521&lt;=Scoring!$B$6),"Expiring: 10-yr horizon (verified)",IF(M521="No Longer Monitored","Out of program",IF(N521="","Unknown vintage",IF(N521&lt;Scoring!$B$12,"Pre-1990, still listed",IF(AND(U521="",AA521&lt;0),"Past 30-yr mark (verify)",IF(AND(U521="",AA521&lt;=Scoring!$B$5),"30-yr mark: notice window (est.)",IF(AND(O521&gt;=Scoring!$B$7,O521&lt;=Scoring!$B$8),"Year-15 window",IF(O521&gt;=Scoring!$B$9,"Recap window",IF(O521&gt;=11,"Late compliance","Credit period"))))))))))))</f>
        <v>Out of program</v>
      </c>
      <c r="E521" s="15" t="s">
        <v>1908</v>
      </c>
      <c r="F521" s="15" t="s">
        <v>1909</v>
      </c>
      <c r="G521" s="15" t="s">
        <v>1910</v>
      </c>
      <c r="H521" s="15" t="s">
        <v>455</v>
      </c>
      <c r="I521" s="15" t="s">
        <v>1165</v>
      </c>
      <c r="J521" s="15" t="n">
        <v>4</v>
      </c>
      <c r="K521" s="15" t="n">
        <v>4</v>
      </c>
      <c r="L521" s="15" t="n">
        <f aca="false">IF(OR(J521="",K521=""),"",MAX(J521-K521,0))</f>
        <v>0</v>
      </c>
      <c r="M521" s="15" t="s">
        <v>1757</v>
      </c>
      <c r="N521" s="17" t="n">
        <v>1988</v>
      </c>
      <c r="O521" s="15" t="n">
        <f aca="false">IF(N521="","",Scoring!$B$4-N521)</f>
        <v>38</v>
      </c>
      <c r="P521" s="15" t="n">
        <f aca="false">IF(N521="","",N521+14)</f>
        <v>2002</v>
      </c>
      <c r="Q521" s="15" t="str">
        <f aca="false">IF(N521="","",IF(N521&lt;Scoring!$B$12,"n/a (pre-1990)",N521+Scoring!$B$13))</f>
        <v>n/a (pre-1990)</v>
      </c>
      <c r="R521" s="15" t="str">
        <f aca="false">IF(J521="","Unknown",IF(J521&gt;=5,"Yes","No (under 5 units)"))</f>
        <v>No (under 5 units)</v>
      </c>
      <c r="S521" s="15"/>
      <c r="T521" s="18"/>
      <c r="U521" s="19"/>
      <c r="V521" s="18"/>
      <c r="W521" s="18"/>
      <c r="X521" s="20"/>
      <c r="Y521" s="18"/>
      <c r="Z521" s="18"/>
      <c r="AA521" s="21" t="str">
        <f aca="false">IF(U521&lt;&gt;"",(U521-Scoring!$B$3)/365.25,IF(N521="","",IF(N521&lt;Scoring!$B$12,"",(DATE(N521+Scoring!$B$13,12,31)-Scoring!$B$3)/365.25)))</f>
        <v/>
      </c>
      <c r="AB521" s="22" t="n">
        <f aca="false">IF(T521="Y",0,IF(OR(D521="Expired (verified)",D521="Expiring: notice window (verified)",D521="Expiring: 10-yr horizon (verified)",D521="Past 30-yr mark (verify)",D521="30-yr mark: notice window (est.)",D521="Year-15 window"),1,0)+IF(ISNUMBER(O521),IF(O521&gt;=Scoring!$B$10,1,0),0)+IF(AND(ISNUMBER(L521),ISNUMBER(J521)),IF(J521&gt;0,IF(L521/J521&gt;=Scoring!$B$11,1,0),0),0)+IF(ISNUMBER(Z521),MIN(Z521,3),0))</f>
        <v>1</v>
      </c>
      <c r="AC521" s="22" t="n">
        <f aca="false">IF(AB521&gt;=3,Scoring!$C$24,IF(AB521=2,Scoring!$C$23,IF(AB521=1,Scoring!$C$22,0)))</f>
        <v>10</v>
      </c>
      <c r="AD521" s="22" t="n">
        <f aca="false">IF(T521="Y",0,IF(ISNUMBER(X521),IF(X521&gt;0.7,Scoring!$C$25,IF(X521&gt;=0.5,Scoring!$C$26,IF(X521&gt;=0.3,Scoring!$C$27,Scoring!$C$28))),Scoring!$C$29))</f>
        <v>10</v>
      </c>
      <c r="AE521" s="22" t="n">
        <f aca="false">IF(D521="Expiring: notice window (verified)",Scoring!$C$30,IF(OR(D521="Expired (verified)",D521="30-yr mark: notice window (est.)",D521="Year-15 window"),Scoring!$C$31,IF(D521="Expiring: 10-yr horizon (verified)",Scoring!$C$32,IF(D521="Past 30-yr mark (verify)",Scoring!$C$33,IF(OR(D521="Credit period",D521="Superseded record"),Scoring!$C$35,Scoring!$C$34)))))</f>
        <v>4</v>
      </c>
      <c r="AF521" s="22" t="n">
        <f aca="false">IF(T521="Y",0,IF(ISNUMBER(V521),IF(Scoring!$B$4-V521&gt;15,Scoring!$C$36,IF(Scoring!$B$4-V521&gt;=10,Scoring!$C$37,IF(Scoring!$B$4-V521&gt;=5,Scoring!$C$38,Scoring!$C$39))),IF(OR(N521="",D521="Out of program"),Scoring!$C$40,IF(O521&gt;15,Scoring!$C$36,IF(O521&gt;=10,Scoring!$C$37,IF(O521&gt;=5,Scoring!$C$38,Scoring!$C$39))))))</f>
        <v>8</v>
      </c>
      <c r="AG521" s="22" t="n">
        <f aca="false">IF(T521="Y",0,IF(Y521="Y",Scoring!$C$41,IF(ISNUMBER(O521),IF(O521&gt;=25,Scoring!$C$42,IF(O521&gt;=15,Scoring!$C$43,Scoring!$C$44)),Scoring!$C$44)))</f>
        <v>8</v>
      </c>
      <c r="AH521" s="22" t="n">
        <f aca="false">IF(T521="Y",0,IF(W521="",Scoring!$C$49,IFERROR(VLOOKUP(W521,Scoring!$B$45:$C$48,2,FALSE()),Scoring!$C$49)))</f>
        <v>5</v>
      </c>
      <c r="AI521" s="23" t="n">
        <f aca="false">C521+IF(ISNUMBER(J521),J521,0)/100000+(10000-ROW())/1000000000</f>
        <v>45.000049479</v>
      </c>
      <c r="AJ521" s="18"/>
      <c r="AK521" s="18"/>
      <c r="AL521" s="18"/>
      <c r="AM521" s="18"/>
    </row>
    <row r="522" customFormat="false" ht="15" hidden="false" customHeight="false" outlineLevel="0" collapsed="false">
      <c r="A522" s="15" t="n">
        <f aca="false">RANK(AI522,$AI$2:$AI$755)</f>
        <v>521</v>
      </c>
      <c r="B522" s="16" t="str">
        <f aca="false">IF(T522="Y","Superseded",IF(C522&gt;=Scoring!$B$16,"Immediate",IF(C522&gt;=Scoring!$B$17,"This week",IF(C522&gt;=Scoring!$B$18,"Nurture","Low"))))</f>
        <v>Nurture</v>
      </c>
      <c r="C522" s="3" t="n">
        <f aca="false">SUM(AC522:AH522)</f>
        <v>45</v>
      </c>
      <c r="D522" s="15" t="str">
        <f aca="false">IF(T522="Y","Superseded record",IF(AND(U522&lt;&gt;"",AA522&lt;0),"Expired (verified)",IF(AND(U522&lt;&gt;"",AA522&lt;=Scoring!$B$5),"Expiring: notice window (verified)",IF(AND(U522&lt;&gt;"",AA522&lt;=Scoring!$B$6),"Expiring: 10-yr horizon (verified)",IF(M522="No Longer Monitored","Out of program",IF(N522="","Unknown vintage",IF(N522&lt;Scoring!$B$12,"Pre-1990, still listed",IF(AND(U522="",AA522&lt;0),"Past 30-yr mark (verify)",IF(AND(U522="",AA522&lt;=Scoring!$B$5),"30-yr mark: notice window (est.)",IF(AND(O522&gt;=Scoring!$B$7,O522&lt;=Scoring!$B$8),"Year-15 window",IF(O522&gt;=Scoring!$B$9,"Recap window",IF(O522&gt;=11,"Late compliance","Credit period"))))))))))))</f>
        <v>Out of program</v>
      </c>
      <c r="E522" s="15" t="s">
        <v>1911</v>
      </c>
      <c r="F522" s="15" t="s">
        <v>1912</v>
      </c>
      <c r="G522" s="15" t="s">
        <v>1913</v>
      </c>
      <c r="H522" s="15" t="s">
        <v>455</v>
      </c>
      <c r="I522" s="15" t="s">
        <v>1165</v>
      </c>
      <c r="J522" s="15" t="n">
        <v>4</v>
      </c>
      <c r="K522" s="15" t="n">
        <v>4</v>
      </c>
      <c r="L522" s="15" t="n">
        <f aca="false">IF(OR(J522="",K522=""),"",MAX(J522-K522,0))</f>
        <v>0</v>
      </c>
      <c r="M522" s="15" t="s">
        <v>1757</v>
      </c>
      <c r="N522" s="17" t="n">
        <v>1988</v>
      </c>
      <c r="O522" s="15" t="n">
        <f aca="false">IF(N522="","",Scoring!$B$4-N522)</f>
        <v>38</v>
      </c>
      <c r="P522" s="15" t="n">
        <f aca="false">IF(N522="","",N522+14)</f>
        <v>2002</v>
      </c>
      <c r="Q522" s="15" t="str">
        <f aca="false">IF(N522="","",IF(N522&lt;Scoring!$B$12,"n/a (pre-1990)",N522+Scoring!$B$13))</f>
        <v>n/a (pre-1990)</v>
      </c>
      <c r="R522" s="15" t="str">
        <f aca="false">IF(J522="","Unknown",IF(J522&gt;=5,"Yes","No (under 5 units)"))</f>
        <v>No (under 5 units)</v>
      </c>
      <c r="S522" s="15"/>
      <c r="T522" s="18"/>
      <c r="U522" s="19"/>
      <c r="V522" s="18"/>
      <c r="W522" s="18"/>
      <c r="X522" s="20"/>
      <c r="Y522" s="18"/>
      <c r="Z522" s="18"/>
      <c r="AA522" s="21" t="str">
        <f aca="false">IF(U522&lt;&gt;"",(U522-Scoring!$B$3)/365.25,IF(N522="","",IF(N522&lt;Scoring!$B$12,"",(DATE(N522+Scoring!$B$13,12,31)-Scoring!$B$3)/365.25)))</f>
        <v/>
      </c>
      <c r="AB522" s="22" t="n">
        <f aca="false">IF(T522="Y",0,IF(OR(D522="Expired (verified)",D522="Expiring: notice window (verified)",D522="Expiring: 10-yr horizon (verified)",D522="Past 30-yr mark (verify)",D522="30-yr mark: notice window (est.)",D522="Year-15 window"),1,0)+IF(ISNUMBER(O522),IF(O522&gt;=Scoring!$B$10,1,0),0)+IF(AND(ISNUMBER(L522),ISNUMBER(J522)),IF(J522&gt;0,IF(L522/J522&gt;=Scoring!$B$11,1,0),0),0)+IF(ISNUMBER(Z522),MIN(Z522,3),0))</f>
        <v>1</v>
      </c>
      <c r="AC522" s="22" t="n">
        <f aca="false">IF(AB522&gt;=3,Scoring!$C$24,IF(AB522=2,Scoring!$C$23,IF(AB522=1,Scoring!$C$22,0)))</f>
        <v>10</v>
      </c>
      <c r="AD522" s="22" t="n">
        <f aca="false">IF(T522="Y",0,IF(ISNUMBER(X522),IF(X522&gt;0.7,Scoring!$C$25,IF(X522&gt;=0.5,Scoring!$C$26,IF(X522&gt;=0.3,Scoring!$C$27,Scoring!$C$28))),Scoring!$C$29))</f>
        <v>10</v>
      </c>
      <c r="AE522" s="22" t="n">
        <f aca="false">IF(D522="Expiring: notice window (verified)",Scoring!$C$30,IF(OR(D522="Expired (verified)",D522="30-yr mark: notice window (est.)",D522="Year-15 window"),Scoring!$C$31,IF(D522="Expiring: 10-yr horizon (verified)",Scoring!$C$32,IF(D522="Past 30-yr mark (verify)",Scoring!$C$33,IF(OR(D522="Credit period",D522="Superseded record"),Scoring!$C$35,Scoring!$C$34)))))</f>
        <v>4</v>
      </c>
      <c r="AF522" s="22" t="n">
        <f aca="false">IF(T522="Y",0,IF(ISNUMBER(V522),IF(Scoring!$B$4-V522&gt;15,Scoring!$C$36,IF(Scoring!$B$4-V522&gt;=10,Scoring!$C$37,IF(Scoring!$B$4-V522&gt;=5,Scoring!$C$38,Scoring!$C$39))),IF(OR(N522="",D522="Out of program"),Scoring!$C$40,IF(O522&gt;15,Scoring!$C$36,IF(O522&gt;=10,Scoring!$C$37,IF(O522&gt;=5,Scoring!$C$38,Scoring!$C$39))))))</f>
        <v>8</v>
      </c>
      <c r="AG522" s="22" t="n">
        <f aca="false">IF(T522="Y",0,IF(Y522="Y",Scoring!$C$41,IF(ISNUMBER(O522),IF(O522&gt;=25,Scoring!$C$42,IF(O522&gt;=15,Scoring!$C$43,Scoring!$C$44)),Scoring!$C$44)))</f>
        <v>8</v>
      </c>
      <c r="AH522" s="22" t="n">
        <f aca="false">IF(T522="Y",0,IF(W522="",Scoring!$C$49,IFERROR(VLOOKUP(W522,Scoring!$B$45:$C$48,2,FALSE()),Scoring!$C$49)))</f>
        <v>5</v>
      </c>
      <c r="AI522" s="23" t="n">
        <f aca="false">C522+IF(ISNUMBER(J522),J522,0)/100000+(10000-ROW())/1000000000</f>
        <v>45.000049478</v>
      </c>
      <c r="AJ522" s="18"/>
      <c r="AK522" s="18"/>
      <c r="AL522" s="18"/>
      <c r="AM522" s="18"/>
    </row>
    <row r="523" customFormat="false" ht="15" hidden="false" customHeight="false" outlineLevel="0" collapsed="false">
      <c r="A523" s="15" t="n">
        <f aca="false">RANK(AI523,$AI$2:$AI$755)</f>
        <v>522</v>
      </c>
      <c r="B523" s="16" t="str">
        <f aca="false">IF(T523="Y","Superseded",IF(C523&gt;=Scoring!$B$16,"Immediate",IF(C523&gt;=Scoring!$B$17,"This week",IF(C523&gt;=Scoring!$B$18,"Nurture","Low"))))</f>
        <v>Nurture</v>
      </c>
      <c r="C523" s="3" t="n">
        <f aca="false">SUM(AC523:AH523)</f>
        <v>45</v>
      </c>
      <c r="D523" s="15" t="str">
        <f aca="false">IF(T523="Y","Superseded record",IF(AND(U523&lt;&gt;"",AA523&lt;0),"Expired (verified)",IF(AND(U523&lt;&gt;"",AA523&lt;=Scoring!$B$5),"Expiring: notice window (verified)",IF(AND(U523&lt;&gt;"",AA523&lt;=Scoring!$B$6),"Expiring: 10-yr horizon (verified)",IF(M523="No Longer Monitored","Out of program",IF(N523="","Unknown vintage",IF(N523&lt;Scoring!$B$12,"Pre-1990, still listed",IF(AND(U523="",AA523&lt;0),"Past 30-yr mark (verify)",IF(AND(U523="",AA523&lt;=Scoring!$B$5),"30-yr mark: notice window (est.)",IF(AND(O523&gt;=Scoring!$B$7,O523&lt;=Scoring!$B$8),"Year-15 window",IF(O523&gt;=Scoring!$B$9,"Recap window",IF(O523&gt;=11,"Late compliance","Credit period"))))))))))))</f>
        <v>Out of program</v>
      </c>
      <c r="E523" s="15" t="s">
        <v>1914</v>
      </c>
      <c r="F523" s="15" t="s">
        <v>1915</v>
      </c>
      <c r="G523" s="15" t="s">
        <v>1916</v>
      </c>
      <c r="H523" s="15" t="s">
        <v>97</v>
      </c>
      <c r="I523" s="15" t="s">
        <v>587</v>
      </c>
      <c r="J523" s="15" t="n">
        <v>4</v>
      </c>
      <c r="K523" s="15" t="n">
        <v>4</v>
      </c>
      <c r="L523" s="15" t="n">
        <f aca="false">IF(OR(J523="",K523=""),"",MAX(J523-K523,0))</f>
        <v>0</v>
      </c>
      <c r="M523" s="15" t="s">
        <v>1757</v>
      </c>
      <c r="N523" s="17" t="n">
        <v>1988</v>
      </c>
      <c r="O523" s="15" t="n">
        <f aca="false">IF(N523="","",Scoring!$B$4-N523)</f>
        <v>38</v>
      </c>
      <c r="P523" s="15" t="n">
        <f aca="false">IF(N523="","",N523+14)</f>
        <v>2002</v>
      </c>
      <c r="Q523" s="15" t="str">
        <f aca="false">IF(N523="","",IF(N523&lt;Scoring!$B$12,"n/a (pre-1990)",N523+Scoring!$B$13))</f>
        <v>n/a (pre-1990)</v>
      </c>
      <c r="R523" s="15" t="str">
        <f aca="false">IF(J523="","Unknown",IF(J523&gt;=5,"Yes","No (under 5 units)"))</f>
        <v>No (under 5 units)</v>
      </c>
      <c r="S523" s="15"/>
      <c r="T523" s="18"/>
      <c r="U523" s="19"/>
      <c r="V523" s="18"/>
      <c r="W523" s="18"/>
      <c r="X523" s="20"/>
      <c r="Y523" s="18"/>
      <c r="Z523" s="18"/>
      <c r="AA523" s="21" t="str">
        <f aca="false">IF(U523&lt;&gt;"",(U523-Scoring!$B$3)/365.25,IF(N523="","",IF(N523&lt;Scoring!$B$12,"",(DATE(N523+Scoring!$B$13,12,31)-Scoring!$B$3)/365.25)))</f>
        <v/>
      </c>
      <c r="AB523" s="22" t="n">
        <f aca="false">IF(T523="Y",0,IF(OR(D523="Expired (verified)",D523="Expiring: notice window (verified)",D523="Expiring: 10-yr horizon (verified)",D523="Past 30-yr mark (verify)",D523="30-yr mark: notice window (est.)",D523="Year-15 window"),1,0)+IF(ISNUMBER(O523),IF(O523&gt;=Scoring!$B$10,1,0),0)+IF(AND(ISNUMBER(L523),ISNUMBER(J523)),IF(J523&gt;0,IF(L523/J523&gt;=Scoring!$B$11,1,0),0),0)+IF(ISNUMBER(Z523),MIN(Z523,3),0))</f>
        <v>1</v>
      </c>
      <c r="AC523" s="22" t="n">
        <f aca="false">IF(AB523&gt;=3,Scoring!$C$24,IF(AB523=2,Scoring!$C$23,IF(AB523=1,Scoring!$C$22,0)))</f>
        <v>10</v>
      </c>
      <c r="AD523" s="22" t="n">
        <f aca="false">IF(T523="Y",0,IF(ISNUMBER(X523),IF(X523&gt;0.7,Scoring!$C$25,IF(X523&gt;=0.5,Scoring!$C$26,IF(X523&gt;=0.3,Scoring!$C$27,Scoring!$C$28))),Scoring!$C$29))</f>
        <v>10</v>
      </c>
      <c r="AE523" s="22" t="n">
        <f aca="false">IF(D523="Expiring: notice window (verified)",Scoring!$C$30,IF(OR(D523="Expired (verified)",D523="30-yr mark: notice window (est.)",D523="Year-15 window"),Scoring!$C$31,IF(D523="Expiring: 10-yr horizon (verified)",Scoring!$C$32,IF(D523="Past 30-yr mark (verify)",Scoring!$C$33,IF(OR(D523="Credit period",D523="Superseded record"),Scoring!$C$35,Scoring!$C$34)))))</f>
        <v>4</v>
      </c>
      <c r="AF523" s="22" t="n">
        <f aca="false">IF(T523="Y",0,IF(ISNUMBER(V523),IF(Scoring!$B$4-V523&gt;15,Scoring!$C$36,IF(Scoring!$B$4-V523&gt;=10,Scoring!$C$37,IF(Scoring!$B$4-V523&gt;=5,Scoring!$C$38,Scoring!$C$39))),IF(OR(N523="",D523="Out of program"),Scoring!$C$40,IF(O523&gt;15,Scoring!$C$36,IF(O523&gt;=10,Scoring!$C$37,IF(O523&gt;=5,Scoring!$C$38,Scoring!$C$39))))))</f>
        <v>8</v>
      </c>
      <c r="AG523" s="22" t="n">
        <f aca="false">IF(T523="Y",0,IF(Y523="Y",Scoring!$C$41,IF(ISNUMBER(O523),IF(O523&gt;=25,Scoring!$C$42,IF(O523&gt;=15,Scoring!$C$43,Scoring!$C$44)),Scoring!$C$44)))</f>
        <v>8</v>
      </c>
      <c r="AH523" s="22" t="n">
        <f aca="false">IF(T523="Y",0,IF(W523="",Scoring!$C$49,IFERROR(VLOOKUP(W523,Scoring!$B$45:$C$48,2,FALSE()),Scoring!$C$49)))</f>
        <v>5</v>
      </c>
      <c r="AI523" s="23" t="n">
        <f aca="false">C523+IF(ISNUMBER(J523),J523,0)/100000+(10000-ROW())/1000000000</f>
        <v>45.000049477</v>
      </c>
      <c r="AJ523" s="18"/>
      <c r="AK523" s="18"/>
      <c r="AL523" s="18"/>
      <c r="AM523" s="18"/>
    </row>
    <row r="524" customFormat="false" ht="15" hidden="false" customHeight="false" outlineLevel="0" collapsed="false">
      <c r="A524" s="15" t="n">
        <f aca="false">RANK(AI524,$AI$2:$AI$755)</f>
        <v>523</v>
      </c>
      <c r="B524" s="16" t="str">
        <f aca="false">IF(T524="Y","Superseded",IF(C524&gt;=Scoring!$B$16,"Immediate",IF(C524&gt;=Scoring!$B$17,"This week",IF(C524&gt;=Scoring!$B$18,"Nurture","Low"))))</f>
        <v>Nurture</v>
      </c>
      <c r="C524" s="3" t="n">
        <f aca="false">SUM(AC524:AH524)</f>
        <v>45</v>
      </c>
      <c r="D524" s="15" t="str">
        <f aca="false">IF(T524="Y","Superseded record",IF(AND(U524&lt;&gt;"",AA524&lt;0),"Expired (verified)",IF(AND(U524&lt;&gt;"",AA524&lt;=Scoring!$B$5),"Expiring: notice window (verified)",IF(AND(U524&lt;&gt;"",AA524&lt;=Scoring!$B$6),"Expiring: 10-yr horizon (verified)",IF(M524="No Longer Monitored","Out of program",IF(N524="","Unknown vintage",IF(N524&lt;Scoring!$B$12,"Pre-1990, still listed",IF(AND(U524="",AA524&lt;0),"Past 30-yr mark (verify)",IF(AND(U524="",AA524&lt;=Scoring!$B$5),"30-yr mark: notice window (est.)",IF(AND(O524&gt;=Scoring!$B$7,O524&lt;=Scoring!$B$8),"Year-15 window",IF(O524&gt;=Scoring!$B$9,"Recap window",IF(O524&gt;=11,"Late compliance","Credit period"))))))))))))</f>
        <v>Out of program</v>
      </c>
      <c r="E524" s="15" t="s">
        <v>1917</v>
      </c>
      <c r="F524" s="15" t="s">
        <v>1918</v>
      </c>
      <c r="G524" s="15" t="s">
        <v>1919</v>
      </c>
      <c r="H524" s="15" t="s">
        <v>455</v>
      </c>
      <c r="I524" s="15" t="s">
        <v>1165</v>
      </c>
      <c r="J524" s="15" t="n">
        <v>4</v>
      </c>
      <c r="K524" s="15" t="n">
        <v>4</v>
      </c>
      <c r="L524" s="15" t="n">
        <f aca="false">IF(OR(J524="",K524=""),"",MAX(J524-K524,0))</f>
        <v>0</v>
      </c>
      <c r="M524" s="15" t="s">
        <v>1757</v>
      </c>
      <c r="N524" s="17" t="n">
        <v>1988</v>
      </c>
      <c r="O524" s="15" t="n">
        <f aca="false">IF(N524="","",Scoring!$B$4-N524)</f>
        <v>38</v>
      </c>
      <c r="P524" s="15" t="n">
        <f aca="false">IF(N524="","",N524+14)</f>
        <v>2002</v>
      </c>
      <c r="Q524" s="15" t="str">
        <f aca="false">IF(N524="","",IF(N524&lt;Scoring!$B$12,"n/a (pre-1990)",N524+Scoring!$B$13))</f>
        <v>n/a (pre-1990)</v>
      </c>
      <c r="R524" s="15" t="str">
        <f aca="false">IF(J524="","Unknown",IF(J524&gt;=5,"Yes","No (under 5 units)"))</f>
        <v>No (under 5 units)</v>
      </c>
      <c r="S524" s="15"/>
      <c r="T524" s="18"/>
      <c r="U524" s="19"/>
      <c r="V524" s="18"/>
      <c r="W524" s="18"/>
      <c r="X524" s="20"/>
      <c r="Y524" s="18"/>
      <c r="Z524" s="18"/>
      <c r="AA524" s="21" t="str">
        <f aca="false">IF(U524&lt;&gt;"",(U524-Scoring!$B$3)/365.25,IF(N524="","",IF(N524&lt;Scoring!$B$12,"",(DATE(N524+Scoring!$B$13,12,31)-Scoring!$B$3)/365.25)))</f>
        <v/>
      </c>
      <c r="AB524" s="22" t="n">
        <f aca="false">IF(T524="Y",0,IF(OR(D524="Expired (verified)",D524="Expiring: notice window (verified)",D524="Expiring: 10-yr horizon (verified)",D524="Past 30-yr mark (verify)",D524="30-yr mark: notice window (est.)",D524="Year-15 window"),1,0)+IF(ISNUMBER(O524),IF(O524&gt;=Scoring!$B$10,1,0),0)+IF(AND(ISNUMBER(L524),ISNUMBER(J524)),IF(J524&gt;0,IF(L524/J524&gt;=Scoring!$B$11,1,0),0),0)+IF(ISNUMBER(Z524),MIN(Z524,3),0))</f>
        <v>1</v>
      </c>
      <c r="AC524" s="22" t="n">
        <f aca="false">IF(AB524&gt;=3,Scoring!$C$24,IF(AB524=2,Scoring!$C$23,IF(AB524=1,Scoring!$C$22,0)))</f>
        <v>10</v>
      </c>
      <c r="AD524" s="22" t="n">
        <f aca="false">IF(T524="Y",0,IF(ISNUMBER(X524),IF(X524&gt;0.7,Scoring!$C$25,IF(X524&gt;=0.5,Scoring!$C$26,IF(X524&gt;=0.3,Scoring!$C$27,Scoring!$C$28))),Scoring!$C$29))</f>
        <v>10</v>
      </c>
      <c r="AE524" s="22" t="n">
        <f aca="false">IF(D524="Expiring: notice window (verified)",Scoring!$C$30,IF(OR(D524="Expired (verified)",D524="30-yr mark: notice window (est.)",D524="Year-15 window"),Scoring!$C$31,IF(D524="Expiring: 10-yr horizon (verified)",Scoring!$C$32,IF(D524="Past 30-yr mark (verify)",Scoring!$C$33,IF(OR(D524="Credit period",D524="Superseded record"),Scoring!$C$35,Scoring!$C$34)))))</f>
        <v>4</v>
      </c>
      <c r="AF524" s="22" t="n">
        <f aca="false">IF(T524="Y",0,IF(ISNUMBER(V524),IF(Scoring!$B$4-V524&gt;15,Scoring!$C$36,IF(Scoring!$B$4-V524&gt;=10,Scoring!$C$37,IF(Scoring!$B$4-V524&gt;=5,Scoring!$C$38,Scoring!$C$39))),IF(OR(N524="",D524="Out of program"),Scoring!$C$40,IF(O524&gt;15,Scoring!$C$36,IF(O524&gt;=10,Scoring!$C$37,IF(O524&gt;=5,Scoring!$C$38,Scoring!$C$39))))))</f>
        <v>8</v>
      </c>
      <c r="AG524" s="22" t="n">
        <f aca="false">IF(T524="Y",0,IF(Y524="Y",Scoring!$C$41,IF(ISNUMBER(O524),IF(O524&gt;=25,Scoring!$C$42,IF(O524&gt;=15,Scoring!$C$43,Scoring!$C$44)),Scoring!$C$44)))</f>
        <v>8</v>
      </c>
      <c r="AH524" s="22" t="n">
        <f aca="false">IF(T524="Y",0,IF(W524="",Scoring!$C$49,IFERROR(VLOOKUP(W524,Scoring!$B$45:$C$48,2,FALSE()),Scoring!$C$49)))</f>
        <v>5</v>
      </c>
      <c r="AI524" s="23" t="n">
        <f aca="false">C524+IF(ISNUMBER(J524),J524,0)/100000+(10000-ROW())/1000000000</f>
        <v>45.000049476</v>
      </c>
      <c r="AJ524" s="18"/>
      <c r="AK524" s="18"/>
      <c r="AL524" s="18"/>
      <c r="AM524" s="18"/>
    </row>
    <row r="525" customFormat="false" ht="15" hidden="false" customHeight="false" outlineLevel="0" collapsed="false">
      <c r="A525" s="15" t="n">
        <f aca="false">RANK(AI525,$AI$2:$AI$755)</f>
        <v>524</v>
      </c>
      <c r="B525" s="16" t="str">
        <f aca="false">IF(T525="Y","Superseded",IF(C525&gt;=Scoring!$B$16,"Immediate",IF(C525&gt;=Scoring!$B$17,"This week",IF(C525&gt;=Scoring!$B$18,"Nurture","Low"))))</f>
        <v>Nurture</v>
      </c>
      <c r="C525" s="3" t="n">
        <f aca="false">SUM(AC525:AH525)</f>
        <v>45</v>
      </c>
      <c r="D525" s="15" t="str">
        <f aca="false">IF(T525="Y","Superseded record",IF(AND(U525&lt;&gt;"",AA525&lt;0),"Expired (verified)",IF(AND(U525&lt;&gt;"",AA525&lt;=Scoring!$B$5),"Expiring: notice window (verified)",IF(AND(U525&lt;&gt;"",AA525&lt;=Scoring!$B$6),"Expiring: 10-yr horizon (verified)",IF(M525="No Longer Monitored","Out of program",IF(N525="","Unknown vintage",IF(N525&lt;Scoring!$B$12,"Pre-1990, still listed",IF(AND(U525="",AA525&lt;0),"Past 30-yr mark (verify)",IF(AND(U525="",AA525&lt;=Scoring!$B$5),"30-yr mark: notice window (est.)",IF(AND(O525&gt;=Scoring!$B$7,O525&lt;=Scoring!$B$8),"Year-15 window",IF(O525&gt;=Scoring!$B$9,"Recap window",IF(O525&gt;=11,"Late compliance","Credit period"))))))))))))</f>
        <v>Out of program</v>
      </c>
      <c r="E525" s="15" t="s">
        <v>1920</v>
      </c>
      <c r="F525" s="15" t="s">
        <v>1921</v>
      </c>
      <c r="G525" s="15" t="s">
        <v>1922</v>
      </c>
      <c r="H525" s="15" t="s">
        <v>97</v>
      </c>
      <c r="I525" s="15" t="s">
        <v>271</v>
      </c>
      <c r="J525" s="15" t="n">
        <v>4</v>
      </c>
      <c r="K525" s="15" t="n">
        <v>4</v>
      </c>
      <c r="L525" s="15" t="n">
        <f aca="false">IF(OR(J525="",K525=""),"",MAX(J525-K525,0))</f>
        <v>0</v>
      </c>
      <c r="M525" s="15" t="s">
        <v>1757</v>
      </c>
      <c r="N525" s="17" t="n">
        <v>1989</v>
      </c>
      <c r="O525" s="15" t="n">
        <f aca="false">IF(N525="","",Scoring!$B$4-N525)</f>
        <v>37</v>
      </c>
      <c r="P525" s="15" t="n">
        <f aca="false">IF(N525="","",N525+14)</f>
        <v>2003</v>
      </c>
      <c r="Q525" s="15" t="str">
        <f aca="false">IF(N525="","",IF(N525&lt;Scoring!$B$12,"n/a (pre-1990)",N525+Scoring!$B$13))</f>
        <v>n/a (pre-1990)</v>
      </c>
      <c r="R525" s="15" t="str">
        <f aca="false">IF(J525="","Unknown",IF(J525&gt;=5,"Yes","No (under 5 units)"))</f>
        <v>No (under 5 units)</v>
      </c>
      <c r="S525" s="15"/>
      <c r="T525" s="18"/>
      <c r="U525" s="19"/>
      <c r="V525" s="18"/>
      <c r="W525" s="18"/>
      <c r="X525" s="20"/>
      <c r="Y525" s="18"/>
      <c r="Z525" s="18"/>
      <c r="AA525" s="21" t="str">
        <f aca="false">IF(U525&lt;&gt;"",(U525-Scoring!$B$3)/365.25,IF(N525="","",IF(N525&lt;Scoring!$B$12,"",(DATE(N525+Scoring!$B$13,12,31)-Scoring!$B$3)/365.25)))</f>
        <v/>
      </c>
      <c r="AB525" s="22" t="n">
        <f aca="false">IF(T525="Y",0,IF(OR(D525="Expired (verified)",D525="Expiring: notice window (verified)",D525="Expiring: 10-yr horizon (verified)",D525="Past 30-yr mark (verify)",D525="30-yr mark: notice window (est.)",D525="Year-15 window"),1,0)+IF(ISNUMBER(O525),IF(O525&gt;=Scoring!$B$10,1,0),0)+IF(AND(ISNUMBER(L525),ISNUMBER(J525)),IF(J525&gt;0,IF(L525/J525&gt;=Scoring!$B$11,1,0),0),0)+IF(ISNUMBER(Z525),MIN(Z525,3),0))</f>
        <v>1</v>
      </c>
      <c r="AC525" s="22" t="n">
        <f aca="false">IF(AB525&gt;=3,Scoring!$C$24,IF(AB525=2,Scoring!$C$23,IF(AB525=1,Scoring!$C$22,0)))</f>
        <v>10</v>
      </c>
      <c r="AD525" s="22" t="n">
        <f aca="false">IF(T525="Y",0,IF(ISNUMBER(X525),IF(X525&gt;0.7,Scoring!$C$25,IF(X525&gt;=0.5,Scoring!$C$26,IF(X525&gt;=0.3,Scoring!$C$27,Scoring!$C$28))),Scoring!$C$29))</f>
        <v>10</v>
      </c>
      <c r="AE525" s="22" t="n">
        <f aca="false">IF(D525="Expiring: notice window (verified)",Scoring!$C$30,IF(OR(D525="Expired (verified)",D525="30-yr mark: notice window (est.)",D525="Year-15 window"),Scoring!$C$31,IF(D525="Expiring: 10-yr horizon (verified)",Scoring!$C$32,IF(D525="Past 30-yr mark (verify)",Scoring!$C$33,IF(OR(D525="Credit period",D525="Superseded record"),Scoring!$C$35,Scoring!$C$34)))))</f>
        <v>4</v>
      </c>
      <c r="AF525" s="22" t="n">
        <f aca="false">IF(T525="Y",0,IF(ISNUMBER(V525),IF(Scoring!$B$4-V525&gt;15,Scoring!$C$36,IF(Scoring!$B$4-V525&gt;=10,Scoring!$C$37,IF(Scoring!$B$4-V525&gt;=5,Scoring!$C$38,Scoring!$C$39))),IF(OR(N525="",D525="Out of program"),Scoring!$C$40,IF(O525&gt;15,Scoring!$C$36,IF(O525&gt;=10,Scoring!$C$37,IF(O525&gt;=5,Scoring!$C$38,Scoring!$C$39))))))</f>
        <v>8</v>
      </c>
      <c r="AG525" s="22" t="n">
        <f aca="false">IF(T525="Y",0,IF(Y525="Y",Scoring!$C$41,IF(ISNUMBER(O525),IF(O525&gt;=25,Scoring!$C$42,IF(O525&gt;=15,Scoring!$C$43,Scoring!$C$44)),Scoring!$C$44)))</f>
        <v>8</v>
      </c>
      <c r="AH525" s="22" t="n">
        <f aca="false">IF(T525="Y",0,IF(W525="",Scoring!$C$49,IFERROR(VLOOKUP(W525,Scoring!$B$45:$C$48,2,FALSE()),Scoring!$C$49)))</f>
        <v>5</v>
      </c>
      <c r="AI525" s="23" t="n">
        <f aca="false">C525+IF(ISNUMBER(J525),J525,0)/100000+(10000-ROW())/1000000000</f>
        <v>45.000049475</v>
      </c>
      <c r="AJ525" s="18"/>
      <c r="AK525" s="18"/>
      <c r="AL525" s="18"/>
      <c r="AM525" s="18"/>
    </row>
    <row r="526" customFormat="false" ht="15" hidden="false" customHeight="false" outlineLevel="0" collapsed="false">
      <c r="A526" s="15" t="n">
        <f aca="false">RANK(AI526,$AI$2:$AI$755)</f>
        <v>525</v>
      </c>
      <c r="B526" s="16" t="str">
        <f aca="false">IF(T526="Y","Superseded",IF(C526&gt;=Scoring!$B$16,"Immediate",IF(C526&gt;=Scoring!$B$17,"This week",IF(C526&gt;=Scoring!$B$18,"Nurture","Low"))))</f>
        <v>Nurture</v>
      </c>
      <c r="C526" s="3" t="n">
        <f aca="false">SUM(AC526:AH526)</f>
        <v>45</v>
      </c>
      <c r="D526" s="15" t="str">
        <f aca="false">IF(T526="Y","Superseded record",IF(AND(U526&lt;&gt;"",AA526&lt;0),"Expired (verified)",IF(AND(U526&lt;&gt;"",AA526&lt;=Scoring!$B$5),"Expiring: notice window (verified)",IF(AND(U526&lt;&gt;"",AA526&lt;=Scoring!$B$6),"Expiring: 10-yr horizon (verified)",IF(M526="No Longer Monitored","Out of program",IF(N526="","Unknown vintage",IF(N526&lt;Scoring!$B$12,"Pre-1990, still listed",IF(AND(U526="",AA526&lt;0),"Past 30-yr mark (verify)",IF(AND(U526="",AA526&lt;=Scoring!$B$5),"30-yr mark: notice window (est.)",IF(AND(O526&gt;=Scoring!$B$7,O526&lt;=Scoring!$B$8),"Year-15 window",IF(O526&gt;=Scoring!$B$9,"Recap window",IF(O526&gt;=11,"Late compliance","Credit period"))))))))))))</f>
        <v>Out of program</v>
      </c>
      <c r="E526" s="15" t="s">
        <v>1923</v>
      </c>
      <c r="F526" s="15" t="s">
        <v>1924</v>
      </c>
      <c r="G526" s="15" t="s">
        <v>1925</v>
      </c>
      <c r="H526" s="15" t="s">
        <v>1631</v>
      </c>
      <c r="I526" s="15" t="s">
        <v>1632</v>
      </c>
      <c r="J526" s="15" t="n">
        <v>3</v>
      </c>
      <c r="K526" s="15" t="n">
        <v>3</v>
      </c>
      <c r="L526" s="15" t="n">
        <f aca="false">IF(OR(J526="",K526=""),"",MAX(J526-K526,0))</f>
        <v>0</v>
      </c>
      <c r="M526" s="15" t="s">
        <v>1757</v>
      </c>
      <c r="N526" s="17" t="n">
        <v>1988</v>
      </c>
      <c r="O526" s="15" t="n">
        <f aca="false">IF(N526="","",Scoring!$B$4-N526)</f>
        <v>38</v>
      </c>
      <c r="P526" s="15" t="n">
        <f aca="false">IF(N526="","",N526+14)</f>
        <v>2002</v>
      </c>
      <c r="Q526" s="15" t="str">
        <f aca="false">IF(N526="","",IF(N526&lt;Scoring!$B$12,"n/a (pre-1990)",N526+Scoring!$B$13))</f>
        <v>n/a (pre-1990)</v>
      </c>
      <c r="R526" s="15" t="str">
        <f aca="false">IF(J526="","Unknown",IF(J526&gt;=5,"Yes","No (under 5 units)"))</f>
        <v>No (under 5 units)</v>
      </c>
      <c r="S526" s="15"/>
      <c r="T526" s="18"/>
      <c r="U526" s="19"/>
      <c r="V526" s="18"/>
      <c r="W526" s="18"/>
      <c r="X526" s="20"/>
      <c r="Y526" s="18"/>
      <c r="Z526" s="18"/>
      <c r="AA526" s="21" t="str">
        <f aca="false">IF(U526&lt;&gt;"",(U526-Scoring!$B$3)/365.25,IF(N526="","",IF(N526&lt;Scoring!$B$12,"",(DATE(N526+Scoring!$B$13,12,31)-Scoring!$B$3)/365.25)))</f>
        <v/>
      </c>
      <c r="AB526" s="22" t="n">
        <f aca="false">IF(T526="Y",0,IF(OR(D526="Expired (verified)",D526="Expiring: notice window (verified)",D526="Expiring: 10-yr horizon (verified)",D526="Past 30-yr mark (verify)",D526="30-yr mark: notice window (est.)",D526="Year-15 window"),1,0)+IF(ISNUMBER(O526),IF(O526&gt;=Scoring!$B$10,1,0),0)+IF(AND(ISNUMBER(L526),ISNUMBER(J526)),IF(J526&gt;0,IF(L526/J526&gt;=Scoring!$B$11,1,0),0),0)+IF(ISNUMBER(Z526),MIN(Z526,3),0))</f>
        <v>1</v>
      </c>
      <c r="AC526" s="22" t="n">
        <f aca="false">IF(AB526&gt;=3,Scoring!$C$24,IF(AB526=2,Scoring!$C$23,IF(AB526=1,Scoring!$C$22,0)))</f>
        <v>10</v>
      </c>
      <c r="AD526" s="22" t="n">
        <f aca="false">IF(T526="Y",0,IF(ISNUMBER(X526),IF(X526&gt;0.7,Scoring!$C$25,IF(X526&gt;=0.5,Scoring!$C$26,IF(X526&gt;=0.3,Scoring!$C$27,Scoring!$C$28))),Scoring!$C$29))</f>
        <v>10</v>
      </c>
      <c r="AE526" s="22" t="n">
        <f aca="false">IF(D526="Expiring: notice window (verified)",Scoring!$C$30,IF(OR(D526="Expired (verified)",D526="30-yr mark: notice window (est.)",D526="Year-15 window"),Scoring!$C$31,IF(D526="Expiring: 10-yr horizon (verified)",Scoring!$C$32,IF(D526="Past 30-yr mark (verify)",Scoring!$C$33,IF(OR(D526="Credit period",D526="Superseded record"),Scoring!$C$35,Scoring!$C$34)))))</f>
        <v>4</v>
      </c>
      <c r="AF526" s="22" t="n">
        <f aca="false">IF(T526="Y",0,IF(ISNUMBER(V526),IF(Scoring!$B$4-V526&gt;15,Scoring!$C$36,IF(Scoring!$B$4-V526&gt;=10,Scoring!$C$37,IF(Scoring!$B$4-V526&gt;=5,Scoring!$C$38,Scoring!$C$39))),IF(OR(N526="",D526="Out of program"),Scoring!$C$40,IF(O526&gt;15,Scoring!$C$36,IF(O526&gt;=10,Scoring!$C$37,IF(O526&gt;=5,Scoring!$C$38,Scoring!$C$39))))))</f>
        <v>8</v>
      </c>
      <c r="AG526" s="22" t="n">
        <f aca="false">IF(T526="Y",0,IF(Y526="Y",Scoring!$C$41,IF(ISNUMBER(O526),IF(O526&gt;=25,Scoring!$C$42,IF(O526&gt;=15,Scoring!$C$43,Scoring!$C$44)),Scoring!$C$44)))</f>
        <v>8</v>
      </c>
      <c r="AH526" s="22" t="n">
        <f aca="false">IF(T526="Y",0,IF(W526="",Scoring!$C$49,IFERROR(VLOOKUP(W526,Scoring!$B$45:$C$48,2,FALSE()),Scoring!$C$49)))</f>
        <v>5</v>
      </c>
      <c r="AI526" s="23" t="n">
        <f aca="false">C526+IF(ISNUMBER(J526),J526,0)/100000+(10000-ROW())/1000000000</f>
        <v>45.000039474</v>
      </c>
      <c r="AJ526" s="18"/>
      <c r="AK526" s="18"/>
      <c r="AL526" s="18"/>
      <c r="AM526" s="18"/>
    </row>
    <row r="527" customFormat="false" ht="15" hidden="false" customHeight="false" outlineLevel="0" collapsed="false">
      <c r="A527" s="15" t="n">
        <f aca="false">RANK(AI527,$AI$2:$AI$755)</f>
        <v>526</v>
      </c>
      <c r="B527" s="16" t="str">
        <f aca="false">IF(T527="Y","Superseded",IF(C527&gt;=Scoring!$B$16,"Immediate",IF(C527&gt;=Scoring!$B$17,"This week",IF(C527&gt;=Scoring!$B$18,"Nurture","Low"))))</f>
        <v>Nurture</v>
      </c>
      <c r="C527" s="3" t="n">
        <f aca="false">SUM(AC527:AH527)</f>
        <v>45</v>
      </c>
      <c r="D527" s="15" t="str">
        <f aca="false">IF(T527="Y","Superseded record",IF(AND(U527&lt;&gt;"",AA527&lt;0),"Expired (verified)",IF(AND(U527&lt;&gt;"",AA527&lt;=Scoring!$B$5),"Expiring: notice window (verified)",IF(AND(U527&lt;&gt;"",AA527&lt;=Scoring!$B$6),"Expiring: 10-yr horizon (verified)",IF(M527="No Longer Monitored","Out of program",IF(N527="","Unknown vintage",IF(N527&lt;Scoring!$B$12,"Pre-1990, still listed",IF(AND(U527="",AA527&lt;0),"Past 30-yr mark (verify)",IF(AND(U527="",AA527&lt;=Scoring!$B$5),"30-yr mark: notice window (est.)",IF(AND(O527&gt;=Scoring!$B$7,O527&lt;=Scoring!$B$8),"Year-15 window",IF(O527&gt;=Scoring!$B$9,"Recap window",IF(O527&gt;=11,"Late compliance","Credit period"))))))))))))</f>
        <v>Out of program</v>
      </c>
      <c r="E527" s="15" t="s">
        <v>1926</v>
      </c>
      <c r="F527" s="15" t="s">
        <v>1927</v>
      </c>
      <c r="G527" s="15" t="s">
        <v>1928</v>
      </c>
      <c r="H527" s="15" t="s">
        <v>151</v>
      </c>
      <c r="I527" s="15" t="s">
        <v>280</v>
      </c>
      <c r="J527" s="15" t="n">
        <v>3</v>
      </c>
      <c r="K527" s="15" t="n">
        <v>3</v>
      </c>
      <c r="L527" s="15" t="n">
        <f aca="false">IF(OR(J527="",K527=""),"",MAX(J527-K527,0))</f>
        <v>0</v>
      </c>
      <c r="M527" s="15" t="s">
        <v>1757</v>
      </c>
      <c r="N527" s="17" t="n">
        <v>1989</v>
      </c>
      <c r="O527" s="15" t="n">
        <f aca="false">IF(N527="","",Scoring!$B$4-N527)</f>
        <v>37</v>
      </c>
      <c r="P527" s="15" t="n">
        <f aca="false">IF(N527="","",N527+14)</f>
        <v>2003</v>
      </c>
      <c r="Q527" s="15" t="str">
        <f aca="false">IF(N527="","",IF(N527&lt;Scoring!$B$12,"n/a (pre-1990)",N527+Scoring!$B$13))</f>
        <v>n/a (pre-1990)</v>
      </c>
      <c r="R527" s="15" t="str">
        <f aca="false">IF(J527="","Unknown",IF(J527&gt;=5,"Yes","No (under 5 units)"))</f>
        <v>No (under 5 units)</v>
      </c>
      <c r="S527" s="15"/>
      <c r="T527" s="18"/>
      <c r="U527" s="19"/>
      <c r="V527" s="18"/>
      <c r="W527" s="18"/>
      <c r="X527" s="20"/>
      <c r="Y527" s="18"/>
      <c r="Z527" s="18"/>
      <c r="AA527" s="21" t="str">
        <f aca="false">IF(U527&lt;&gt;"",(U527-Scoring!$B$3)/365.25,IF(N527="","",IF(N527&lt;Scoring!$B$12,"",(DATE(N527+Scoring!$B$13,12,31)-Scoring!$B$3)/365.25)))</f>
        <v/>
      </c>
      <c r="AB527" s="22" t="n">
        <f aca="false">IF(T527="Y",0,IF(OR(D527="Expired (verified)",D527="Expiring: notice window (verified)",D527="Expiring: 10-yr horizon (verified)",D527="Past 30-yr mark (verify)",D527="30-yr mark: notice window (est.)",D527="Year-15 window"),1,0)+IF(ISNUMBER(O527),IF(O527&gt;=Scoring!$B$10,1,0),0)+IF(AND(ISNUMBER(L527),ISNUMBER(J527)),IF(J527&gt;0,IF(L527/J527&gt;=Scoring!$B$11,1,0),0),0)+IF(ISNUMBER(Z527),MIN(Z527,3),0))</f>
        <v>1</v>
      </c>
      <c r="AC527" s="22" t="n">
        <f aca="false">IF(AB527&gt;=3,Scoring!$C$24,IF(AB527=2,Scoring!$C$23,IF(AB527=1,Scoring!$C$22,0)))</f>
        <v>10</v>
      </c>
      <c r="AD527" s="22" t="n">
        <f aca="false">IF(T527="Y",0,IF(ISNUMBER(X527),IF(X527&gt;0.7,Scoring!$C$25,IF(X527&gt;=0.5,Scoring!$C$26,IF(X527&gt;=0.3,Scoring!$C$27,Scoring!$C$28))),Scoring!$C$29))</f>
        <v>10</v>
      </c>
      <c r="AE527" s="22" t="n">
        <f aca="false">IF(D527="Expiring: notice window (verified)",Scoring!$C$30,IF(OR(D527="Expired (verified)",D527="30-yr mark: notice window (est.)",D527="Year-15 window"),Scoring!$C$31,IF(D527="Expiring: 10-yr horizon (verified)",Scoring!$C$32,IF(D527="Past 30-yr mark (verify)",Scoring!$C$33,IF(OR(D527="Credit period",D527="Superseded record"),Scoring!$C$35,Scoring!$C$34)))))</f>
        <v>4</v>
      </c>
      <c r="AF527" s="22" t="n">
        <f aca="false">IF(T527="Y",0,IF(ISNUMBER(V527),IF(Scoring!$B$4-V527&gt;15,Scoring!$C$36,IF(Scoring!$B$4-V527&gt;=10,Scoring!$C$37,IF(Scoring!$B$4-V527&gt;=5,Scoring!$C$38,Scoring!$C$39))),IF(OR(N527="",D527="Out of program"),Scoring!$C$40,IF(O527&gt;15,Scoring!$C$36,IF(O527&gt;=10,Scoring!$C$37,IF(O527&gt;=5,Scoring!$C$38,Scoring!$C$39))))))</f>
        <v>8</v>
      </c>
      <c r="AG527" s="22" t="n">
        <f aca="false">IF(T527="Y",0,IF(Y527="Y",Scoring!$C$41,IF(ISNUMBER(O527),IF(O527&gt;=25,Scoring!$C$42,IF(O527&gt;=15,Scoring!$C$43,Scoring!$C$44)),Scoring!$C$44)))</f>
        <v>8</v>
      </c>
      <c r="AH527" s="22" t="n">
        <f aca="false">IF(T527="Y",0,IF(W527="",Scoring!$C$49,IFERROR(VLOOKUP(W527,Scoring!$B$45:$C$48,2,FALSE()),Scoring!$C$49)))</f>
        <v>5</v>
      </c>
      <c r="AI527" s="23" t="n">
        <f aca="false">C527+IF(ISNUMBER(J527),J527,0)/100000+(10000-ROW())/1000000000</f>
        <v>45.000039473</v>
      </c>
      <c r="AJ527" s="18"/>
      <c r="AK527" s="18"/>
      <c r="AL527" s="18"/>
      <c r="AM527" s="18"/>
    </row>
    <row r="528" customFormat="false" ht="15" hidden="false" customHeight="false" outlineLevel="0" collapsed="false">
      <c r="A528" s="15" t="n">
        <f aca="false">RANK(AI528,$AI$2:$AI$755)</f>
        <v>527</v>
      </c>
      <c r="B528" s="16" t="str">
        <f aca="false">IF(T528="Y","Superseded",IF(C528&gt;=Scoring!$B$16,"Immediate",IF(C528&gt;=Scoring!$B$17,"This week",IF(C528&gt;=Scoring!$B$18,"Nurture","Low"))))</f>
        <v>Nurture</v>
      </c>
      <c r="C528" s="3" t="n">
        <f aca="false">SUM(AC528:AH528)</f>
        <v>45</v>
      </c>
      <c r="D528" s="15" t="str">
        <f aca="false">IF(T528="Y","Superseded record",IF(AND(U528&lt;&gt;"",AA528&lt;0),"Expired (verified)",IF(AND(U528&lt;&gt;"",AA528&lt;=Scoring!$B$5),"Expiring: notice window (verified)",IF(AND(U528&lt;&gt;"",AA528&lt;=Scoring!$B$6),"Expiring: 10-yr horizon (verified)",IF(M528="No Longer Monitored","Out of program",IF(N528="","Unknown vintage",IF(N528&lt;Scoring!$B$12,"Pre-1990, still listed",IF(AND(U528="",AA528&lt;0),"Past 30-yr mark (verify)",IF(AND(U528="",AA528&lt;=Scoring!$B$5),"30-yr mark: notice window (est.)",IF(AND(O528&gt;=Scoring!$B$7,O528&lt;=Scoring!$B$8),"Year-15 window",IF(O528&gt;=Scoring!$B$9,"Recap window",IF(O528&gt;=11,"Late compliance","Credit period"))))))))))))</f>
        <v>Out of program</v>
      </c>
      <c r="E528" s="15" t="s">
        <v>1929</v>
      </c>
      <c r="F528" s="15" t="s">
        <v>1930</v>
      </c>
      <c r="G528" s="15" t="s">
        <v>1931</v>
      </c>
      <c r="H528" s="15" t="s">
        <v>97</v>
      </c>
      <c r="I528" s="15" t="s">
        <v>1309</v>
      </c>
      <c r="J528" s="15" t="n">
        <v>2</v>
      </c>
      <c r="K528" s="15" t="n">
        <v>2</v>
      </c>
      <c r="L528" s="15" t="n">
        <f aca="false">IF(OR(J528="",K528=""),"",MAX(J528-K528,0))</f>
        <v>0</v>
      </c>
      <c r="M528" s="15" t="s">
        <v>1757</v>
      </c>
      <c r="N528" s="17" t="n">
        <v>1987</v>
      </c>
      <c r="O528" s="15" t="n">
        <f aca="false">IF(N528="","",Scoring!$B$4-N528)</f>
        <v>39</v>
      </c>
      <c r="P528" s="15" t="n">
        <f aca="false">IF(N528="","",N528+14)</f>
        <v>2001</v>
      </c>
      <c r="Q528" s="15" t="str">
        <f aca="false">IF(N528="","",IF(N528&lt;Scoring!$B$12,"n/a (pre-1990)",N528+Scoring!$B$13))</f>
        <v>n/a (pre-1990)</v>
      </c>
      <c r="R528" s="15" t="str">
        <f aca="false">IF(J528="","Unknown",IF(J528&gt;=5,"Yes","No (under 5 units)"))</f>
        <v>No (under 5 units)</v>
      </c>
      <c r="S528" s="15"/>
      <c r="T528" s="18"/>
      <c r="U528" s="19"/>
      <c r="V528" s="18"/>
      <c r="W528" s="18"/>
      <c r="X528" s="20"/>
      <c r="Y528" s="18"/>
      <c r="Z528" s="18"/>
      <c r="AA528" s="21" t="str">
        <f aca="false">IF(U528&lt;&gt;"",(U528-Scoring!$B$3)/365.25,IF(N528="","",IF(N528&lt;Scoring!$B$12,"",(DATE(N528+Scoring!$B$13,12,31)-Scoring!$B$3)/365.25)))</f>
        <v/>
      </c>
      <c r="AB528" s="22" t="n">
        <f aca="false">IF(T528="Y",0,IF(OR(D528="Expired (verified)",D528="Expiring: notice window (verified)",D528="Expiring: 10-yr horizon (verified)",D528="Past 30-yr mark (verify)",D528="30-yr mark: notice window (est.)",D528="Year-15 window"),1,0)+IF(ISNUMBER(O528),IF(O528&gt;=Scoring!$B$10,1,0),0)+IF(AND(ISNUMBER(L528),ISNUMBER(J528)),IF(J528&gt;0,IF(L528/J528&gt;=Scoring!$B$11,1,0),0),0)+IF(ISNUMBER(Z528),MIN(Z528,3),0))</f>
        <v>1</v>
      </c>
      <c r="AC528" s="22" t="n">
        <f aca="false">IF(AB528&gt;=3,Scoring!$C$24,IF(AB528=2,Scoring!$C$23,IF(AB528=1,Scoring!$C$22,0)))</f>
        <v>10</v>
      </c>
      <c r="AD528" s="22" t="n">
        <f aca="false">IF(T528="Y",0,IF(ISNUMBER(X528),IF(X528&gt;0.7,Scoring!$C$25,IF(X528&gt;=0.5,Scoring!$C$26,IF(X528&gt;=0.3,Scoring!$C$27,Scoring!$C$28))),Scoring!$C$29))</f>
        <v>10</v>
      </c>
      <c r="AE528" s="22" t="n">
        <f aca="false">IF(D528="Expiring: notice window (verified)",Scoring!$C$30,IF(OR(D528="Expired (verified)",D528="30-yr mark: notice window (est.)",D528="Year-15 window"),Scoring!$C$31,IF(D528="Expiring: 10-yr horizon (verified)",Scoring!$C$32,IF(D528="Past 30-yr mark (verify)",Scoring!$C$33,IF(OR(D528="Credit period",D528="Superseded record"),Scoring!$C$35,Scoring!$C$34)))))</f>
        <v>4</v>
      </c>
      <c r="AF528" s="22" t="n">
        <f aca="false">IF(T528="Y",0,IF(ISNUMBER(V528),IF(Scoring!$B$4-V528&gt;15,Scoring!$C$36,IF(Scoring!$B$4-V528&gt;=10,Scoring!$C$37,IF(Scoring!$B$4-V528&gt;=5,Scoring!$C$38,Scoring!$C$39))),IF(OR(N528="",D528="Out of program"),Scoring!$C$40,IF(O528&gt;15,Scoring!$C$36,IF(O528&gt;=10,Scoring!$C$37,IF(O528&gt;=5,Scoring!$C$38,Scoring!$C$39))))))</f>
        <v>8</v>
      </c>
      <c r="AG528" s="22" t="n">
        <f aca="false">IF(T528="Y",0,IF(Y528="Y",Scoring!$C$41,IF(ISNUMBER(O528),IF(O528&gt;=25,Scoring!$C$42,IF(O528&gt;=15,Scoring!$C$43,Scoring!$C$44)),Scoring!$C$44)))</f>
        <v>8</v>
      </c>
      <c r="AH528" s="22" t="n">
        <f aca="false">IF(T528="Y",0,IF(W528="",Scoring!$C$49,IFERROR(VLOOKUP(W528,Scoring!$B$45:$C$48,2,FALSE()),Scoring!$C$49)))</f>
        <v>5</v>
      </c>
      <c r="AI528" s="23" t="n">
        <f aca="false">C528+IF(ISNUMBER(J528),J528,0)/100000+(10000-ROW())/1000000000</f>
        <v>45.000029472</v>
      </c>
      <c r="AJ528" s="18"/>
      <c r="AK528" s="18"/>
      <c r="AL528" s="18"/>
      <c r="AM528" s="18"/>
    </row>
    <row r="529" customFormat="false" ht="15" hidden="false" customHeight="false" outlineLevel="0" collapsed="false">
      <c r="A529" s="15" t="n">
        <f aca="false">RANK(AI529,$AI$2:$AI$755)</f>
        <v>528</v>
      </c>
      <c r="B529" s="16" t="str">
        <f aca="false">IF(T529="Y","Superseded",IF(C529&gt;=Scoring!$B$16,"Immediate",IF(C529&gt;=Scoring!$B$17,"This week",IF(C529&gt;=Scoring!$B$18,"Nurture","Low"))))</f>
        <v>Nurture</v>
      </c>
      <c r="C529" s="3" t="n">
        <f aca="false">SUM(AC529:AH529)</f>
        <v>45</v>
      </c>
      <c r="D529" s="15" t="str">
        <f aca="false">IF(T529="Y","Superseded record",IF(AND(U529&lt;&gt;"",AA529&lt;0),"Expired (verified)",IF(AND(U529&lt;&gt;"",AA529&lt;=Scoring!$B$5),"Expiring: notice window (verified)",IF(AND(U529&lt;&gt;"",AA529&lt;=Scoring!$B$6),"Expiring: 10-yr horizon (verified)",IF(M529="No Longer Monitored","Out of program",IF(N529="","Unknown vintage",IF(N529&lt;Scoring!$B$12,"Pre-1990, still listed",IF(AND(U529="",AA529&lt;0),"Past 30-yr mark (verify)",IF(AND(U529="",AA529&lt;=Scoring!$B$5),"30-yr mark: notice window (est.)",IF(AND(O529&gt;=Scoring!$B$7,O529&lt;=Scoring!$B$8),"Year-15 window",IF(O529&gt;=Scoring!$B$9,"Recap window",IF(O529&gt;=11,"Late compliance","Credit period"))))))))))))</f>
        <v>Out of program</v>
      </c>
      <c r="E529" s="15" t="s">
        <v>1932</v>
      </c>
      <c r="F529" s="15" t="s">
        <v>1933</v>
      </c>
      <c r="G529" s="15" t="s">
        <v>1934</v>
      </c>
      <c r="H529" s="15" t="s">
        <v>423</v>
      </c>
      <c r="I529" s="15" t="s">
        <v>424</v>
      </c>
      <c r="J529" s="15" t="n">
        <v>2</v>
      </c>
      <c r="K529" s="15" t="n">
        <v>2</v>
      </c>
      <c r="L529" s="15" t="n">
        <f aca="false">IF(OR(J529="",K529=""),"",MAX(J529-K529,0))</f>
        <v>0</v>
      </c>
      <c r="M529" s="15" t="s">
        <v>1757</v>
      </c>
      <c r="N529" s="17" t="n">
        <v>1988</v>
      </c>
      <c r="O529" s="15" t="n">
        <f aca="false">IF(N529="","",Scoring!$B$4-N529)</f>
        <v>38</v>
      </c>
      <c r="P529" s="15" t="n">
        <f aca="false">IF(N529="","",N529+14)</f>
        <v>2002</v>
      </c>
      <c r="Q529" s="15" t="str">
        <f aca="false">IF(N529="","",IF(N529&lt;Scoring!$B$12,"n/a (pre-1990)",N529+Scoring!$B$13))</f>
        <v>n/a (pre-1990)</v>
      </c>
      <c r="R529" s="15" t="str">
        <f aca="false">IF(J529="","Unknown",IF(J529&gt;=5,"Yes","No (under 5 units)"))</f>
        <v>No (under 5 units)</v>
      </c>
      <c r="S529" s="15"/>
      <c r="T529" s="18"/>
      <c r="U529" s="19"/>
      <c r="V529" s="18"/>
      <c r="W529" s="18"/>
      <c r="X529" s="20"/>
      <c r="Y529" s="18"/>
      <c r="Z529" s="18"/>
      <c r="AA529" s="21" t="str">
        <f aca="false">IF(U529&lt;&gt;"",(U529-Scoring!$B$3)/365.25,IF(N529="","",IF(N529&lt;Scoring!$B$12,"",(DATE(N529+Scoring!$B$13,12,31)-Scoring!$B$3)/365.25)))</f>
        <v/>
      </c>
      <c r="AB529" s="22" t="n">
        <f aca="false">IF(T529="Y",0,IF(OR(D529="Expired (verified)",D529="Expiring: notice window (verified)",D529="Expiring: 10-yr horizon (verified)",D529="Past 30-yr mark (verify)",D529="30-yr mark: notice window (est.)",D529="Year-15 window"),1,0)+IF(ISNUMBER(O529),IF(O529&gt;=Scoring!$B$10,1,0),0)+IF(AND(ISNUMBER(L529),ISNUMBER(J529)),IF(J529&gt;0,IF(L529/J529&gt;=Scoring!$B$11,1,0),0),0)+IF(ISNUMBER(Z529),MIN(Z529,3),0))</f>
        <v>1</v>
      </c>
      <c r="AC529" s="22" t="n">
        <f aca="false">IF(AB529&gt;=3,Scoring!$C$24,IF(AB529=2,Scoring!$C$23,IF(AB529=1,Scoring!$C$22,0)))</f>
        <v>10</v>
      </c>
      <c r="AD529" s="22" t="n">
        <f aca="false">IF(T529="Y",0,IF(ISNUMBER(X529),IF(X529&gt;0.7,Scoring!$C$25,IF(X529&gt;=0.5,Scoring!$C$26,IF(X529&gt;=0.3,Scoring!$C$27,Scoring!$C$28))),Scoring!$C$29))</f>
        <v>10</v>
      </c>
      <c r="AE529" s="22" t="n">
        <f aca="false">IF(D529="Expiring: notice window (verified)",Scoring!$C$30,IF(OR(D529="Expired (verified)",D529="30-yr mark: notice window (est.)",D529="Year-15 window"),Scoring!$C$31,IF(D529="Expiring: 10-yr horizon (verified)",Scoring!$C$32,IF(D529="Past 30-yr mark (verify)",Scoring!$C$33,IF(OR(D529="Credit period",D529="Superseded record"),Scoring!$C$35,Scoring!$C$34)))))</f>
        <v>4</v>
      </c>
      <c r="AF529" s="22" t="n">
        <f aca="false">IF(T529="Y",0,IF(ISNUMBER(V529),IF(Scoring!$B$4-V529&gt;15,Scoring!$C$36,IF(Scoring!$B$4-V529&gt;=10,Scoring!$C$37,IF(Scoring!$B$4-V529&gt;=5,Scoring!$C$38,Scoring!$C$39))),IF(OR(N529="",D529="Out of program"),Scoring!$C$40,IF(O529&gt;15,Scoring!$C$36,IF(O529&gt;=10,Scoring!$C$37,IF(O529&gt;=5,Scoring!$C$38,Scoring!$C$39))))))</f>
        <v>8</v>
      </c>
      <c r="AG529" s="22" t="n">
        <f aca="false">IF(T529="Y",0,IF(Y529="Y",Scoring!$C$41,IF(ISNUMBER(O529),IF(O529&gt;=25,Scoring!$C$42,IF(O529&gt;=15,Scoring!$C$43,Scoring!$C$44)),Scoring!$C$44)))</f>
        <v>8</v>
      </c>
      <c r="AH529" s="22" t="n">
        <f aca="false">IF(T529="Y",0,IF(W529="",Scoring!$C$49,IFERROR(VLOOKUP(W529,Scoring!$B$45:$C$48,2,FALSE()),Scoring!$C$49)))</f>
        <v>5</v>
      </c>
      <c r="AI529" s="23" t="n">
        <f aca="false">C529+IF(ISNUMBER(J529),J529,0)/100000+(10000-ROW())/1000000000</f>
        <v>45.000029471</v>
      </c>
      <c r="AJ529" s="18"/>
      <c r="AK529" s="18"/>
      <c r="AL529" s="18"/>
      <c r="AM529" s="18"/>
    </row>
    <row r="530" customFormat="false" ht="15" hidden="false" customHeight="false" outlineLevel="0" collapsed="false">
      <c r="A530" s="15" t="n">
        <f aca="false">RANK(AI530,$AI$2:$AI$755)</f>
        <v>529</v>
      </c>
      <c r="B530" s="16" t="str">
        <f aca="false">IF(T530="Y","Superseded",IF(C530&gt;=Scoring!$B$16,"Immediate",IF(C530&gt;=Scoring!$B$17,"This week",IF(C530&gt;=Scoring!$B$18,"Nurture","Low"))))</f>
        <v>Nurture</v>
      </c>
      <c r="C530" s="3" t="n">
        <f aca="false">SUM(AC530:AH530)</f>
        <v>45</v>
      </c>
      <c r="D530" s="15" t="str">
        <f aca="false">IF(T530="Y","Superseded record",IF(AND(U530&lt;&gt;"",AA530&lt;0),"Expired (verified)",IF(AND(U530&lt;&gt;"",AA530&lt;=Scoring!$B$5),"Expiring: notice window (verified)",IF(AND(U530&lt;&gt;"",AA530&lt;=Scoring!$B$6),"Expiring: 10-yr horizon (verified)",IF(M530="No Longer Monitored","Out of program",IF(N530="","Unknown vintage",IF(N530&lt;Scoring!$B$12,"Pre-1990, still listed",IF(AND(U530="",AA530&lt;0),"Past 30-yr mark (verify)",IF(AND(U530="",AA530&lt;=Scoring!$B$5),"30-yr mark: notice window (est.)",IF(AND(O530&gt;=Scoring!$B$7,O530&lt;=Scoring!$B$8),"Year-15 window",IF(O530&gt;=Scoring!$B$9,"Recap window",IF(O530&gt;=11,"Late compliance","Credit period"))))))))))))</f>
        <v>Out of program</v>
      </c>
      <c r="E530" s="15" t="s">
        <v>1935</v>
      </c>
      <c r="F530" s="15" t="s">
        <v>1930</v>
      </c>
      <c r="G530" s="15" t="s">
        <v>1936</v>
      </c>
      <c r="H530" s="15" t="s">
        <v>146</v>
      </c>
      <c r="I530" s="15" t="s">
        <v>147</v>
      </c>
      <c r="J530" s="15" t="n">
        <v>2</v>
      </c>
      <c r="K530" s="15" t="n">
        <v>2</v>
      </c>
      <c r="L530" s="15" t="n">
        <f aca="false">IF(OR(J530="",K530=""),"",MAX(J530-K530,0))</f>
        <v>0</v>
      </c>
      <c r="M530" s="15" t="s">
        <v>1757</v>
      </c>
      <c r="N530" s="17" t="n">
        <v>1988</v>
      </c>
      <c r="O530" s="15" t="n">
        <f aca="false">IF(N530="","",Scoring!$B$4-N530)</f>
        <v>38</v>
      </c>
      <c r="P530" s="15" t="n">
        <f aca="false">IF(N530="","",N530+14)</f>
        <v>2002</v>
      </c>
      <c r="Q530" s="15" t="str">
        <f aca="false">IF(N530="","",IF(N530&lt;Scoring!$B$12,"n/a (pre-1990)",N530+Scoring!$B$13))</f>
        <v>n/a (pre-1990)</v>
      </c>
      <c r="R530" s="15" t="str">
        <f aca="false">IF(J530="","Unknown",IF(J530&gt;=5,"Yes","No (under 5 units)"))</f>
        <v>No (under 5 units)</v>
      </c>
      <c r="S530" s="15"/>
      <c r="T530" s="18"/>
      <c r="U530" s="19"/>
      <c r="V530" s="18"/>
      <c r="W530" s="18"/>
      <c r="X530" s="20"/>
      <c r="Y530" s="18"/>
      <c r="Z530" s="18"/>
      <c r="AA530" s="21" t="str">
        <f aca="false">IF(U530&lt;&gt;"",(U530-Scoring!$B$3)/365.25,IF(N530="","",IF(N530&lt;Scoring!$B$12,"",(DATE(N530+Scoring!$B$13,12,31)-Scoring!$B$3)/365.25)))</f>
        <v/>
      </c>
      <c r="AB530" s="22" t="n">
        <f aca="false">IF(T530="Y",0,IF(OR(D530="Expired (verified)",D530="Expiring: notice window (verified)",D530="Expiring: 10-yr horizon (verified)",D530="Past 30-yr mark (verify)",D530="30-yr mark: notice window (est.)",D530="Year-15 window"),1,0)+IF(ISNUMBER(O530),IF(O530&gt;=Scoring!$B$10,1,0),0)+IF(AND(ISNUMBER(L530),ISNUMBER(J530)),IF(J530&gt;0,IF(L530/J530&gt;=Scoring!$B$11,1,0),0),0)+IF(ISNUMBER(Z530),MIN(Z530,3),0))</f>
        <v>1</v>
      </c>
      <c r="AC530" s="22" t="n">
        <f aca="false">IF(AB530&gt;=3,Scoring!$C$24,IF(AB530=2,Scoring!$C$23,IF(AB530=1,Scoring!$C$22,0)))</f>
        <v>10</v>
      </c>
      <c r="AD530" s="22" t="n">
        <f aca="false">IF(T530="Y",0,IF(ISNUMBER(X530),IF(X530&gt;0.7,Scoring!$C$25,IF(X530&gt;=0.5,Scoring!$C$26,IF(X530&gt;=0.3,Scoring!$C$27,Scoring!$C$28))),Scoring!$C$29))</f>
        <v>10</v>
      </c>
      <c r="AE530" s="22" t="n">
        <f aca="false">IF(D530="Expiring: notice window (verified)",Scoring!$C$30,IF(OR(D530="Expired (verified)",D530="30-yr mark: notice window (est.)",D530="Year-15 window"),Scoring!$C$31,IF(D530="Expiring: 10-yr horizon (verified)",Scoring!$C$32,IF(D530="Past 30-yr mark (verify)",Scoring!$C$33,IF(OR(D530="Credit period",D530="Superseded record"),Scoring!$C$35,Scoring!$C$34)))))</f>
        <v>4</v>
      </c>
      <c r="AF530" s="22" t="n">
        <f aca="false">IF(T530="Y",0,IF(ISNUMBER(V530),IF(Scoring!$B$4-V530&gt;15,Scoring!$C$36,IF(Scoring!$B$4-V530&gt;=10,Scoring!$C$37,IF(Scoring!$B$4-V530&gt;=5,Scoring!$C$38,Scoring!$C$39))),IF(OR(N530="",D530="Out of program"),Scoring!$C$40,IF(O530&gt;15,Scoring!$C$36,IF(O530&gt;=10,Scoring!$C$37,IF(O530&gt;=5,Scoring!$C$38,Scoring!$C$39))))))</f>
        <v>8</v>
      </c>
      <c r="AG530" s="22" t="n">
        <f aca="false">IF(T530="Y",0,IF(Y530="Y",Scoring!$C$41,IF(ISNUMBER(O530),IF(O530&gt;=25,Scoring!$C$42,IF(O530&gt;=15,Scoring!$C$43,Scoring!$C$44)),Scoring!$C$44)))</f>
        <v>8</v>
      </c>
      <c r="AH530" s="22" t="n">
        <f aca="false">IF(T530="Y",0,IF(W530="",Scoring!$C$49,IFERROR(VLOOKUP(W530,Scoring!$B$45:$C$48,2,FALSE()),Scoring!$C$49)))</f>
        <v>5</v>
      </c>
      <c r="AI530" s="23" t="n">
        <f aca="false">C530+IF(ISNUMBER(J530),J530,0)/100000+(10000-ROW())/1000000000</f>
        <v>45.00002947</v>
      </c>
      <c r="AJ530" s="18"/>
      <c r="AK530" s="18"/>
      <c r="AL530" s="18"/>
      <c r="AM530" s="18"/>
    </row>
    <row r="531" customFormat="false" ht="15" hidden="false" customHeight="false" outlineLevel="0" collapsed="false">
      <c r="A531" s="15" t="n">
        <f aca="false">RANK(AI531,$AI$2:$AI$755)</f>
        <v>530</v>
      </c>
      <c r="B531" s="16" t="str">
        <f aca="false">IF(T531="Y","Superseded",IF(C531&gt;=Scoring!$B$16,"Immediate",IF(C531&gt;=Scoring!$B$17,"This week",IF(C531&gt;=Scoring!$B$18,"Nurture","Low"))))</f>
        <v>Nurture</v>
      </c>
      <c r="C531" s="3" t="n">
        <f aca="false">SUM(AC531:AH531)</f>
        <v>45</v>
      </c>
      <c r="D531" s="15" t="str">
        <f aca="false">IF(T531="Y","Superseded record",IF(AND(U531&lt;&gt;"",AA531&lt;0),"Expired (verified)",IF(AND(U531&lt;&gt;"",AA531&lt;=Scoring!$B$5),"Expiring: notice window (verified)",IF(AND(U531&lt;&gt;"",AA531&lt;=Scoring!$B$6),"Expiring: 10-yr horizon (verified)",IF(M531="No Longer Monitored","Out of program",IF(N531="","Unknown vintage",IF(N531&lt;Scoring!$B$12,"Pre-1990, still listed",IF(AND(U531="",AA531&lt;0),"Past 30-yr mark (verify)",IF(AND(U531="",AA531&lt;=Scoring!$B$5),"30-yr mark: notice window (est.)",IF(AND(O531&gt;=Scoring!$B$7,O531&lt;=Scoring!$B$8),"Year-15 window",IF(O531&gt;=Scoring!$B$9,"Recap window",IF(O531&gt;=11,"Late compliance","Credit period"))))))))))))</f>
        <v>Out of program</v>
      </c>
      <c r="E531" s="15" t="s">
        <v>1937</v>
      </c>
      <c r="F531" s="15" t="s">
        <v>1930</v>
      </c>
      <c r="G531" s="15" t="s">
        <v>1938</v>
      </c>
      <c r="H531" s="15" t="s">
        <v>97</v>
      </c>
      <c r="I531" s="15" t="s">
        <v>929</v>
      </c>
      <c r="J531" s="15" t="n">
        <v>2</v>
      </c>
      <c r="K531" s="15" t="n">
        <v>2</v>
      </c>
      <c r="L531" s="15" t="n">
        <f aca="false">IF(OR(J531="",K531=""),"",MAX(J531-K531,0))</f>
        <v>0</v>
      </c>
      <c r="M531" s="15" t="s">
        <v>1757</v>
      </c>
      <c r="N531" s="17" t="n">
        <v>1988</v>
      </c>
      <c r="O531" s="15" t="n">
        <f aca="false">IF(N531="","",Scoring!$B$4-N531)</f>
        <v>38</v>
      </c>
      <c r="P531" s="15" t="n">
        <f aca="false">IF(N531="","",N531+14)</f>
        <v>2002</v>
      </c>
      <c r="Q531" s="15" t="str">
        <f aca="false">IF(N531="","",IF(N531&lt;Scoring!$B$12,"n/a (pre-1990)",N531+Scoring!$B$13))</f>
        <v>n/a (pre-1990)</v>
      </c>
      <c r="R531" s="15" t="str">
        <f aca="false">IF(J531="","Unknown",IF(J531&gt;=5,"Yes","No (under 5 units)"))</f>
        <v>No (under 5 units)</v>
      </c>
      <c r="S531" s="15"/>
      <c r="T531" s="18"/>
      <c r="U531" s="19"/>
      <c r="V531" s="18"/>
      <c r="W531" s="18"/>
      <c r="X531" s="20"/>
      <c r="Y531" s="18"/>
      <c r="Z531" s="18"/>
      <c r="AA531" s="21" t="str">
        <f aca="false">IF(U531&lt;&gt;"",(U531-Scoring!$B$3)/365.25,IF(N531="","",IF(N531&lt;Scoring!$B$12,"",(DATE(N531+Scoring!$B$13,12,31)-Scoring!$B$3)/365.25)))</f>
        <v/>
      </c>
      <c r="AB531" s="22" t="n">
        <f aca="false">IF(T531="Y",0,IF(OR(D531="Expired (verified)",D531="Expiring: notice window (verified)",D531="Expiring: 10-yr horizon (verified)",D531="Past 30-yr mark (verify)",D531="30-yr mark: notice window (est.)",D531="Year-15 window"),1,0)+IF(ISNUMBER(O531),IF(O531&gt;=Scoring!$B$10,1,0),0)+IF(AND(ISNUMBER(L531),ISNUMBER(J531)),IF(J531&gt;0,IF(L531/J531&gt;=Scoring!$B$11,1,0),0),0)+IF(ISNUMBER(Z531),MIN(Z531,3),0))</f>
        <v>1</v>
      </c>
      <c r="AC531" s="22" t="n">
        <f aca="false">IF(AB531&gt;=3,Scoring!$C$24,IF(AB531=2,Scoring!$C$23,IF(AB531=1,Scoring!$C$22,0)))</f>
        <v>10</v>
      </c>
      <c r="AD531" s="22" t="n">
        <f aca="false">IF(T531="Y",0,IF(ISNUMBER(X531),IF(X531&gt;0.7,Scoring!$C$25,IF(X531&gt;=0.5,Scoring!$C$26,IF(X531&gt;=0.3,Scoring!$C$27,Scoring!$C$28))),Scoring!$C$29))</f>
        <v>10</v>
      </c>
      <c r="AE531" s="22" t="n">
        <f aca="false">IF(D531="Expiring: notice window (verified)",Scoring!$C$30,IF(OR(D531="Expired (verified)",D531="30-yr mark: notice window (est.)",D531="Year-15 window"),Scoring!$C$31,IF(D531="Expiring: 10-yr horizon (verified)",Scoring!$C$32,IF(D531="Past 30-yr mark (verify)",Scoring!$C$33,IF(OR(D531="Credit period",D531="Superseded record"),Scoring!$C$35,Scoring!$C$34)))))</f>
        <v>4</v>
      </c>
      <c r="AF531" s="22" t="n">
        <f aca="false">IF(T531="Y",0,IF(ISNUMBER(V531),IF(Scoring!$B$4-V531&gt;15,Scoring!$C$36,IF(Scoring!$B$4-V531&gt;=10,Scoring!$C$37,IF(Scoring!$B$4-V531&gt;=5,Scoring!$C$38,Scoring!$C$39))),IF(OR(N531="",D531="Out of program"),Scoring!$C$40,IF(O531&gt;15,Scoring!$C$36,IF(O531&gt;=10,Scoring!$C$37,IF(O531&gt;=5,Scoring!$C$38,Scoring!$C$39))))))</f>
        <v>8</v>
      </c>
      <c r="AG531" s="22" t="n">
        <f aca="false">IF(T531="Y",0,IF(Y531="Y",Scoring!$C$41,IF(ISNUMBER(O531),IF(O531&gt;=25,Scoring!$C$42,IF(O531&gt;=15,Scoring!$C$43,Scoring!$C$44)),Scoring!$C$44)))</f>
        <v>8</v>
      </c>
      <c r="AH531" s="22" t="n">
        <f aca="false">IF(T531="Y",0,IF(W531="",Scoring!$C$49,IFERROR(VLOOKUP(W531,Scoring!$B$45:$C$48,2,FALSE()),Scoring!$C$49)))</f>
        <v>5</v>
      </c>
      <c r="AI531" s="23" t="n">
        <f aca="false">C531+IF(ISNUMBER(J531),J531,0)/100000+(10000-ROW())/1000000000</f>
        <v>45.000029469</v>
      </c>
      <c r="AJ531" s="18"/>
      <c r="AK531" s="18"/>
      <c r="AL531" s="18"/>
      <c r="AM531" s="18"/>
    </row>
    <row r="532" customFormat="false" ht="15" hidden="false" customHeight="false" outlineLevel="0" collapsed="false">
      <c r="A532" s="15" t="n">
        <f aca="false">RANK(AI532,$AI$2:$AI$755)</f>
        <v>531</v>
      </c>
      <c r="B532" s="16" t="str">
        <f aca="false">IF(T532="Y","Superseded",IF(C532&gt;=Scoring!$B$16,"Immediate",IF(C532&gt;=Scoring!$B$17,"This week",IF(C532&gt;=Scoring!$B$18,"Nurture","Low"))))</f>
        <v>Nurture</v>
      </c>
      <c r="C532" s="3" t="n">
        <f aca="false">SUM(AC532:AH532)</f>
        <v>45</v>
      </c>
      <c r="D532" s="15" t="str">
        <f aca="false">IF(T532="Y","Superseded record",IF(AND(U532&lt;&gt;"",AA532&lt;0),"Expired (verified)",IF(AND(U532&lt;&gt;"",AA532&lt;=Scoring!$B$5),"Expiring: notice window (verified)",IF(AND(U532&lt;&gt;"",AA532&lt;=Scoring!$B$6),"Expiring: 10-yr horizon (verified)",IF(M532="No Longer Monitored","Out of program",IF(N532="","Unknown vintage",IF(N532&lt;Scoring!$B$12,"Pre-1990, still listed",IF(AND(U532="",AA532&lt;0),"Past 30-yr mark (verify)",IF(AND(U532="",AA532&lt;=Scoring!$B$5),"30-yr mark: notice window (est.)",IF(AND(O532&gt;=Scoring!$B$7,O532&lt;=Scoring!$B$8),"Year-15 window",IF(O532&gt;=Scoring!$B$9,"Recap window",IF(O532&gt;=11,"Late compliance","Credit period"))))))))))))</f>
        <v>Out of program</v>
      </c>
      <c r="E532" s="15" t="s">
        <v>1939</v>
      </c>
      <c r="F532" s="15" t="s">
        <v>1940</v>
      </c>
      <c r="G532" s="15" t="s">
        <v>1941</v>
      </c>
      <c r="H532" s="15" t="s">
        <v>423</v>
      </c>
      <c r="I532" s="15" t="s">
        <v>1296</v>
      </c>
      <c r="J532" s="15" t="n">
        <v>2</v>
      </c>
      <c r="K532" s="15" t="n">
        <v>2</v>
      </c>
      <c r="L532" s="15" t="n">
        <f aca="false">IF(OR(J532="",K532=""),"",MAX(J532-K532,0))</f>
        <v>0</v>
      </c>
      <c r="M532" s="15" t="s">
        <v>1757</v>
      </c>
      <c r="N532" s="17" t="n">
        <v>1998</v>
      </c>
      <c r="O532" s="15" t="n">
        <f aca="false">IF(N532="","",Scoring!$B$4-N532)</f>
        <v>28</v>
      </c>
      <c r="P532" s="15" t="n">
        <f aca="false">IF(N532="","",N532+14)</f>
        <v>2012</v>
      </c>
      <c r="Q532" s="15" t="n">
        <f aca="false">IF(N532="","",IF(N532&lt;Scoring!$B$12,"n/a (pre-1990)",N532+Scoring!$B$13))</f>
        <v>2027</v>
      </c>
      <c r="R532" s="15" t="str">
        <f aca="false">IF(J532="","Unknown",IF(J532&gt;=5,"Yes","No (under 5 units)"))</f>
        <v>No (under 5 units)</v>
      </c>
      <c r="S532" s="15"/>
      <c r="T532" s="18"/>
      <c r="U532" s="19"/>
      <c r="V532" s="18"/>
      <c r="W532" s="18"/>
      <c r="X532" s="20"/>
      <c r="Y532" s="18"/>
      <c r="Z532" s="18"/>
      <c r="AA532" s="21" t="n">
        <f aca="false">IF(U532&lt;&gt;"",(U532-Scoring!$B$3)/365.25,IF(N532="","",IF(N532&lt;Scoring!$B$12,"",(DATE(N532+Scoring!$B$13,12,31)-Scoring!$B$3)/365.25)))</f>
        <v>1.24572210814511</v>
      </c>
      <c r="AB532" s="22" t="n">
        <f aca="false">IF(T532="Y",0,IF(OR(D532="Expired (verified)",D532="Expiring: notice window (verified)",D532="Expiring: 10-yr horizon (verified)",D532="Past 30-yr mark (verify)",D532="30-yr mark: notice window (est.)",D532="Year-15 window"),1,0)+IF(ISNUMBER(O532),IF(O532&gt;=Scoring!$B$10,1,0),0)+IF(AND(ISNUMBER(L532),ISNUMBER(J532)),IF(J532&gt;0,IF(L532/J532&gt;=Scoring!$B$11,1,0),0),0)+IF(ISNUMBER(Z532),MIN(Z532,3),0))</f>
        <v>1</v>
      </c>
      <c r="AC532" s="22" t="n">
        <f aca="false">IF(AB532&gt;=3,Scoring!$C$24,IF(AB532=2,Scoring!$C$23,IF(AB532=1,Scoring!$C$22,0)))</f>
        <v>10</v>
      </c>
      <c r="AD532" s="22" t="n">
        <f aca="false">IF(T532="Y",0,IF(ISNUMBER(X532),IF(X532&gt;0.7,Scoring!$C$25,IF(X532&gt;=0.5,Scoring!$C$26,IF(X532&gt;=0.3,Scoring!$C$27,Scoring!$C$28))),Scoring!$C$29))</f>
        <v>10</v>
      </c>
      <c r="AE532" s="22" t="n">
        <f aca="false">IF(D532="Expiring: notice window (verified)",Scoring!$C$30,IF(OR(D532="Expired (verified)",D532="30-yr mark: notice window (est.)",D532="Year-15 window"),Scoring!$C$31,IF(D532="Expiring: 10-yr horizon (verified)",Scoring!$C$32,IF(D532="Past 30-yr mark (verify)",Scoring!$C$33,IF(OR(D532="Credit period",D532="Superseded record"),Scoring!$C$35,Scoring!$C$34)))))</f>
        <v>4</v>
      </c>
      <c r="AF532" s="22" t="n">
        <f aca="false">IF(T532="Y",0,IF(ISNUMBER(V532),IF(Scoring!$B$4-V532&gt;15,Scoring!$C$36,IF(Scoring!$B$4-V532&gt;=10,Scoring!$C$37,IF(Scoring!$B$4-V532&gt;=5,Scoring!$C$38,Scoring!$C$39))),IF(OR(N532="",D532="Out of program"),Scoring!$C$40,IF(O532&gt;15,Scoring!$C$36,IF(O532&gt;=10,Scoring!$C$37,IF(O532&gt;=5,Scoring!$C$38,Scoring!$C$39))))))</f>
        <v>8</v>
      </c>
      <c r="AG532" s="22" t="n">
        <f aca="false">IF(T532="Y",0,IF(Y532="Y",Scoring!$C$41,IF(ISNUMBER(O532),IF(O532&gt;=25,Scoring!$C$42,IF(O532&gt;=15,Scoring!$C$43,Scoring!$C$44)),Scoring!$C$44)))</f>
        <v>8</v>
      </c>
      <c r="AH532" s="22" t="n">
        <f aca="false">IF(T532="Y",0,IF(W532="",Scoring!$C$49,IFERROR(VLOOKUP(W532,Scoring!$B$45:$C$48,2,FALSE()),Scoring!$C$49)))</f>
        <v>5</v>
      </c>
      <c r="AI532" s="23" t="n">
        <f aca="false">C532+IF(ISNUMBER(J532),J532,0)/100000+(10000-ROW())/1000000000</f>
        <v>45.000029468</v>
      </c>
      <c r="AJ532" s="18"/>
      <c r="AK532" s="18"/>
      <c r="AL532" s="18"/>
      <c r="AM532" s="18"/>
    </row>
    <row r="533" customFormat="false" ht="15" hidden="false" customHeight="false" outlineLevel="0" collapsed="false">
      <c r="A533" s="15" t="n">
        <f aca="false">RANK(AI533,$AI$2:$AI$755)</f>
        <v>532</v>
      </c>
      <c r="B533" s="16" t="str">
        <f aca="false">IF(T533="Y","Superseded",IF(C533&gt;=Scoring!$B$16,"Immediate",IF(C533&gt;=Scoring!$B$17,"This week",IF(C533&gt;=Scoring!$B$18,"Nurture","Low"))))</f>
        <v>Nurture</v>
      </c>
      <c r="C533" s="3" t="n">
        <f aca="false">SUM(AC533:AH533)</f>
        <v>45</v>
      </c>
      <c r="D533" s="15" t="str">
        <f aca="false">IF(T533="Y","Superseded record",IF(AND(U533&lt;&gt;"",AA533&lt;0),"Expired (verified)",IF(AND(U533&lt;&gt;"",AA533&lt;=Scoring!$B$5),"Expiring: notice window (verified)",IF(AND(U533&lt;&gt;"",AA533&lt;=Scoring!$B$6),"Expiring: 10-yr horizon (verified)",IF(M533="No Longer Monitored","Out of program",IF(N533="","Unknown vintage",IF(N533&lt;Scoring!$B$12,"Pre-1990, still listed",IF(AND(U533="",AA533&lt;0),"Past 30-yr mark (verify)",IF(AND(U533="",AA533&lt;=Scoring!$B$5),"30-yr mark: notice window (est.)",IF(AND(O533&gt;=Scoring!$B$7,O533&lt;=Scoring!$B$8),"Year-15 window",IF(O533&gt;=Scoring!$B$9,"Recap window",IF(O533&gt;=11,"Late compliance","Credit period"))))))))))))</f>
        <v>Out of program</v>
      </c>
      <c r="E533" s="15" t="s">
        <v>1942</v>
      </c>
      <c r="F533" s="15" t="s">
        <v>1405</v>
      </c>
      <c r="G533" s="15" t="s">
        <v>1943</v>
      </c>
      <c r="H533" s="15" t="s">
        <v>97</v>
      </c>
      <c r="I533" s="15" t="s">
        <v>929</v>
      </c>
      <c r="J533" s="15" t="n">
        <v>1</v>
      </c>
      <c r="K533" s="15" t="n">
        <v>1</v>
      </c>
      <c r="L533" s="15" t="n">
        <f aca="false">IF(OR(J533="",K533=""),"",MAX(J533-K533,0))</f>
        <v>0</v>
      </c>
      <c r="M533" s="15" t="s">
        <v>1757</v>
      </c>
      <c r="N533" s="17" t="n">
        <v>1987</v>
      </c>
      <c r="O533" s="15" t="n">
        <f aca="false">IF(N533="","",Scoring!$B$4-N533)</f>
        <v>39</v>
      </c>
      <c r="P533" s="15" t="n">
        <f aca="false">IF(N533="","",N533+14)</f>
        <v>2001</v>
      </c>
      <c r="Q533" s="15" t="str">
        <f aca="false">IF(N533="","",IF(N533&lt;Scoring!$B$12,"n/a (pre-1990)",N533+Scoring!$B$13))</f>
        <v>n/a (pre-1990)</v>
      </c>
      <c r="R533" s="15" t="str">
        <f aca="false">IF(J533="","Unknown",IF(J533&gt;=5,"Yes","No (under 5 units)"))</f>
        <v>No (under 5 units)</v>
      </c>
      <c r="S533" s="15"/>
      <c r="T533" s="18"/>
      <c r="U533" s="19"/>
      <c r="V533" s="18"/>
      <c r="W533" s="18"/>
      <c r="X533" s="20"/>
      <c r="Y533" s="18"/>
      <c r="Z533" s="18"/>
      <c r="AA533" s="21" t="str">
        <f aca="false">IF(U533&lt;&gt;"",(U533-Scoring!$B$3)/365.25,IF(N533="","",IF(N533&lt;Scoring!$B$12,"",(DATE(N533+Scoring!$B$13,12,31)-Scoring!$B$3)/365.25)))</f>
        <v/>
      </c>
      <c r="AB533" s="22" t="n">
        <f aca="false">IF(T533="Y",0,IF(OR(D533="Expired (verified)",D533="Expiring: notice window (verified)",D533="Expiring: 10-yr horizon (verified)",D533="Past 30-yr mark (verify)",D533="30-yr mark: notice window (est.)",D533="Year-15 window"),1,0)+IF(ISNUMBER(O533),IF(O533&gt;=Scoring!$B$10,1,0),0)+IF(AND(ISNUMBER(L533),ISNUMBER(J533)),IF(J533&gt;0,IF(L533/J533&gt;=Scoring!$B$11,1,0),0),0)+IF(ISNUMBER(Z533),MIN(Z533,3),0))</f>
        <v>1</v>
      </c>
      <c r="AC533" s="22" t="n">
        <f aca="false">IF(AB533&gt;=3,Scoring!$C$24,IF(AB533=2,Scoring!$C$23,IF(AB533=1,Scoring!$C$22,0)))</f>
        <v>10</v>
      </c>
      <c r="AD533" s="22" t="n">
        <f aca="false">IF(T533="Y",0,IF(ISNUMBER(X533),IF(X533&gt;0.7,Scoring!$C$25,IF(X533&gt;=0.5,Scoring!$C$26,IF(X533&gt;=0.3,Scoring!$C$27,Scoring!$C$28))),Scoring!$C$29))</f>
        <v>10</v>
      </c>
      <c r="AE533" s="22" t="n">
        <f aca="false">IF(D533="Expiring: notice window (verified)",Scoring!$C$30,IF(OR(D533="Expired (verified)",D533="30-yr mark: notice window (est.)",D533="Year-15 window"),Scoring!$C$31,IF(D533="Expiring: 10-yr horizon (verified)",Scoring!$C$32,IF(D533="Past 30-yr mark (verify)",Scoring!$C$33,IF(OR(D533="Credit period",D533="Superseded record"),Scoring!$C$35,Scoring!$C$34)))))</f>
        <v>4</v>
      </c>
      <c r="AF533" s="22" t="n">
        <f aca="false">IF(T533="Y",0,IF(ISNUMBER(V533),IF(Scoring!$B$4-V533&gt;15,Scoring!$C$36,IF(Scoring!$B$4-V533&gt;=10,Scoring!$C$37,IF(Scoring!$B$4-V533&gt;=5,Scoring!$C$38,Scoring!$C$39))),IF(OR(N533="",D533="Out of program"),Scoring!$C$40,IF(O533&gt;15,Scoring!$C$36,IF(O533&gt;=10,Scoring!$C$37,IF(O533&gt;=5,Scoring!$C$38,Scoring!$C$39))))))</f>
        <v>8</v>
      </c>
      <c r="AG533" s="22" t="n">
        <f aca="false">IF(T533="Y",0,IF(Y533="Y",Scoring!$C$41,IF(ISNUMBER(O533),IF(O533&gt;=25,Scoring!$C$42,IF(O533&gt;=15,Scoring!$C$43,Scoring!$C$44)),Scoring!$C$44)))</f>
        <v>8</v>
      </c>
      <c r="AH533" s="22" t="n">
        <f aca="false">IF(T533="Y",0,IF(W533="",Scoring!$C$49,IFERROR(VLOOKUP(W533,Scoring!$B$45:$C$48,2,FALSE()),Scoring!$C$49)))</f>
        <v>5</v>
      </c>
      <c r="AI533" s="23" t="n">
        <f aca="false">C533+IF(ISNUMBER(J533),J533,0)/100000+(10000-ROW())/1000000000</f>
        <v>45.000019467</v>
      </c>
      <c r="AJ533" s="18"/>
      <c r="AK533" s="18"/>
      <c r="AL533" s="18"/>
      <c r="AM533" s="18"/>
    </row>
    <row r="534" customFormat="false" ht="15" hidden="false" customHeight="false" outlineLevel="0" collapsed="false">
      <c r="A534" s="15" t="n">
        <f aca="false">RANK(AI534,$AI$2:$AI$755)</f>
        <v>533</v>
      </c>
      <c r="B534" s="16" t="str">
        <f aca="false">IF(T534="Y","Superseded",IF(C534&gt;=Scoring!$B$16,"Immediate",IF(C534&gt;=Scoring!$B$17,"This week",IF(C534&gt;=Scoring!$B$18,"Nurture","Low"))))</f>
        <v>Nurture</v>
      </c>
      <c r="C534" s="3" t="n">
        <f aca="false">SUM(AC534:AH534)</f>
        <v>45</v>
      </c>
      <c r="D534" s="15" t="str">
        <f aca="false">IF(T534="Y","Superseded record",IF(AND(U534&lt;&gt;"",AA534&lt;0),"Expired (verified)",IF(AND(U534&lt;&gt;"",AA534&lt;=Scoring!$B$5),"Expiring: notice window (verified)",IF(AND(U534&lt;&gt;"",AA534&lt;=Scoring!$B$6),"Expiring: 10-yr horizon (verified)",IF(M534="No Longer Monitored","Out of program",IF(N534="","Unknown vintage",IF(N534&lt;Scoring!$B$12,"Pre-1990, still listed",IF(AND(U534="",AA534&lt;0),"Past 30-yr mark (verify)",IF(AND(U534="",AA534&lt;=Scoring!$B$5),"30-yr mark: notice window (est.)",IF(AND(O534&gt;=Scoring!$B$7,O534&lt;=Scoring!$B$8),"Year-15 window",IF(O534&gt;=Scoring!$B$9,"Recap window",IF(O534&gt;=11,"Late compliance","Credit period"))))))))))))</f>
        <v>Out of program</v>
      </c>
      <c r="E534" s="15" t="s">
        <v>1944</v>
      </c>
      <c r="F534" s="15" t="s">
        <v>1405</v>
      </c>
      <c r="G534" s="15" t="s">
        <v>1945</v>
      </c>
      <c r="H534" s="15" t="s">
        <v>97</v>
      </c>
      <c r="I534" s="15" t="s">
        <v>929</v>
      </c>
      <c r="J534" s="15" t="n">
        <v>1</v>
      </c>
      <c r="K534" s="15" t="n">
        <v>1</v>
      </c>
      <c r="L534" s="15" t="n">
        <f aca="false">IF(OR(J534="",K534=""),"",MAX(J534-K534,0))</f>
        <v>0</v>
      </c>
      <c r="M534" s="15" t="s">
        <v>1757</v>
      </c>
      <c r="N534" s="17" t="n">
        <v>1987</v>
      </c>
      <c r="O534" s="15" t="n">
        <f aca="false">IF(N534="","",Scoring!$B$4-N534)</f>
        <v>39</v>
      </c>
      <c r="P534" s="15" t="n">
        <f aca="false">IF(N534="","",N534+14)</f>
        <v>2001</v>
      </c>
      <c r="Q534" s="15" t="str">
        <f aca="false">IF(N534="","",IF(N534&lt;Scoring!$B$12,"n/a (pre-1990)",N534+Scoring!$B$13))</f>
        <v>n/a (pre-1990)</v>
      </c>
      <c r="R534" s="15" t="str">
        <f aca="false">IF(J534="","Unknown",IF(J534&gt;=5,"Yes","No (under 5 units)"))</f>
        <v>No (under 5 units)</v>
      </c>
      <c r="S534" s="15"/>
      <c r="T534" s="18"/>
      <c r="U534" s="19"/>
      <c r="V534" s="18"/>
      <c r="W534" s="18"/>
      <c r="X534" s="20"/>
      <c r="Y534" s="18"/>
      <c r="Z534" s="18"/>
      <c r="AA534" s="21" t="str">
        <f aca="false">IF(U534&lt;&gt;"",(U534-Scoring!$B$3)/365.25,IF(N534="","",IF(N534&lt;Scoring!$B$12,"",(DATE(N534+Scoring!$B$13,12,31)-Scoring!$B$3)/365.25)))</f>
        <v/>
      </c>
      <c r="AB534" s="22" t="n">
        <f aca="false">IF(T534="Y",0,IF(OR(D534="Expired (verified)",D534="Expiring: notice window (verified)",D534="Expiring: 10-yr horizon (verified)",D534="Past 30-yr mark (verify)",D534="30-yr mark: notice window (est.)",D534="Year-15 window"),1,0)+IF(ISNUMBER(O534),IF(O534&gt;=Scoring!$B$10,1,0),0)+IF(AND(ISNUMBER(L534),ISNUMBER(J534)),IF(J534&gt;0,IF(L534/J534&gt;=Scoring!$B$11,1,0),0),0)+IF(ISNUMBER(Z534),MIN(Z534,3),0))</f>
        <v>1</v>
      </c>
      <c r="AC534" s="22" t="n">
        <f aca="false">IF(AB534&gt;=3,Scoring!$C$24,IF(AB534=2,Scoring!$C$23,IF(AB534=1,Scoring!$C$22,0)))</f>
        <v>10</v>
      </c>
      <c r="AD534" s="22" t="n">
        <f aca="false">IF(T534="Y",0,IF(ISNUMBER(X534),IF(X534&gt;0.7,Scoring!$C$25,IF(X534&gt;=0.5,Scoring!$C$26,IF(X534&gt;=0.3,Scoring!$C$27,Scoring!$C$28))),Scoring!$C$29))</f>
        <v>10</v>
      </c>
      <c r="AE534" s="22" t="n">
        <f aca="false">IF(D534="Expiring: notice window (verified)",Scoring!$C$30,IF(OR(D534="Expired (verified)",D534="30-yr mark: notice window (est.)",D534="Year-15 window"),Scoring!$C$31,IF(D534="Expiring: 10-yr horizon (verified)",Scoring!$C$32,IF(D534="Past 30-yr mark (verify)",Scoring!$C$33,IF(OR(D534="Credit period",D534="Superseded record"),Scoring!$C$35,Scoring!$C$34)))))</f>
        <v>4</v>
      </c>
      <c r="AF534" s="22" t="n">
        <f aca="false">IF(T534="Y",0,IF(ISNUMBER(V534),IF(Scoring!$B$4-V534&gt;15,Scoring!$C$36,IF(Scoring!$B$4-V534&gt;=10,Scoring!$C$37,IF(Scoring!$B$4-V534&gt;=5,Scoring!$C$38,Scoring!$C$39))),IF(OR(N534="",D534="Out of program"),Scoring!$C$40,IF(O534&gt;15,Scoring!$C$36,IF(O534&gt;=10,Scoring!$C$37,IF(O534&gt;=5,Scoring!$C$38,Scoring!$C$39))))))</f>
        <v>8</v>
      </c>
      <c r="AG534" s="22" t="n">
        <f aca="false">IF(T534="Y",0,IF(Y534="Y",Scoring!$C$41,IF(ISNUMBER(O534),IF(O534&gt;=25,Scoring!$C$42,IF(O534&gt;=15,Scoring!$C$43,Scoring!$C$44)),Scoring!$C$44)))</f>
        <v>8</v>
      </c>
      <c r="AH534" s="22" t="n">
        <f aca="false">IF(T534="Y",0,IF(W534="",Scoring!$C$49,IFERROR(VLOOKUP(W534,Scoring!$B$45:$C$48,2,FALSE()),Scoring!$C$49)))</f>
        <v>5</v>
      </c>
      <c r="AI534" s="23" t="n">
        <f aca="false">C534+IF(ISNUMBER(J534),J534,0)/100000+(10000-ROW())/1000000000</f>
        <v>45.000019466</v>
      </c>
      <c r="AJ534" s="18"/>
      <c r="AK534" s="18"/>
      <c r="AL534" s="18"/>
      <c r="AM534" s="18"/>
    </row>
    <row r="535" customFormat="false" ht="15" hidden="false" customHeight="false" outlineLevel="0" collapsed="false">
      <c r="A535" s="15" t="n">
        <f aca="false">RANK(AI535,$AI$2:$AI$755)</f>
        <v>534</v>
      </c>
      <c r="B535" s="16" t="str">
        <f aca="false">IF(T535="Y","Superseded",IF(C535&gt;=Scoring!$B$16,"Immediate",IF(C535&gt;=Scoring!$B$17,"This week",IF(C535&gt;=Scoring!$B$18,"Nurture","Low"))))</f>
        <v>Nurture</v>
      </c>
      <c r="C535" s="3" t="n">
        <f aca="false">SUM(AC535:AH535)</f>
        <v>45</v>
      </c>
      <c r="D535" s="15" t="str">
        <f aca="false">IF(T535="Y","Superseded record",IF(AND(U535&lt;&gt;"",AA535&lt;0),"Expired (verified)",IF(AND(U535&lt;&gt;"",AA535&lt;=Scoring!$B$5),"Expiring: notice window (verified)",IF(AND(U535&lt;&gt;"",AA535&lt;=Scoring!$B$6),"Expiring: 10-yr horizon (verified)",IF(M535="No Longer Monitored","Out of program",IF(N535="","Unknown vintage",IF(N535&lt;Scoring!$B$12,"Pre-1990, still listed",IF(AND(U535="",AA535&lt;0),"Past 30-yr mark (verify)",IF(AND(U535="",AA535&lt;=Scoring!$B$5),"30-yr mark: notice window (est.)",IF(AND(O535&gt;=Scoring!$B$7,O535&lt;=Scoring!$B$8),"Year-15 window",IF(O535&gt;=Scoring!$B$9,"Recap window",IF(O535&gt;=11,"Late compliance","Credit period"))))))))))))</f>
        <v>Out of program</v>
      </c>
      <c r="E535" s="15" t="s">
        <v>1946</v>
      </c>
      <c r="F535" s="15" t="s">
        <v>1405</v>
      </c>
      <c r="G535" s="15" t="s">
        <v>1947</v>
      </c>
      <c r="H535" s="15" t="s">
        <v>97</v>
      </c>
      <c r="I535" s="15" t="s">
        <v>245</v>
      </c>
      <c r="J535" s="15" t="n">
        <v>1</v>
      </c>
      <c r="K535" s="15" t="n">
        <v>1</v>
      </c>
      <c r="L535" s="15" t="n">
        <f aca="false">IF(OR(J535="",K535=""),"",MAX(J535-K535,0))</f>
        <v>0</v>
      </c>
      <c r="M535" s="15" t="s">
        <v>1757</v>
      </c>
      <c r="N535" s="17" t="n">
        <v>1987</v>
      </c>
      <c r="O535" s="15" t="n">
        <f aca="false">IF(N535="","",Scoring!$B$4-N535)</f>
        <v>39</v>
      </c>
      <c r="P535" s="15" t="n">
        <f aca="false">IF(N535="","",N535+14)</f>
        <v>2001</v>
      </c>
      <c r="Q535" s="15" t="str">
        <f aca="false">IF(N535="","",IF(N535&lt;Scoring!$B$12,"n/a (pre-1990)",N535+Scoring!$B$13))</f>
        <v>n/a (pre-1990)</v>
      </c>
      <c r="R535" s="15" t="str">
        <f aca="false">IF(J535="","Unknown",IF(J535&gt;=5,"Yes","No (under 5 units)"))</f>
        <v>No (under 5 units)</v>
      </c>
      <c r="S535" s="15"/>
      <c r="T535" s="18"/>
      <c r="U535" s="19"/>
      <c r="V535" s="18"/>
      <c r="W535" s="18"/>
      <c r="X535" s="20"/>
      <c r="Y535" s="18"/>
      <c r="Z535" s="18"/>
      <c r="AA535" s="21" t="str">
        <f aca="false">IF(U535&lt;&gt;"",(U535-Scoring!$B$3)/365.25,IF(N535="","",IF(N535&lt;Scoring!$B$12,"",(DATE(N535+Scoring!$B$13,12,31)-Scoring!$B$3)/365.25)))</f>
        <v/>
      </c>
      <c r="AB535" s="22" t="n">
        <f aca="false">IF(T535="Y",0,IF(OR(D535="Expired (verified)",D535="Expiring: notice window (verified)",D535="Expiring: 10-yr horizon (verified)",D535="Past 30-yr mark (verify)",D535="30-yr mark: notice window (est.)",D535="Year-15 window"),1,0)+IF(ISNUMBER(O535),IF(O535&gt;=Scoring!$B$10,1,0),0)+IF(AND(ISNUMBER(L535),ISNUMBER(J535)),IF(J535&gt;0,IF(L535/J535&gt;=Scoring!$B$11,1,0),0),0)+IF(ISNUMBER(Z535),MIN(Z535,3),0))</f>
        <v>1</v>
      </c>
      <c r="AC535" s="22" t="n">
        <f aca="false">IF(AB535&gt;=3,Scoring!$C$24,IF(AB535=2,Scoring!$C$23,IF(AB535=1,Scoring!$C$22,0)))</f>
        <v>10</v>
      </c>
      <c r="AD535" s="22" t="n">
        <f aca="false">IF(T535="Y",0,IF(ISNUMBER(X535),IF(X535&gt;0.7,Scoring!$C$25,IF(X535&gt;=0.5,Scoring!$C$26,IF(X535&gt;=0.3,Scoring!$C$27,Scoring!$C$28))),Scoring!$C$29))</f>
        <v>10</v>
      </c>
      <c r="AE535" s="22" t="n">
        <f aca="false">IF(D535="Expiring: notice window (verified)",Scoring!$C$30,IF(OR(D535="Expired (verified)",D535="30-yr mark: notice window (est.)",D535="Year-15 window"),Scoring!$C$31,IF(D535="Expiring: 10-yr horizon (verified)",Scoring!$C$32,IF(D535="Past 30-yr mark (verify)",Scoring!$C$33,IF(OR(D535="Credit period",D535="Superseded record"),Scoring!$C$35,Scoring!$C$34)))))</f>
        <v>4</v>
      </c>
      <c r="AF535" s="22" t="n">
        <f aca="false">IF(T535="Y",0,IF(ISNUMBER(V535),IF(Scoring!$B$4-V535&gt;15,Scoring!$C$36,IF(Scoring!$B$4-V535&gt;=10,Scoring!$C$37,IF(Scoring!$B$4-V535&gt;=5,Scoring!$C$38,Scoring!$C$39))),IF(OR(N535="",D535="Out of program"),Scoring!$C$40,IF(O535&gt;15,Scoring!$C$36,IF(O535&gt;=10,Scoring!$C$37,IF(O535&gt;=5,Scoring!$C$38,Scoring!$C$39))))))</f>
        <v>8</v>
      </c>
      <c r="AG535" s="22" t="n">
        <f aca="false">IF(T535="Y",0,IF(Y535="Y",Scoring!$C$41,IF(ISNUMBER(O535),IF(O535&gt;=25,Scoring!$C$42,IF(O535&gt;=15,Scoring!$C$43,Scoring!$C$44)),Scoring!$C$44)))</f>
        <v>8</v>
      </c>
      <c r="AH535" s="22" t="n">
        <f aca="false">IF(T535="Y",0,IF(W535="",Scoring!$C$49,IFERROR(VLOOKUP(W535,Scoring!$B$45:$C$48,2,FALSE()),Scoring!$C$49)))</f>
        <v>5</v>
      </c>
      <c r="AI535" s="23" t="n">
        <f aca="false">C535+IF(ISNUMBER(J535),J535,0)/100000+(10000-ROW())/1000000000</f>
        <v>45.000019465</v>
      </c>
      <c r="AJ535" s="18"/>
      <c r="AK535" s="18"/>
      <c r="AL535" s="18"/>
      <c r="AM535" s="18"/>
    </row>
    <row r="536" customFormat="false" ht="15" hidden="false" customHeight="false" outlineLevel="0" collapsed="false">
      <c r="A536" s="15" t="n">
        <f aca="false">RANK(AI536,$AI$2:$AI$755)</f>
        <v>535</v>
      </c>
      <c r="B536" s="16" t="str">
        <f aca="false">IF(T536="Y","Superseded",IF(C536&gt;=Scoring!$B$16,"Immediate",IF(C536&gt;=Scoring!$B$17,"This week",IF(C536&gt;=Scoring!$B$18,"Nurture","Low"))))</f>
        <v>Nurture</v>
      </c>
      <c r="C536" s="3" t="n">
        <f aca="false">SUM(AC536:AH536)</f>
        <v>45</v>
      </c>
      <c r="D536" s="15" t="str">
        <f aca="false">IF(T536="Y","Superseded record",IF(AND(U536&lt;&gt;"",AA536&lt;0),"Expired (verified)",IF(AND(U536&lt;&gt;"",AA536&lt;=Scoring!$B$5),"Expiring: notice window (verified)",IF(AND(U536&lt;&gt;"",AA536&lt;=Scoring!$B$6),"Expiring: 10-yr horizon (verified)",IF(M536="No Longer Monitored","Out of program",IF(N536="","Unknown vintage",IF(N536&lt;Scoring!$B$12,"Pre-1990, still listed",IF(AND(U536="",AA536&lt;0),"Past 30-yr mark (verify)",IF(AND(U536="",AA536&lt;=Scoring!$B$5),"30-yr mark: notice window (est.)",IF(AND(O536&gt;=Scoring!$B$7,O536&lt;=Scoring!$B$8),"Year-15 window",IF(O536&gt;=Scoring!$B$9,"Recap window",IF(O536&gt;=11,"Late compliance","Credit period"))))))))))))</f>
        <v>Out of program</v>
      </c>
      <c r="E536" s="15" t="s">
        <v>1948</v>
      </c>
      <c r="F536" s="15" t="s">
        <v>1405</v>
      </c>
      <c r="G536" s="15" t="s">
        <v>1949</v>
      </c>
      <c r="H536" s="15" t="s">
        <v>97</v>
      </c>
      <c r="I536" s="15" t="s">
        <v>929</v>
      </c>
      <c r="J536" s="15" t="n">
        <v>1</v>
      </c>
      <c r="K536" s="15" t="n">
        <v>1</v>
      </c>
      <c r="L536" s="15" t="n">
        <f aca="false">IF(OR(J536="",K536=""),"",MAX(J536-K536,0))</f>
        <v>0</v>
      </c>
      <c r="M536" s="15" t="s">
        <v>1757</v>
      </c>
      <c r="N536" s="17" t="n">
        <v>1987</v>
      </c>
      <c r="O536" s="15" t="n">
        <f aca="false">IF(N536="","",Scoring!$B$4-N536)</f>
        <v>39</v>
      </c>
      <c r="P536" s="15" t="n">
        <f aca="false">IF(N536="","",N536+14)</f>
        <v>2001</v>
      </c>
      <c r="Q536" s="15" t="str">
        <f aca="false">IF(N536="","",IF(N536&lt;Scoring!$B$12,"n/a (pre-1990)",N536+Scoring!$B$13))</f>
        <v>n/a (pre-1990)</v>
      </c>
      <c r="R536" s="15" t="str">
        <f aca="false">IF(J536="","Unknown",IF(J536&gt;=5,"Yes","No (under 5 units)"))</f>
        <v>No (under 5 units)</v>
      </c>
      <c r="S536" s="15"/>
      <c r="T536" s="18"/>
      <c r="U536" s="19"/>
      <c r="V536" s="18"/>
      <c r="W536" s="18"/>
      <c r="X536" s="20"/>
      <c r="Y536" s="18"/>
      <c r="Z536" s="18"/>
      <c r="AA536" s="21" t="str">
        <f aca="false">IF(U536&lt;&gt;"",(U536-Scoring!$B$3)/365.25,IF(N536="","",IF(N536&lt;Scoring!$B$12,"",(DATE(N536+Scoring!$B$13,12,31)-Scoring!$B$3)/365.25)))</f>
        <v/>
      </c>
      <c r="AB536" s="22" t="n">
        <f aca="false">IF(T536="Y",0,IF(OR(D536="Expired (verified)",D536="Expiring: notice window (verified)",D536="Expiring: 10-yr horizon (verified)",D536="Past 30-yr mark (verify)",D536="30-yr mark: notice window (est.)",D536="Year-15 window"),1,0)+IF(ISNUMBER(O536),IF(O536&gt;=Scoring!$B$10,1,0),0)+IF(AND(ISNUMBER(L536),ISNUMBER(J536)),IF(J536&gt;0,IF(L536/J536&gt;=Scoring!$B$11,1,0),0),0)+IF(ISNUMBER(Z536),MIN(Z536,3),0))</f>
        <v>1</v>
      </c>
      <c r="AC536" s="22" t="n">
        <f aca="false">IF(AB536&gt;=3,Scoring!$C$24,IF(AB536=2,Scoring!$C$23,IF(AB536=1,Scoring!$C$22,0)))</f>
        <v>10</v>
      </c>
      <c r="AD536" s="22" t="n">
        <f aca="false">IF(T536="Y",0,IF(ISNUMBER(X536),IF(X536&gt;0.7,Scoring!$C$25,IF(X536&gt;=0.5,Scoring!$C$26,IF(X536&gt;=0.3,Scoring!$C$27,Scoring!$C$28))),Scoring!$C$29))</f>
        <v>10</v>
      </c>
      <c r="AE536" s="22" t="n">
        <f aca="false">IF(D536="Expiring: notice window (verified)",Scoring!$C$30,IF(OR(D536="Expired (verified)",D536="30-yr mark: notice window (est.)",D536="Year-15 window"),Scoring!$C$31,IF(D536="Expiring: 10-yr horizon (verified)",Scoring!$C$32,IF(D536="Past 30-yr mark (verify)",Scoring!$C$33,IF(OR(D536="Credit period",D536="Superseded record"),Scoring!$C$35,Scoring!$C$34)))))</f>
        <v>4</v>
      </c>
      <c r="AF536" s="22" t="n">
        <f aca="false">IF(T536="Y",0,IF(ISNUMBER(V536),IF(Scoring!$B$4-V536&gt;15,Scoring!$C$36,IF(Scoring!$B$4-V536&gt;=10,Scoring!$C$37,IF(Scoring!$B$4-V536&gt;=5,Scoring!$C$38,Scoring!$C$39))),IF(OR(N536="",D536="Out of program"),Scoring!$C$40,IF(O536&gt;15,Scoring!$C$36,IF(O536&gt;=10,Scoring!$C$37,IF(O536&gt;=5,Scoring!$C$38,Scoring!$C$39))))))</f>
        <v>8</v>
      </c>
      <c r="AG536" s="22" t="n">
        <f aca="false">IF(T536="Y",0,IF(Y536="Y",Scoring!$C$41,IF(ISNUMBER(O536),IF(O536&gt;=25,Scoring!$C$42,IF(O536&gt;=15,Scoring!$C$43,Scoring!$C$44)),Scoring!$C$44)))</f>
        <v>8</v>
      </c>
      <c r="AH536" s="22" t="n">
        <f aca="false">IF(T536="Y",0,IF(W536="",Scoring!$C$49,IFERROR(VLOOKUP(W536,Scoring!$B$45:$C$48,2,FALSE()),Scoring!$C$49)))</f>
        <v>5</v>
      </c>
      <c r="AI536" s="23" t="n">
        <f aca="false">C536+IF(ISNUMBER(J536),J536,0)/100000+(10000-ROW())/1000000000</f>
        <v>45.000019464</v>
      </c>
      <c r="AJ536" s="18"/>
      <c r="AK536" s="18"/>
      <c r="AL536" s="18"/>
      <c r="AM536" s="18"/>
    </row>
    <row r="537" customFormat="false" ht="15" hidden="false" customHeight="false" outlineLevel="0" collapsed="false">
      <c r="A537" s="15" t="n">
        <f aca="false">RANK(AI537,$AI$2:$AI$755)</f>
        <v>536</v>
      </c>
      <c r="B537" s="16" t="str">
        <f aca="false">IF(T537="Y","Superseded",IF(C537&gt;=Scoring!$B$16,"Immediate",IF(C537&gt;=Scoring!$B$17,"This week",IF(C537&gt;=Scoring!$B$18,"Nurture","Low"))))</f>
        <v>Nurture</v>
      </c>
      <c r="C537" s="3" t="n">
        <f aca="false">SUM(AC537:AH537)</f>
        <v>45</v>
      </c>
      <c r="D537" s="15" t="str">
        <f aca="false">IF(T537="Y","Superseded record",IF(AND(U537&lt;&gt;"",AA537&lt;0),"Expired (verified)",IF(AND(U537&lt;&gt;"",AA537&lt;=Scoring!$B$5),"Expiring: notice window (verified)",IF(AND(U537&lt;&gt;"",AA537&lt;=Scoring!$B$6),"Expiring: 10-yr horizon (verified)",IF(M537="No Longer Monitored","Out of program",IF(N537="","Unknown vintage",IF(N537&lt;Scoring!$B$12,"Pre-1990, still listed",IF(AND(U537="",AA537&lt;0),"Past 30-yr mark (verify)",IF(AND(U537="",AA537&lt;=Scoring!$B$5),"30-yr mark: notice window (est.)",IF(AND(O537&gt;=Scoring!$B$7,O537&lt;=Scoring!$B$8),"Year-15 window",IF(O537&gt;=Scoring!$B$9,"Recap window",IF(O537&gt;=11,"Late compliance","Credit period"))))))))))))</f>
        <v>Out of program</v>
      </c>
      <c r="E537" s="15" t="s">
        <v>1950</v>
      </c>
      <c r="F537" s="15" t="s">
        <v>1405</v>
      </c>
      <c r="G537" s="15" t="s">
        <v>1951</v>
      </c>
      <c r="H537" s="15" t="s">
        <v>97</v>
      </c>
      <c r="I537" s="15" t="s">
        <v>929</v>
      </c>
      <c r="J537" s="15" t="n">
        <v>1</v>
      </c>
      <c r="K537" s="15" t="n">
        <v>1</v>
      </c>
      <c r="L537" s="15" t="n">
        <f aca="false">IF(OR(J537="",K537=""),"",MAX(J537-K537,0))</f>
        <v>0</v>
      </c>
      <c r="M537" s="15" t="s">
        <v>1757</v>
      </c>
      <c r="N537" s="17" t="n">
        <v>1987</v>
      </c>
      <c r="O537" s="15" t="n">
        <f aca="false">IF(N537="","",Scoring!$B$4-N537)</f>
        <v>39</v>
      </c>
      <c r="P537" s="15" t="n">
        <f aca="false">IF(N537="","",N537+14)</f>
        <v>2001</v>
      </c>
      <c r="Q537" s="15" t="str">
        <f aca="false">IF(N537="","",IF(N537&lt;Scoring!$B$12,"n/a (pre-1990)",N537+Scoring!$B$13))</f>
        <v>n/a (pre-1990)</v>
      </c>
      <c r="R537" s="15" t="str">
        <f aca="false">IF(J537="","Unknown",IF(J537&gt;=5,"Yes","No (under 5 units)"))</f>
        <v>No (under 5 units)</v>
      </c>
      <c r="S537" s="15"/>
      <c r="T537" s="18"/>
      <c r="U537" s="19"/>
      <c r="V537" s="18"/>
      <c r="W537" s="18"/>
      <c r="X537" s="20"/>
      <c r="Y537" s="18"/>
      <c r="Z537" s="18"/>
      <c r="AA537" s="21" t="str">
        <f aca="false">IF(U537&lt;&gt;"",(U537-Scoring!$B$3)/365.25,IF(N537="","",IF(N537&lt;Scoring!$B$12,"",(DATE(N537+Scoring!$B$13,12,31)-Scoring!$B$3)/365.25)))</f>
        <v/>
      </c>
      <c r="AB537" s="22" t="n">
        <f aca="false">IF(T537="Y",0,IF(OR(D537="Expired (verified)",D537="Expiring: notice window (verified)",D537="Expiring: 10-yr horizon (verified)",D537="Past 30-yr mark (verify)",D537="30-yr mark: notice window (est.)",D537="Year-15 window"),1,0)+IF(ISNUMBER(O537),IF(O537&gt;=Scoring!$B$10,1,0),0)+IF(AND(ISNUMBER(L537),ISNUMBER(J537)),IF(J537&gt;0,IF(L537/J537&gt;=Scoring!$B$11,1,0),0),0)+IF(ISNUMBER(Z537),MIN(Z537,3),0))</f>
        <v>1</v>
      </c>
      <c r="AC537" s="22" t="n">
        <f aca="false">IF(AB537&gt;=3,Scoring!$C$24,IF(AB537=2,Scoring!$C$23,IF(AB537=1,Scoring!$C$22,0)))</f>
        <v>10</v>
      </c>
      <c r="AD537" s="22" t="n">
        <f aca="false">IF(T537="Y",0,IF(ISNUMBER(X537),IF(X537&gt;0.7,Scoring!$C$25,IF(X537&gt;=0.5,Scoring!$C$26,IF(X537&gt;=0.3,Scoring!$C$27,Scoring!$C$28))),Scoring!$C$29))</f>
        <v>10</v>
      </c>
      <c r="AE537" s="22" t="n">
        <f aca="false">IF(D537="Expiring: notice window (verified)",Scoring!$C$30,IF(OR(D537="Expired (verified)",D537="30-yr mark: notice window (est.)",D537="Year-15 window"),Scoring!$C$31,IF(D537="Expiring: 10-yr horizon (verified)",Scoring!$C$32,IF(D537="Past 30-yr mark (verify)",Scoring!$C$33,IF(OR(D537="Credit period",D537="Superseded record"),Scoring!$C$35,Scoring!$C$34)))))</f>
        <v>4</v>
      </c>
      <c r="AF537" s="22" t="n">
        <f aca="false">IF(T537="Y",0,IF(ISNUMBER(V537),IF(Scoring!$B$4-V537&gt;15,Scoring!$C$36,IF(Scoring!$B$4-V537&gt;=10,Scoring!$C$37,IF(Scoring!$B$4-V537&gt;=5,Scoring!$C$38,Scoring!$C$39))),IF(OR(N537="",D537="Out of program"),Scoring!$C$40,IF(O537&gt;15,Scoring!$C$36,IF(O537&gt;=10,Scoring!$C$37,IF(O537&gt;=5,Scoring!$C$38,Scoring!$C$39))))))</f>
        <v>8</v>
      </c>
      <c r="AG537" s="22" t="n">
        <f aca="false">IF(T537="Y",0,IF(Y537="Y",Scoring!$C$41,IF(ISNUMBER(O537),IF(O537&gt;=25,Scoring!$C$42,IF(O537&gt;=15,Scoring!$C$43,Scoring!$C$44)),Scoring!$C$44)))</f>
        <v>8</v>
      </c>
      <c r="AH537" s="22" t="n">
        <f aca="false">IF(T537="Y",0,IF(W537="",Scoring!$C$49,IFERROR(VLOOKUP(W537,Scoring!$B$45:$C$48,2,FALSE()),Scoring!$C$49)))</f>
        <v>5</v>
      </c>
      <c r="AI537" s="23" t="n">
        <f aca="false">C537+IF(ISNUMBER(J537),J537,0)/100000+(10000-ROW())/1000000000</f>
        <v>45.000019463</v>
      </c>
      <c r="AJ537" s="18"/>
      <c r="AK537" s="18"/>
      <c r="AL537" s="18"/>
      <c r="AM537" s="18"/>
    </row>
    <row r="538" customFormat="false" ht="15" hidden="false" customHeight="false" outlineLevel="0" collapsed="false">
      <c r="A538" s="15" t="n">
        <f aca="false">RANK(AI538,$AI$2:$AI$755)</f>
        <v>537</v>
      </c>
      <c r="B538" s="16" t="str">
        <f aca="false">IF(T538="Y","Superseded",IF(C538&gt;=Scoring!$B$16,"Immediate",IF(C538&gt;=Scoring!$B$17,"This week",IF(C538&gt;=Scoring!$B$18,"Nurture","Low"))))</f>
        <v>Nurture</v>
      </c>
      <c r="C538" s="3" t="n">
        <f aca="false">SUM(AC538:AH538)</f>
        <v>45</v>
      </c>
      <c r="D538" s="15" t="str">
        <f aca="false">IF(T538="Y","Superseded record",IF(AND(U538&lt;&gt;"",AA538&lt;0),"Expired (verified)",IF(AND(U538&lt;&gt;"",AA538&lt;=Scoring!$B$5),"Expiring: notice window (verified)",IF(AND(U538&lt;&gt;"",AA538&lt;=Scoring!$B$6),"Expiring: 10-yr horizon (verified)",IF(M538="No Longer Monitored","Out of program",IF(N538="","Unknown vintage",IF(N538&lt;Scoring!$B$12,"Pre-1990, still listed",IF(AND(U538="",AA538&lt;0),"Past 30-yr mark (verify)",IF(AND(U538="",AA538&lt;=Scoring!$B$5),"30-yr mark: notice window (est.)",IF(AND(O538&gt;=Scoring!$B$7,O538&lt;=Scoring!$B$8),"Year-15 window",IF(O538&gt;=Scoring!$B$9,"Recap window",IF(O538&gt;=11,"Late compliance","Credit period"))))))))))))</f>
        <v>Out of program</v>
      </c>
      <c r="E538" s="15" t="s">
        <v>1952</v>
      </c>
      <c r="F538" s="15" t="s">
        <v>1405</v>
      </c>
      <c r="G538" s="15" t="s">
        <v>1953</v>
      </c>
      <c r="H538" s="15" t="s">
        <v>97</v>
      </c>
      <c r="I538" s="15" t="s">
        <v>929</v>
      </c>
      <c r="J538" s="15" t="n">
        <v>1</v>
      </c>
      <c r="K538" s="15" t="n">
        <v>1</v>
      </c>
      <c r="L538" s="15" t="n">
        <f aca="false">IF(OR(J538="",K538=""),"",MAX(J538-K538,0))</f>
        <v>0</v>
      </c>
      <c r="M538" s="15" t="s">
        <v>1757</v>
      </c>
      <c r="N538" s="17" t="n">
        <v>1987</v>
      </c>
      <c r="O538" s="15" t="n">
        <f aca="false">IF(N538="","",Scoring!$B$4-N538)</f>
        <v>39</v>
      </c>
      <c r="P538" s="15" t="n">
        <f aca="false">IF(N538="","",N538+14)</f>
        <v>2001</v>
      </c>
      <c r="Q538" s="15" t="str">
        <f aca="false">IF(N538="","",IF(N538&lt;Scoring!$B$12,"n/a (pre-1990)",N538+Scoring!$B$13))</f>
        <v>n/a (pre-1990)</v>
      </c>
      <c r="R538" s="15" t="str">
        <f aca="false">IF(J538="","Unknown",IF(J538&gt;=5,"Yes","No (under 5 units)"))</f>
        <v>No (under 5 units)</v>
      </c>
      <c r="S538" s="15"/>
      <c r="T538" s="18"/>
      <c r="U538" s="19"/>
      <c r="V538" s="18"/>
      <c r="W538" s="18"/>
      <c r="X538" s="20"/>
      <c r="Y538" s="18"/>
      <c r="Z538" s="18"/>
      <c r="AA538" s="21" t="str">
        <f aca="false">IF(U538&lt;&gt;"",(U538-Scoring!$B$3)/365.25,IF(N538="","",IF(N538&lt;Scoring!$B$12,"",(DATE(N538+Scoring!$B$13,12,31)-Scoring!$B$3)/365.25)))</f>
        <v/>
      </c>
      <c r="AB538" s="22" t="n">
        <f aca="false">IF(T538="Y",0,IF(OR(D538="Expired (verified)",D538="Expiring: notice window (verified)",D538="Expiring: 10-yr horizon (verified)",D538="Past 30-yr mark (verify)",D538="30-yr mark: notice window (est.)",D538="Year-15 window"),1,0)+IF(ISNUMBER(O538),IF(O538&gt;=Scoring!$B$10,1,0),0)+IF(AND(ISNUMBER(L538),ISNUMBER(J538)),IF(J538&gt;0,IF(L538/J538&gt;=Scoring!$B$11,1,0),0),0)+IF(ISNUMBER(Z538),MIN(Z538,3),0))</f>
        <v>1</v>
      </c>
      <c r="AC538" s="22" t="n">
        <f aca="false">IF(AB538&gt;=3,Scoring!$C$24,IF(AB538=2,Scoring!$C$23,IF(AB538=1,Scoring!$C$22,0)))</f>
        <v>10</v>
      </c>
      <c r="AD538" s="22" t="n">
        <f aca="false">IF(T538="Y",0,IF(ISNUMBER(X538),IF(X538&gt;0.7,Scoring!$C$25,IF(X538&gt;=0.5,Scoring!$C$26,IF(X538&gt;=0.3,Scoring!$C$27,Scoring!$C$28))),Scoring!$C$29))</f>
        <v>10</v>
      </c>
      <c r="AE538" s="22" t="n">
        <f aca="false">IF(D538="Expiring: notice window (verified)",Scoring!$C$30,IF(OR(D538="Expired (verified)",D538="30-yr mark: notice window (est.)",D538="Year-15 window"),Scoring!$C$31,IF(D538="Expiring: 10-yr horizon (verified)",Scoring!$C$32,IF(D538="Past 30-yr mark (verify)",Scoring!$C$33,IF(OR(D538="Credit period",D538="Superseded record"),Scoring!$C$35,Scoring!$C$34)))))</f>
        <v>4</v>
      </c>
      <c r="AF538" s="22" t="n">
        <f aca="false">IF(T538="Y",0,IF(ISNUMBER(V538),IF(Scoring!$B$4-V538&gt;15,Scoring!$C$36,IF(Scoring!$B$4-V538&gt;=10,Scoring!$C$37,IF(Scoring!$B$4-V538&gt;=5,Scoring!$C$38,Scoring!$C$39))),IF(OR(N538="",D538="Out of program"),Scoring!$C$40,IF(O538&gt;15,Scoring!$C$36,IF(O538&gt;=10,Scoring!$C$37,IF(O538&gt;=5,Scoring!$C$38,Scoring!$C$39))))))</f>
        <v>8</v>
      </c>
      <c r="AG538" s="22" t="n">
        <f aca="false">IF(T538="Y",0,IF(Y538="Y",Scoring!$C$41,IF(ISNUMBER(O538),IF(O538&gt;=25,Scoring!$C$42,IF(O538&gt;=15,Scoring!$C$43,Scoring!$C$44)),Scoring!$C$44)))</f>
        <v>8</v>
      </c>
      <c r="AH538" s="22" t="n">
        <f aca="false">IF(T538="Y",0,IF(W538="",Scoring!$C$49,IFERROR(VLOOKUP(W538,Scoring!$B$45:$C$48,2,FALSE()),Scoring!$C$49)))</f>
        <v>5</v>
      </c>
      <c r="AI538" s="23" t="n">
        <f aca="false">C538+IF(ISNUMBER(J538),J538,0)/100000+(10000-ROW())/1000000000</f>
        <v>45.000019462</v>
      </c>
      <c r="AJ538" s="18"/>
      <c r="AK538" s="18"/>
      <c r="AL538" s="18"/>
      <c r="AM538" s="18"/>
    </row>
    <row r="539" customFormat="false" ht="15" hidden="false" customHeight="false" outlineLevel="0" collapsed="false">
      <c r="A539" s="15" t="n">
        <f aca="false">RANK(AI539,$AI$2:$AI$755)</f>
        <v>538</v>
      </c>
      <c r="B539" s="16" t="str">
        <f aca="false">IF(T539="Y","Superseded",IF(C539&gt;=Scoring!$B$16,"Immediate",IF(C539&gt;=Scoring!$B$17,"This week",IF(C539&gt;=Scoring!$B$18,"Nurture","Low"))))</f>
        <v>Nurture</v>
      </c>
      <c r="C539" s="3" t="n">
        <f aca="false">SUM(AC539:AH539)</f>
        <v>45</v>
      </c>
      <c r="D539" s="15" t="str">
        <f aca="false">IF(T539="Y","Superseded record",IF(AND(U539&lt;&gt;"",AA539&lt;0),"Expired (verified)",IF(AND(U539&lt;&gt;"",AA539&lt;=Scoring!$B$5),"Expiring: notice window (verified)",IF(AND(U539&lt;&gt;"",AA539&lt;=Scoring!$B$6),"Expiring: 10-yr horizon (verified)",IF(M539="No Longer Monitored","Out of program",IF(N539="","Unknown vintage",IF(N539&lt;Scoring!$B$12,"Pre-1990, still listed",IF(AND(U539="",AA539&lt;0),"Past 30-yr mark (verify)",IF(AND(U539="",AA539&lt;=Scoring!$B$5),"30-yr mark: notice window (est.)",IF(AND(O539&gt;=Scoring!$B$7,O539&lt;=Scoring!$B$8),"Year-15 window",IF(O539&gt;=Scoring!$B$9,"Recap window",IF(O539&gt;=11,"Late compliance","Credit period"))))))))))))</f>
        <v>Out of program</v>
      </c>
      <c r="E539" s="15" t="s">
        <v>1954</v>
      </c>
      <c r="F539" s="15" t="s">
        <v>1405</v>
      </c>
      <c r="G539" s="15" t="s">
        <v>1955</v>
      </c>
      <c r="H539" s="15" t="s">
        <v>97</v>
      </c>
      <c r="I539" s="15" t="s">
        <v>929</v>
      </c>
      <c r="J539" s="15" t="n">
        <v>1</v>
      </c>
      <c r="K539" s="15" t="n">
        <v>1</v>
      </c>
      <c r="L539" s="15" t="n">
        <f aca="false">IF(OR(J539="",K539=""),"",MAX(J539-K539,0))</f>
        <v>0</v>
      </c>
      <c r="M539" s="15" t="s">
        <v>1757</v>
      </c>
      <c r="N539" s="17" t="n">
        <v>1987</v>
      </c>
      <c r="O539" s="15" t="n">
        <f aca="false">IF(N539="","",Scoring!$B$4-N539)</f>
        <v>39</v>
      </c>
      <c r="P539" s="15" t="n">
        <f aca="false">IF(N539="","",N539+14)</f>
        <v>2001</v>
      </c>
      <c r="Q539" s="15" t="str">
        <f aca="false">IF(N539="","",IF(N539&lt;Scoring!$B$12,"n/a (pre-1990)",N539+Scoring!$B$13))</f>
        <v>n/a (pre-1990)</v>
      </c>
      <c r="R539" s="15" t="str">
        <f aca="false">IF(J539="","Unknown",IF(J539&gt;=5,"Yes","No (under 5 units)"))</f>
        <v>No (under 5 units)</v>
      </c>
      <c r="S539" s="15"/>
      <c r="T539" s="18"/>
      <c r="U539" s="19"/>
      <c r="V539" s="18"/>
      <c r="W539" s="18"/>
      <c r="X539" s="20"/>
      <c r="Y539" s="18"/>
      <c r="Z539" s="18"/>
      <c r="AA539" s="21" t="str">
        <f aca="false">IF(U539&lt;&gt;"",(U539-Scoring!$B$3)/365.25,IF(N539="","",IF(N539&lt;Scoring!$B$12,"",(DATE(N539+Scoring!$B$13,12,31)-Scoring!$B$3)/365.25)))</f>
        <v/>
      </c>
      <c r="AB539" s="22" t="n">
        <f aca="false">IF(T539="Y",0,IF(OR(D539="Expired (verified)",D539="Expiring: notice window (verified)",D539="Expiring: 10-yr horizon (verified)",D539="Past 30-yr mark (verify)",D539="30-yr mark: notice window (est.)",D539="Year-15 window"),1,0)+IF(ISNUMBER(O539),IF(O539&gt;=Scoring!$B$10,1,0),0)+IF(AND(ISNUMBER(L539),ISNUMBER(J539)),IF(J539&gt;0,IF(L539/J539&gt;=Scoring!$B$11,1,0),0),0)+IF(ISNUMBER(Z539),MIN(Z539,3),0))</f>
        <v>1</v>
      </c>
      <c r="AC539" s="22" t="n">
        <f aca="false">IF(AB539&gt;=3,Scoring!$C$24,IF(AB539=2,Scoring!$C$23,IF(AB539=1,Scoring!$C$22,0)))</f>
        <v>10</v>
      </c>
      <c r="AD539" s="22" t="n">
        <f aca="false">IF(T539="Y",0,IF(ISNUMBER(X539),IF(X539&gt;0.7,Scoring!$C$25,IF(X539&gt;=0.5,Scoring!$C$26,IF(X539&gt;=0.3,Scoring!$C$27,Scoring!$C$28))),Scoring!$C$29))</f>
        <v>10</v>
      </c>
      <c r="AE539" s="22" t="n">
        <f aca="false">IF(D539="Expiring: notice window (verified)",Scoring!$C$30,IF(OR(D539="Expired (verified)",D539="30-yr mark: notice window (est.)",D539="Year-15 window"),Scoring!$C$31,IF(D539="Expiring: 10-yr horizon (verified)",Scoring!$C$32,IF(D539="Past 30-yr mark (verify)",Scoring!$C$33,IF(OR(D539="Credit period",D539="Superseded record"),Scoring!$C$35,Scoring!$C$34)))))</f>
        <v>4</v>
      </c>
      <c r="AF539" s="22" t="n">
        <f aca="false">IF(T539="Y",0,IF(ISNUMBER(V539),IF(Scoring!$B$4-V539&gt;15,Scoring!$C$36,IF(Scoring!$B$4-V539&gt;=10,Scoring!$C$37,IF(Scoring!$B$4-V539&gt;=5,Scoring!$C$38,Scoring!$C$39))),IF(OR(N539="",D539="Out of program"),Scoring!$C$40,IF(O539&gt;15,Scoring!$C$36,IF(O539&gt;=10,Scoring!$C$37,IF(O539&gt;=5,Scoring!$C$38,Scoring!$C$39))))))</f>
        <v>8</v>
      </c>
      <c r="AG539" s="22" t="n">
        <f aca="false">IF(T539="Y",0,IF(Y539="Y",Scoring!$C$41,IF(ISNUMBER(O539),IF(O539&gt;=25,Scoring!$C$42,IF(O539&gt;=15,Scoring!$C$43,Scoring!$C$44)),Scoring!$C$44)))</f>
        <v>8</v>
      </c>
      <c r="AH539" s="22" t="n">
        <f aca="false">IF(T539="Y",0,IF(W539="",Scoring!$C$49,IFERROR(VLOOKUP(W539,Scoring!$B$45:$C$48,2,FALSE()),Scoring!$C$49)))</f>
        <v>5</v>
      </c>
      <c r="AI539" s="23" t="n">
        <f aca="false">C539+IF(ISNUMBER(J539),J539,0)/100000+(10000-ROW())/1000000000</f>
        <v>45.000019461</v>
      </c>
      <c r="AJ539" s="18"/>
      <c r="AK539" s="18"/>
      <c r="AL539" s="18"/>
      <c r="AM539" s="18"/>
    </row>
    <row r="540" customFormat="false" ht="15" hidden="false" customHeight="false" outlineLevel="0" collapsed="false">
      <c r="A540" s="15" t="n">
        <f aca="false">RANK(AI540,$AI$2:$AI$755)</f>
        <v>539</v>
      </c>
      <c r="B540" s="16" t="str">
        <f aca="false">IF(T540="Y","Superseded",IF(C540&gt;=Scoring!$B$16,"Immediate",IF(C540&gt;=Scoring!$B$17,"This week",IF(C540&gt;=Scoring!$B$18,"Nurture","Low"))))</f>
        <v>Nurture</v>
      </c>
      <c r="C540" s="3" t="n">
        <f aca="false">SUM(AC540:AH540)</f>
        <v>45</v>
      </c>
      <c r="D540" s="15" t="str">
        <f aca="false">IF(T540="Y","Superseded record",IF(AND(U540&lt;&gt;"",AA540&lt;0),"Expired (verified)",IF(AND(U540&lt;&gt;"",AA540&lt;=Scoring!$B$5),"Expiring: notice window (verified)",IF(AND(U540&lt;&gt;"",AA540&lt;=Scoring!$B$6),"Expiring: 10-yr horizon (verified)",IF(M540="No Longer Monitored","Out of program",IF(N540="","Unknown vintage",IF(N540&lt;Scoring!$B$12,"Pre-1990, still listed",IF(AND(U540="",AA540&lt;0),"Past 30-yr mark (verify)",IF(AND(U540="",AA540&lt;=Scoring!$B$5),"30-yr mark: notice window (est.)",IF(AND(O540&gt;=Scoring!$B$7,O540&lt;=Scoring!$B$8),"Year-15 window",IF(O540&gt;=Scoring!$B$9,"Recap window",IF(O540&gt;=11,"Late compliance","Credit period"))))))))))))</f>
        <v>Out of program</v>
      </c>
      <c r="E540" s="15" t="s">
        <v>1956</v>
      </c>
      <c r="F540" s="15" t="s">
        <v>1405</v>
      </c>
      <c r="G540" s="15" t="s">
        <v>1957</v>
      </c>
      <c r="H540" s="15" t="s">
        <v>97</v>
      </c>
      <c r="I540" s="15" t="s">
        <v>863</v>
      </c>
      <c r="J540" s="15" t="n">
        <v>1</v>
      </c>
      <c r="K540" s="15" t="n">
        <v>1</v>
      </c>
      <c r="L540" s="15" t="n">
        <f aca="false">IF(OR(J540="",K540=""),"",MAX(J540-K540,0))</f>
        <v>0</v>
      </c>
      <c r="M540" s="15" t="s">
        <v>1757</v>
      </c>
      <c r="N540" s="17" t="n">
        <v>1987</v>
      </c>
      <c r="O540" s="15" t="n">
        <f aca="false">IF(N540="","",Scoring!$B$4-N540)</f>
        <v>39</v>
      </c>
      <c r="P540" s="15" t="n">
        <f aca="false">IF(N540="","",N540+14)</f>
        <v>2001</v>
      </c>
      <c r="Q540" s="15" t="str">
        <f aca="false">IF(N540="","",IF(N540&lt;Scoring!$B$12,"n/a (pre-1990)",N540+Scoring!$B$13))</f>
        <v>n/a (pre-1990)</v>
      </c>
      <c r="R540" s="15" t="str">
        <f aca="false">IF(J540="","Unknown",IF(J540&gt;=5,"Yes","No (under 5 units)"))</f>
        <v>No (under 5 units)</v>
      </c>
      <c r="S540" s="15"/>
      <c r="T540" s="18"/>
      <c r="U540" s="19"/>
      <c r="V540" s="18"/>
      <c r="W540" s="18"/>
      <c r="X540" s="20"/>
      <c r="Y540" s="18"/>
      <c r="Z540" s="18"/>
      <c r="AA540" s="21" t="str">
        <f aca="false">IF(U540&lt;&gt;"",(U540-Scoring!$B$3)/365.25,IF(N540="","",IF(N540&lt;Scoring!$B$12,"",(DATE(N540+Scoring!$B$13,12,31)-Scoring!$B$3)/365.25)))</f>
        <v/>
      </c>
      <c r="AB540" s="22" t="n">
        <f aca="false">IF(T540="Y",0,IF(OR(D540="Expired (verified)",D540="Expiring: notice window (verified)",D540="Expiring: 10-yr horizon (verified)",D540="Past 30-yr mark (verify)",D540="30-yr mark: notice window (est.)",D540="Year-15 window"),1,0)+IF(ISNUMBER(O540),IF(O540&gt;=Scoring!$B$10,1,0),0)+IF(AND(ISNUMBER(L540),ISNUMBER(J540)),IF(J540&gt;0,IF(L540/J540&gt;=Scoring!$B$11,1,0),0),0)+IF(ISNUMBER(Z540),MIN(Z540,3),0))</f>
        <v>1</v>
      </c>
      <c r="AC540" s="22" t="n">
        <f aca="false">IF(AB540&gt;=3,Scoring!$C$24,IF(AB540=2,Scoring!$C$23,IF(AB540=1,Scoring!$C$22,0)))</f>
        <v>10</v>
      </c>
      <c r="AD540" s="22" t="n">
        <f aca="false">IF(T540="Y",0,IF(ISNUMBER(X540),IF(X540&gt;0.7,Scoring!$C$25,IF(X540&gt;=0.5,Scoring!$C$26,IF(X540&gt;=0.3,Scoring!$C$27,Scoring!$C$28))),Scoring!$C$29))</f>
        <v>10</v>
      </c>
      <c r="AE540" s="22" t="n">
        <f aca="false">IF(D540="Expiring: notice window (verified)",Scoring!$C$30,IF(OR(D540="Expired (verified)",D540="30-yr mark: notice window (est.)",D540="Year-15 window"),Scoring!$C$31,IF(D540="Expiring: 10-yr horizon (verified)",Scoring!$C$32,IF(D540="Past 30-yr mark (verify)",Scoring!$C$33,IF(OR(D540="Credit period",D540="Superseded record"),Scoring!$C$35,Scoring!$C$34)))))</f>
        <v>4</v>
      </c>
      <c r="AF540" s="22" t="n">
        <f aca="false">IF(T540="Y",0,IF(ISNUMBER(V540),IF(Scoring!$B$4-V540&gt;15,Scoring!$C$36,IF(Scoring!$B$4-V540&gt;=10,Scoring!$C$37,IF(Scoring!$B$4-V540&gt;=5,Scoring!$C$38,Scoring!$C$39))),IF(OR(N540="",D540="Out of program"),Scoring!$C$40,IF(O540&gt;15,Scoring!$C$36,IF(O540&gt;=10,Scoring!$C$37,IF(O540&gt;=5,Scoring!$C$38,Scoring!$C$39))))))</f>
        <v>8</v>
      </c>
      <c r="AG540" s="22" t="n">
        <f aca="false">IF(T540="Y",0,IF(Y540="Y",Scoring!$C$41,IF(ISNUMBER(O540),IF(O540&gt;=25,Scoring!$C$42,IF(O540&gt;=15,Scoring!$C$43,Scoring!$C$44)),Scoring!$C$44)))</f>
        <v>8</v>
      </c>
      <c r="AH540" s="22" t="n">
        <f aca="false">IF(T540="Y",0,IF(W540="",Scoring!$C$49,IFERROR(VLOOKUP(W540,Scoring!$B$45:$C$48,2,FALSE()),Scoring!$C$49)))</f>
        <v>5</v>
      </c>
      <c r="AI540" s="23" t="n">
        <f aca="false">C540+IF(ISNUMBER(J540),J540,0)/100000+(10000-ROW())/1000000000</f>
        <v>45.00001946</v>
      </c>
      <c r="AJ540" s="18"/>
      <c r="AK540" s="18"/>
      <c r="AL540" s="18"/>
      <c r="AM540" s="18"/>
    </row>
    <row r="541" customFormat="false" ht="15" hidden="false" customHeight="false" outlineLevel="0" collapsed="false">
      <c r="A541" s="15" t="n">
        <f aca="false">RANK(AI541,$AI$2:$AI$755)</f>
        <v>540</v>
      </c>
      <c r="B541" s="16" t="str">
        <f aca="false">IF(T541="Y","Superseded",IF(C541&gt;=Scoring!$B$16,"Immediate",IF(C541&gt;=Scoring!$B$17,"This week",IF(C541&gt;=Scoring!$B$18,"Nurture","Low"))))</f>
        <v>Nurture</v>
      </c>
      <c r="C541" s="3" t="n">
        <f aca="false">SUM(AC541:AH541)</f>
        <v>45</v>
      </c>
      <c r="D541" s="15" t="str">
        <f aca="false">IF(T541="Y","Superseded record",IF(AND(U541&lt;&gt;"",AA541&lt;0),"Expired (verified)",IF(AND(U541&lt;&gt;"",AA541&lt;=Scoring!$B$5),"Expiring: notice window (verified)",IF(AND(U541&lt;&gt;"",AA541&lt;=Scoring!$B$6),"Expiring: 10-yr horizon (verified)",IF(M541="No Longer Monitored","Out of program",IF(N541="","Unknown vintage",IF(N541&lt;Scoring!$B$12,"Pre-1990, still listed",IF(AND(U541="",AA541&lt;0),"Past 30-yr mark (verify)",IF(AND(U541="",AA541&lt;=Scoring!$B$5),"30-yr mark: notice window (est.)",IF(AND(O541&gt;=Scoring!$B$7,O541&lt;=Scoring!$B$8),"Year-15 window",IF(O541&gt;=Scoring!$B$9,"Recap window",IF(O541&gt;=11,"Late compliance","Credit period"))))))))))))</f>
        <v>Out of program</v>
      </c>
      <c r="E541" s="15" t="s">
        <v>1958</v>
      </c>
      <c r="F541" s="15" t="s">
        <v>1959</v>
      </c>
      <c r="G541" s="15" t="s">
        <v>1960</v>
      </c>
      <c r="H541" s="15" t="s">
        <v>97</v>
      </c>
      <c r="I541" s="15" t="s">
        <v>929</v>
      </c>
      <c r="J541" s="15" t="n">
        <v>1</v>
      </c>
      <c r="K541" s="15" t="n">
        <v>1</v>
      </c>
      <c r="L541" s="15" t="n">
        <f aca="false">IF(OR(J541="",K541=""),"",MAX(J541-K541,0))</f>
        <v>0</v>
      </c>
      <c r="M541" s="15" t="s">
        <v>1757</v>
      </c>
      <c r="N541" s="17" t="n">
        <v>1987</v>
      </c>
      <c r="O541" s="15" t="n">
        <f aca="false">IF(N541="","",Scoring!$B$4-N541)</f>
        <v>39</v>
      </c>
      <c r="P541" s="15" t="n">
        <f aca="false">IF(N541="","",N541+14)</f>
        <v>2001</v>
      </c>
      <c r="Q541" s="15" t="str">
        <f aca="false">IF(N541="","",IF(N541&lt;Scoring!$B$12,"n/a (pre-1990)",N541+Scoring!$B$13))</f>
        <v>n/a (pre-1990)</v>
      </c>
      <c r="R541" s="15" t="str">
        <f aca="false">IF(J541="","Unknown",IF(J541&gt;=5,"Yes","No (under 5 units)"))</f>
        <v>No (under 5 units)</v>
      </c>
      <c r="S541" s="15"/>
      <c r="T541" s="18"/>
      <c r="U541" s="19"/>
      <c r="V541" s="18"/>
      <c r="W541" s="18"/>
      <c r="X541" s="20"/>
      <c r="Y541" s="18"/>
      <c r="Z541" s="18"/>
      <c r="AA541" s="21" t="str">
        <f aca="false">IF(U541&lt;&gt;"",(U541-Scoring!$B$3)/365.25,IF(N541="","",IF(N541&lt;Scoring!$B$12,"",(DATE(N541+Scoring!$B$13,12,31)-Scoring!$B$3)/365.25)))</f>
        <v/>
      </c>
      <c r="AB541" s="22" t="n">
        <f aca="false">IF(T541="Y",0,IF(OR(D541="Expired (verified)",D541="Expiring: notice window (verified)",D541="Expiring: 10-yr horizon (verified)",D541="Past 30-yr mark (verify)",D541="30-yr mark: notice window (est.)",D541="Year-15 window"),1,0)+IF(ISNUMBER(O541),IF(O541&gt;=Scoring!$B$10,1,0),0)+IF(AND(ISNUMBER(L541),ISNUMBER(J541)),IF(J541&gt;0,IF(L541/J541&gt;=Scoring!$B$11,1,0),0),0)+IF(ISNUMBER(Z541),MIN(Z541,3),0))</f>
        <v>1</v>
      </c>
      <c r="AC541" s="22" t="n">
        <f aca="false">IF(AB541&gt;=3,Scoring!$C$24,IF(AB541=2,Scoring!$C$23,IF(AB541=1,Scoring!$C$22,0)))</f>
        <v>10</v>
      </c>
      <c r="AD541" s="22" t="n">
        <f aca="false">IF(T541="Y",0,IF(ISNUMBER(X541),IF(X541&gt;0.7,Scoring!$C$25,IF(X541&gt;=0.5,Scoring!$C$26,IF(X541&gt;=0.3,Scoring!$C$27,Scoring!$C$28))),Scoring!$C$29))</f>
        <v>10</v>
      </c>
      <c r="AE541" s="22" t="n">
        <f aca="false">IF(D541="Expiring: notice window (verified)",Scoring!$C$30,IF(OR(D541="Expired (verified)",D541="30-yr mark: notice window (est.)",D541="Year-15 window"),Scoring!$C$31,IF(D541="Expiring: 10-yr horizon (verified)",Scoring!$C$32,IF(D541="Past 30-yr mark (verify)",Scoring!$C$33,IF(OR(D541="Credit period",D541="Superseded record"),Scoring!$C$35,Scoring!$C$34)))))</f>
        <v>4</v>
      </c>
      <c r="AF541" s="22" t="n">
        <f aca="false">IF(T541="Y",0,IF(ISNUMBER(V541),IF(Scoring!$B$4-V541&gt;15,Scoring!$C$36,IF(Scoring!$B$4-V541&gt;=10,Scoring!$C$37,IF(Scoring!$B$4-V541&gt;=5,Scoring!$C$38,Scoring!$C$39))),IF(OR(N541="",D541="Out of program"),Scoring!$C$40,IF(O541&gt;15,Scoring!$C$36,IF(O541&gt;=10,Scoring!$C$37,IF(O541&gt;=5,Scoring!$C$38,Scoring!$C$39))))))</f>
        <v>8</v>
      </c>
      <c r="AG541" s="22" t="n">
        <f aca="false">IF(T541="Y",0,IF(Y541="Y",Scoring!$C$41,IF(ISNUMBER(O541),IF(O541&gt;=25,Scoring!$C$42,IF(O541&gt;=15,Scoring!$C$43,Scoring!$C$44)),Scoring!$C$44)))</f>
        <v>8</v>
      </c>
      <c r="AH541" s="22" t="n">
        <f aca="false">IF(T541="Y",0,IF(W541="",Scoring!$C$49,IFERROR(VLOOKUP(W541,Scoring!$B$45:$C$48,2,FALSE()),Scoring!$C$49)))</f>
        <v>5</v>
      </c>
      <c r="AI541" s="23" t="n">
        <f aca="false">C541+IF(ISNUMBER(J541),J541,0)/100000+(10000-ROW())/1000000000</f>
        <v>45.000019459</v>
      </c>
      <c r="AJ541" s="18"/>
      <c r="AK541" s="18"/>
      <c r="AL541" s="18"/>
      <c r="AM541" s="18"/>
    </row>
    <row r="542" customFormat="false" ht="15" hidden="false" customHeight="false" outlineLevel="0" collapsed="false">
      <c r="A542" s="15" t="n">
        <f aca="false">RANK(AI542,$AI$2:$AI$755)</f>
        <v>541</v>
      </c>
      <c r="B542" s="16" t="str">
        <f aca="false">IF(T542="Y","Superseded",IF(C542&gt;=Scoring!$B$16,"Immediate",IF(C542&gt;=Scoring!$B$17,"This week",IF(C542&gt;=Scoring!$B$18,"Nurture","Low"))))</f>
        <v>Nurture</v>
      </c>
      <c r="C542" s="3" t="n">
        <f aca="false">SUM(AC542:AH542)</f>
        <v>45</v>
      </c>
      <c r="D542" s="15" t="str">
        <f aca="false">IF(T542="Y","Superseded record",IF(AND(U542&lt;&gt;"",AA542&lt;0),"Expired (verified)",IF(AND(U542&lt;&gt;"",AA542&lt;=Scoring!$B$5),"Expiring: notice window (verified)",IF(AND(U542&lt;&gt;"",AA542&lt;=Scoring!$B$6),"Expiring: 10-yr horizon (verified)",IF(M542="No Longer Monitored","Out of program",IF(N542="","Unknown vintage",IF(N542&lt;Scoring!$B$12,"Pre-1990, still listed",IF(AND(U542="",AA542&lt;0),"Past 30-yr mark (verify)",IF(AND(U542="",AA542&lt;=Scoring!$B$5),"30-yr mark: notice window (est.)",IF(AND(O542&gt;=Scoring!$B$7,O542&lt;=Scoring!$B$8),"Year-15 window",IF(O542&gt;=Scoring!$B$9,"Recap window",IF(O542&gt;=11,"Late compliance","Credit period"))))))))))))</f>
        <v>Out of program</v>
      </c>
      <c r="E542" s="15" t="s">
        <v>1961</v>
      </c>
      <c r="F542" s="15" t="s">
        <v>1959</v>
      </c>
      <c r="G542" s="15" t="s">
        <v>1962</v>
      </c>
      <c r="H542" s="15" t="s">
        <v>97</v>
      </c>
      <c r="I542" s="15" t="s">
        <v>929</v>
      </c>
      <c r="J542" s="15" t="n">
        <v>1</v>
      </c>
      <c r="K542" s="15" t="n">
        <v>1</v>
      </c>
      <c r="L542" s="15" t="n">
        <f aca="false">IF(OR(J542="",K542=""),"",MAX(J542-K542,0))</f>
        <v>0</v>
      </c>
      <c r="M542" s="15" t="s">
        <v>1757</v>
      </c>
      <c r="N542" s="17" t="n">
        <v>1987</v>
      </c>
      <c r="O542" s="15" t="n">
        <f aca="false">IF(N542="","",Scoring!$B$4-N542)</f>
        <v>39</v>
      </c>
      <c r="P542" s="15" t="n">
        <f aca="false">IF(N542="","",N542+14)</f>
        <v>2001</v>
      </c>
      <c r="Q542" s="15" t="str">
        <f aca="false">IF(N542="","",IF(N542&lt;Scoring!$B$12,"n/a (pre-1990)",N542+Scoring!$B$13))</f>
        <v>n/a (pre-1990)</v>
      </c>
      <c r="R542" s="15" t="str">
        <f aca="false">IF(J542="","Unknown",IF(J542&gt;=5,"Yes","No (under 5 units)"))</f>
        <v>No (under 5 units)</v>
      </c>
      <c r="S542" s="15"/>
      <c r="T542" s="18"/>
      <c r="U542" s="19"/>
      <c r="V542" s="18"/>
      <c r="W542" s="18"/>
      <c r="X542" s="20"/>
      <c r="Y542" s="18"/>
      <c r="Z542" s="18"/>
      <c r="AA542" s="21" t="str">
        <f aca="false">IF(U542&lt;&gt;"",(U542-Scoring!$B$3)/365.25,IF(N542="","",IF(N542&lt;Scoring!$B$12,"",(DATE(N542+Scoring!$B$13,12,31)-Scoring!$B$3)/365.25)))</f>
        <v/>
      </c>
      <c r="AB542" s="22" t="n">
        <f aca="false">IF(T542="Y",0,IF(OR(D542="Expired (verified)",D542="Expiring: notice window (verified)",D542="Expiring: 10-yr horizon (verified)",D542="Past 30-yr mark (verify)",D542="30-yr mark: notice window (est.)",D542="Year-15 window"),1,0)+IF(ISNUMBER(O542),IF(O542&gt;=Scoring!$B$10,1,0),0)+IF(AND(ISNUMBER(L542),ISNUMBER(J542)),IF(J542&gt;0,IF(L542/J542&gt;=Scoring!$B$11,1,0),0),0)+IF(ISNUMBER(Z542),MIN(Z542,3),0))</f>
        <v>1</v>
      </c>
      <c r="AC542" s="22" t="n">
        <f aca="false">IF(AB542&gt;=3,Scoring!$C$24,IF(AB542=2,Scoring!$C$23,IF(AB542=1,Scoring!$C$22,0)))</f>
        <v>10</v>
      </c>
      <c r="AD542" s="22" t="n">
        <f aca="false">IF(T542="Y",0,IF(ISNUMBER(X542),IF(X542&gt;0.7,Scoring!$C$25,IF(X542&gt;=0.5,Scoring!$C$26,IF(X542&gt;=0.3,Scoring!$C$27,Scoring!$C$28))),Scoring!$C$29))</f>
        <v>10</v>
      </c>
      <c r="AE542" s="22" t="n">
        <f aca="false">IF(D542="Expiring: notice window (verified)",Scoring!$C$30,IF(OR(D542="Expired (verified)",D542="30-yr mark: notice window (est.)",D542="Year-15 window"),Scoring!$C$31,IF(D542="Expiring: 10-yr horizon (verified)",Scoring!$C$32,IF(D542="Past 30-yr mark (verify)",Scoring!$C$33,IF(OR(D542="Credit period",D542="Superseded record"),Scoring!$C$35,Scoring!$C$34)))))</f>
        <v>4</v>
      </c>
      <c r="AF542" s="22" t="n">
        <f aca="false">IF(T542="Y",0,IF(ISNUMBER(V542),IF(Scoring!$B$4-V542&gt;15,Scoring!$C$36,IF(Scoring!$B$4-V542&gt;=10,Scoring!$C$37,IF(Scoring!$B$4-V542&gt;=5,Scoring!$C$38,Scoring!$C$39))),IF(OR(N542="",D542="Out of program"),Scoring!$C$40,IF(O542&gt;15,Scoring!$C$36,IF(O542&gt;=10,Scoring!$C$37,IF(O542&gt;=5,Scoring!$C$38,Scoring!$C$39))))))</f>
        <v>8</v>
      </c>
      <c r="AG542" s="22" t="n">
        <f aca="false">IF(T542="Y",0,IF(Y542="Y",Scoring!$C$41,IF(ISNUMBER(O542),IF(O542&gt;=25,Scoring!$C$42,IF(O542&gt;=15,Scoring!$C$43,Scoring!$C$44)),Scoring!$C$44)))</f>
        <v>8</v>
      </c>
      <c r="AH542" s="22" t="n">
        <f aca="false">IF(T542="Y",0,IF(W542="",Scoring!$C$49,IFERROR(VLOOKUP(W542,Scoring!$B$45:$C$48,2,FALSE()),Scoring!$C$49)))</f>
        <v>5</v>
      </c>
      <c r="AI542" s="23" t="n">
        <f aca="false">C542+IF(ISNUMBER(J542),J542,0)/100000+(10000-ROW())/1000000000</f>
        <v>45.000019458</v>
      </c>
      <c r="AJ542" s="18"/>
      <c r="AK542" s="18"/>
      <c r="AL542" s="18"/>
      <c r="AM542" s="18"/>
    </row>
    <row r="543" customFormat="false" ht="15" hidden="false" customHeight="false" outlineLevel="0" collapsed="false">
      <c r="A543" s="15" t="n">
        <f aca="false">RANK(AI543,$AI$2:$AI$755)</f>
        <v>542</v>
      </c>
      <c r="B543" s="16" t="str">
        <f aca="false">IF(T543="Y","Superseded",IF(C543&gt;=Scoring!$B$16,"Immediate",IF(C543&gt;=Scoring!$B$17,"This week",IF(C543&gt;=Scoring!$B$18,"Nurture","Low"))))</f>
        <v>Nurture</v>
      </c>
      <c r="C543" s="3" t="n">
        <f aca="false">SUM(AC543:AH543)</f>
        <v>45</v>
      </c>
      <c r="D543" s="15" t="str">
        <f aca="false">IF(T543="Y","Superseded record",IF(AND(U543&lt;&gt;"",AA543&lt;0),"Expired (verified)",IF(AND(U543&lt;&gt;"",AA543&lt;=Scoring!$B$5),"Expiring: notice window (verified)",IF(AND(U543&lt;&gt;"",AA543&lt;=Scoring!$B$6),"Expiring: 10-yr horizon (verified)",IF(M543="No Longer Monitored","Out of program",IF(N543="","Unknown vintage",IF(N543&lt;Scoring!$B$12,"Pre-1990, still listed",IF(AND(U543="",AA543&lt;0),"Past 30-yr mark (verify)",IF(AND(U543="",AA543&lt;=Scoring!$B$5),"30-yr mark: notice window (est.)",IF(AND(O543&gt;=Scoring!$B$7,O543&lt;=Scoring!$B$8),"Year-15 window",IF(O543&gt;=Scoring!$B$9,"Recap window",IF(O543&gt;=11,"Late compliance","Credit period"))))))))))))</f>
        <v>Out of program</v>
      </c>
      <c r="E543" s="15" t="s">
        <v>1963</v>
      </c>
      <c r="F543" s="15" t="s">
        <v>1964</v>
      </c>
      <c r="G543" s="15" t="s">
        <v>1965</v>
      </c>
      <c r="H543" s="15" t="s">
        <v>97</v>
      </c>
      <c r="I543" s="15" t="s">
        <v>863</v>
      </c>
      <c r="J543" s="15" t="n">
        <v>1</v>
      </c>
      <c r="K543" s="15" t="n">
        <v>1</v>
      </c>
      <c r="L543" s="15" t="n">
        <f aca="false">IF(OR(J543="",K543=""),"",MAX(J543-K543,0))</f>
        <v>0</v>
      </c>
      <c r="M543" s="15" t="s">
        <v>1757</v>
      </c>
      <c r="N543" s="17" t="n">
        <v>1987</v>
      </c>
      <c r="O543" s="15" t="n">
        <f aca="false">IF(N543="","",Scoring!$B$4-N543)</f>
        <v>39</v>
      </c>
      <c r="P543" s="15" t="n">
        <f aca="false">IF(N543="","",N543+14)</f>
        <v>2001</v>
      </c>
      <c r="Q543" s="15" t="str">
        <f aca="false">IF(N543="","",IF(N543&lt;Scoring!$B$12,"n/a (pre-1990)",N543+Scoring!$B$13))</f>
        <v>n/a (pre-1990)</v>
      </c>
      <c r="R543" s="15" t="str">
        <f aca="false">IF(J543="","Unknown",IF(J543&gt;=5,"Yes","No (under 5 units)"))</f>
        <v>No (under 5 units)</v>
      </c>
      <c r="S543" s="15"/>
      <c r="T543" s="18"/>
      <c r="U543" s="19"/>
      <c r="V543" s="18"/>
      <c r="W543" s="18"/>
      <c r="X543" s="20"/>
      <c r="Y543" s="18"/>
      <c r="Z543" s="18"/>
      <c r="AA543" s="21" t="str">
        <f aca="false">IF(U543&lt;&gt;"",(U543-Scoring!$B$3)/365.25,IF(N543="","",IF(N543&lt;Scoring!$B$12,"",(DATE(N543+Scoring!$B$13,12,31)-Scoring!$B$3)/365.25)))</f>
        <v/>
      </c>
      <c r="AB543" s="22" t="n">
        <f aca="false">IF(T543="Y",0,IF(OR(D543="Expired (verified)",D543="Expiring: notice window (verified)",D543="Expiring: 10-yr horizon (verified)",D543="Past 30-yr mark (verify)",D543="30-yr mark: notice window (est.)",D543="Year-15 window"),1,0)+IF(ISNUMBER(O543),IF(O543&gt;=Scoring!$B$10,1,0),0)+IF(AND(ISNUMBER(L543),ISNUMBER(J543)),IF(J543&gt;0,IF(L543/J543&gt;=Scoring!$B$11,1,0),0),0)+IF(ISNUMBER(Z543),MIN(Z543,3),0))</f>
        <v>1</v>
      </c>
      <c r="AC543" s="22" t="n">
        <f aca="false">IF(AB543&gt;=3,Scoring!$C$24,IF(AB543=2,Scoring!$C$23,IF(AB543=1,Scoring!$C$22,0)))</f>
        <v>10</v>
      </c>
      <c r="AD543" s="22" t="n">
        <f aca="false">IF(T543="Y",0,IF(ISNUMBER(X543),IF(X543&gt;0.7,Scoring!$C$25,IF(X543&gt;=0.5,Scoring!$C$26,IF(X543&gt;=0.3,Scoring!$C$27,Scoring!$C$28))),Scoring!$C$29))</f>
        <v>10</v>
      </c>
      <c r="AE543" s="22" t="n">
        <f aca="false">IF(D543="Expiring: notice window (verified)",Scoring!$C$30,IF(OR(D543="Expired (verified)",D543="30-yr mark: notice window (est.)",D543="Year-15 window"),Scoring!$C$31,IF(D543="Expiring: 10-yr horizon (verified)",Scoring!$C$32,IF(D543="Past 30-yr mark (verify)",Scoring!$C$33,IF(OR(D543="Credit period",D543="Superseded record"),Scoring!$C$35,Scoring!$C$34)))))</f>
        <v>4</v>
      </c>
      <c r="AF543" s="22" t="n">
        <f aca="false">IF(T543="Y",0,IF(ISNUMBER(V543),IF(Scoring!$B$4-V543&gt;15,Scoring!$C$36,IF(Scoring!$B$4-V543&gt;=10,Scoring!$C$37,IF(Scoring!$B$4-V543&gt;=5,Scoring!$C$38,Scoring!$C$39))),IF(OR(N543="",D543="Out of program"),Scoring!$C$40,IF(O543&gt;15,Scoring!$C$36,IF(O543&gt;=10,Scoring!$C$37,IF(O543&gt;=5,Scoring!$C$38,Scoring!$C$39))))))</f>
        <v>8</v>
      </c>
      <c r="AG543" s="22" t="n">
        <f aca="false">IF(T543="Y",0,IF(Y543="Y",Scoring!$C$41,IF(ISNUMBER(O543),IF(O543&gt;=25,Scoring!$C$42,IF(O543&gt;=15,Scoring!$C$43,Scoring!$C$44)),Scoring!$C$44)))</f>
        <v>8</v>
      </c>
      <c r="AH543" s="22" t="n">
        <f aca="false">IF(T543="Y",0,IF(W543="",Scoring!$C$49,IFERROR(VLOOKUP(W543,Scoring!$B$45:$C$48,2,FALSE()),Scoring!$C$49)))</f>
        <v>5</v>
      </c>
      <c r="AI543" s="23" t="n">
        <f aca="false">C543+IF(ISNUMBER(J543),J543,0)/100000+(10000-ROW())/1000000000</f>
        <v>45.000019457</v>
      </c>
      <c r="AJ543" s="18"/>
      <c r="AK543" s="18"/>
      <c r="AL543" s="18"/>
      <c r="AM543" s="18"/>
    </row>
    <row r="544" customFormat="false" ht="15" hidden="false" customHeight="false" outlineLevel="0" collapsed="false">
      <c r="A544" s="15" t="n">
        <f aca="false">RANK(AI544,$AI$2:$AI$755)</f>
        <v>543</v>
      </c>
      <c r="B544" s="16" t="str">
        <f aca="false">IF(T544="Y","Superseded",IF(C544&gt;=Scoring!$B$16,"Immediate",IF(C544&gt;=Scoring!$B$17,"This week",IF(C544&gt;=Scoring!$B$18,"Nurture","Low"))))</f>
        <v>Nurture</v>
      </c>
      <c r="C544" s="3" t="n">
        <f aca="false">SUM(AC544:AH544)</f>
        <v>45</v>
      </c>
      <c r="D544" s="15" t="str">
        <f aca="false">IF(T544="Y","Superseded record",IF(AND(U544&lt;&gt;"",AA544&lt;0),"Expired (verified)",IF(AND(U544&lt;&gt;"",AA544&lt;=Scoring!$B$5),"Expiring: notice window (verified)",IF(AND(U544&lt;&gt;"",AA544&lt;=Scoring!$B$6),"Expiring: 10-yr horizon (verified)",IF(M544="No Longer Monitored","Out of program",IF(N544="","Unknown vintage",IF(N544&lt;Scoring!$B$12,"Pre-1990, still listed",IF(AND(U544="",AA544&lt;0),"Past 30-yr mark (verify)",IF(AND(U544="",AA544&lt;=Scoring!$B$5),"30-yr mark: notice window (est.)",IF(AND(O544&gt;=Scoring!$B$7,O544&lt;=Scoring!$B$8),"Year-15 window",IF(O544&gt;=Scoring!$B$9,"Recap window",IF(O544&gt;=11,"Late compliance","Credit period"))))))))))))</f>
        <v>Out of program</v>
      </c>
      <c r="E544" s="15" t="s">
        <v>1966</v>
      </c>
      <c r="F544" s="15" t="s">
        <v>1967</v>
      </c>
      <c r="G544" s="15" t="s">
        <v>1968</v>
      </c>
      <c r="H544" s="15" t="s">
        <v>97</v>
      </c>
      <c r="I544" s="15" t="s">
        <v>863</v>
      </c>
      <c r="J544" s="15" t="n">
        <v>1</v>
      </c>
      <c r="K544" s="15" t="n">
        <v>1</v>
      </c>
      <c r="L544" s="15" t="n">
        <f aca="false">IF(OR(J544="",K544=""),"",MAX(J544-K544,0))</f>
        <v>0</v>
      </c>
      <c r="M544" s="15" t="s">
        <v>1757</v>
      </c>
      <c r="N544" s="17" t="n">
        <v>1987</v>
      </c>
      <c r="O544" s="15" t="n">
        <f aca="false">IF(N544="","",Scoring!$B$4-N544)</f>
        <v>39</v>
      </c>
      <c r="P544" s="15" t="n">
        <f aca="false">IF(N544="","",N544+14)</f>
        <v>2001</v>
      </c>
      <c r="Q544" s="15" t="str">
        <f aca="false">IF(N544="","",IF(N544&lt;Scoring!$B$12,"n/a (pre-1990)",N544+Scoring!$B$13))</f>
        <v>n/a (pre-1990)</v>
      </c>
      <c r="R544" s="15" t="str">
        <f aca="false">IF(J544="","Unknown",IF(J544&gt;=5,"Yes","No (under 5 units)"))</f>
        <v>No (under 5 units)</v>
      </c>
      <c r="S544" s="15"/>
      <c r="T544" s="18"/>
      <c r="U544" s="19"/>
      <c r="V544" s="18"/>
      <c r="W544" s="18"/>
      <c r="X544" s="20"/>
      <c r="Y544" s="18"/>
      <c r="Z544" s="18"/>
      <c r="AA544" s="21" t="str">
        <f aca="false">IF(U544&lt;&gt;"",(U544-Scoring!$B$3)/365.25,IF(N544="","",IF(N544&lt;Scoring!$B$12,"",(DATE(N544+Scoring!$B$13,12,31)-Scoring!$B$3)/365.25)))</f>
        <v/>
      </c>
      <c r="AB544" s="22" t="n">
        <f aca="false">IF(T544="Y",0,IF(OR(D544="Expired (verified)",D544="Expiring: notice window (verified)",D544="Expiring: 10-yr horizon (verified)",D544="Past 30-yr mark (verify)",D544="30-yr mark: notice window (est.)",D544="Year-15 window"),1,0)+IF(ISNUMBER(O544),IF(O544&gt;=Scoring!$B$10,1,0),0)+IF(AND(ISNUMBER(L544),ISNUMBER(J544)),IF(J544&gt;0,IF(L544/J544&gt;=Scoring!$B$11,1,0),0),0)+IF(ISNUMBER(Z544),MIN(Z544,3),0))</f>
        <v>1</v>
      </c>
      <c r="AC544" s="22" t="n">
        <f aca="false">IF(AB544&gt;=3,Scoring!$C$24,IF(AB544=2,Scoring!$C$23,IF(AB544=1,Scoring!$C$22,0)))</f>
        <v>10</v>
      </c>
      <c r="AD544" s="22" t="n">
        <f aca="false">IF(T544="Y",0,IF(ISNUMBER(X544),IF(X544&gt;0.7,Scoring!$C$25,IF(X544&gt;=0.5,Scoring!$C$26,IF(X544&gt;=0.3,Scoring!$C$27,Scoring!$C$28))),Scoring!$C$29))</f>
        <v>10</v>
      </c>
      <c r="AE544" s="22" t="n">
        <f aca="false">IF(D544="Expiring: notice window (verified)",Scoring!$C$30,IF(OR(D544="Expired (verified)",D544="30-yr mark: notice window (est.)",D544="Year-15 window"),Scoring!$C$31,IF(D544="Expiring: 10-yr horizon (verified)",Scoring!$C$32,IF(D544="Past 30-yr mark (verify)",Scoring!$C$33,IF(OR(D544="Credit period",D544="Superseded record"),Scoring!$C$35,Scoring!$C$34)))))</f>
        <v>4</v>
      </c>
      <c r="AF544" s="22" t="n">
        <f aca="false">IF(T544="Y",0,IF(ISNUMBER(V544),IF(Scoring!$B$4-V544&gt;15,Scoring!$C$36,IF(Scoring!$B$4-V544&gt;=10,Scoring!$C$37,IF(Scoring!$B$4-V544&gt;=5,Scoring!$C$38,Scoring!$C$39))),IF(OR(N544="",D544="Out of program"),Scoring!$C$40,IF(O544&gt;15,Scoring!$C$36,IF(O544&gt;=10,Scoring!$C$37,IF(O544&gt;=5,Scoring!$C$38,Scoring!$C$39))))))</f>
        <v>8</v>
      </c>
      <c r="AG544" s="22" t="n">
        <f aca="false">IF(T544="Y",0,IF(Y544="Y",Scoring!$C$41,IF(ISNUMBER(O544),IF(O544&gt;=25,Scoring!$C$42,IF(O544&gt;=15,Scoring!$C$43,Scoring!$C$44)),Scoring!$C$44)))</f>
        <v>8</v>
      </c>
      <c r="AH544" s="22" t="n">
        <f aca="false">IF(T544="Y",0,IF(W544="",Scoring!$C$49,IFERROR(VLOOKUP(W544,Scoring!$B$45:$C$48,2,FALSE()),Scoring!$C$49)))</f>
        <v>5</v>
      </c>
      <c r="AI544" s="23" t="n">
        <f aca="false">C544+IF(ISNUMBER(J544),J544,0)/100000+(10000-ROW())/1000000000</f>
        <v>45.000019456</v>
      </c>
      <c r="AJ544" s="18"/>
      <c r="AK544" s="18"/>
      <c r="AL544" s="18"/>
      <c r="AM544" s="18"/>
    </row>
    <row r="545" customFormat="false" ht="15" hidden="false" customHeight="false" outlineLevel="0" collapsed="false">
      <c r="A545" s="15" t="n">
        <f aca="false">RANK(AI545,$AI$2:$AI$755)</f>
        <v>544</v>
      </c>
      <c r="B545" s="16" t="str">
        <f aca="false">IF(T545="Y","Superseded",IF(C545&gt;=Scoring!$B$16,"Immediate",IF(C545&gt;=Scoring!$B$17,"This week",IF(C545&gt;=Scoring!$B$18,"Nurture","Low"))))</f>
        <v>Nurture</v>
      </c>
      <c r="C545" s="3" t="n">
        <f aca="false">SUM(AC545:AH545)</f>
        <v>45</v>
      </c>
      <c r="D545" s="15" t="str">
        <f aca="false">IF(T545="Y","Superseded record",IF(AND(U545&lt;&gt;"",AA545&lt;0),"Expired (verified)",IF(AND(U545&lt;&gt;"",AA545&lt;=Scoring!$B$5),"Expiring: notice window (verified)",IF(AND(U545&lt;&gt;"",AA545&lt;=Scoring!$B$6),"Expiring: 10-yr horizon (verified)",IF(M545="No Longer Monitored","Out of program",IF(N545="","Unknown vintage",IF(N545&lt;Scoring!$B$12,"Pre-1990, still listed",IF(AND(U545="",AA545&lt;0),"Past 30-yr mark (verify)",IF(AND(U545="",AA545&lt;=Scoring!$B$5),"30-yr mark: notice window (est.)",IF(AND(O545&gt;=Scoring!$B$7,O545&lt;=Scoring!$B$8),"Year-15 window",IF(O545&gt;=Scoring!$B$9,"Recap window",IF(O545&gt;=11,"Late compliance","Credit period"))))))))))))</f>
        <v>Out of program</v>
      </c>
      <c r="E545" s="15" t="s">
        <v>1969</v>
      </c>
      <c r="F545" s="15" t="s">
        <v>1970</v>
      </c>
      <c r="G545" s="15" t="s">
        <v>1971</v>
      </c>
      <c r="H545" s="15" t="s">
        <v>97</v>
      </c>
      <c r="I545" s="15" t="s">
        <v>929</v>
      </c>
      <c r="J545" s="15" t="n">
        <v>1</v>
      </c>
      <c r="K545" s="15" t="n">
        <v>1</v>
      </c>
      <c r="L545" s="15" t="n">
        <f aca="false">IF(OR(J545="",K545=""),"",MAX(J545-K545,0))</f>
        <v>0</v>
      </c>
      <c r="M545" s="15" t="s">
        <v>1757</v>
      </c>
      <c r="N545" s="17" t="n">
        <v>1987</v>
      </c>
      <c r="O545" s="15" t="n">
        <f aca="false">IF(N545="","",Scoring!$B$4-N545)</f>
        <v>39</v>
      </c>
      <c r="P545" s="15" t="n">
        <f aca="false">IF(N545="","",N545+14)</f>
        <v>2001</v>
      </c>
      <c r="Q545" s="15" t="str">
        <f aca="false">IF(N545="","",IF(N545&lt;Scoring!$B$12,"n/a (pre-1990)",N545+Scoring!$B$13))</f>
        <v>n/a (pre-1990)</v>
      </c>
      <c r="R545" s="15" t="str">
        <f aca="false">IF(J545="","Unknown",IF(J545&gt;=5,"Yes","No (under 5 units)"))</f>
        <v>No (under 5 units)</v>
      </c>
      <c r="S545" s="15"/>
      <c r="T545" s="18"/>
      <c r="U545" s="19"/>
      <c r="V545" s="18"/>
      <c r="W545" s="18"/>
      <c r="X545" s="20"/>
      <c r="Y545" s="18"/>
      <c r="Z545" s="18"/>
      <c r="AA545" s="21" t="str">
        <f aca="false">IF(U545&lt;&gt;"",(U545-Scoring!$B$3)/365.25,IF(N545="","",IF(N545&lt;Scoring!$B$12,"",(DATE(N545+Scoring!$B$13,12,31)-Scoring!$B$3)/365.25)))</f>
        <v/>
      </c>
      <c r="AB545" s="22" t="n">
        <f aca="false">IF(T545="Y",0,IF(OR(D545="Expired (verified)",D545="Expiring: notice window (verified)",D545="Expiring: 10-yr horizon (verified)",D545="Past 30-yr mark (verify)",D545="30-yr mark: notice window (est.)",D545="Year-15 window"),1,0)+IF(ISNUMBER(O545),IF(O545&gt;=Scoring!$B$10,1,0),0)+IF(AND(ISNUMBER(L545),ISNUMBER(J545)),IF(J545&gt;0,IF(L545/J545&gt;=Scoring!$B$11,1,0),0),0)+IF(ISNUMBER(Z545),MIN(Z545,3),0))</f>
        <v>1</v>
      </c>
      <c r="AC545" s="22" t="n">
        <f aca="false">IF(AB545&gt;=3,Scoring!$C$24,IF(AB545=2,Scoring!$C$23,IF(AB545=1,Scoring!$C$22,0)))</f>
        <v>10</v>
      </c>
      <c r="AD545" s="22" t="n">
        <f aca="false">IF(T545="Y",0,IF(ISNUMBER(X545),IF(X545&gt;0.7,Scoring!$C$25,IF(X545&gt;=0.5,Scoring!$C$26,IF(X545&gt;=0.3,Scoring!$C$27,Scoring!$C$28))),Scoring!$C$29))</f>
        <v>10</v>
      </c>
      <c r="AE545" s="22" t="n">
        <f aca="false">IF(D545="Expiring: notice window (verified)",Scoring!$C$30,IF(OR(D545="Expired (verified)",D545="30-yr mark: notice window (est.)",D545="Year-15 window"),Scoring!$C$31,IF(D545="Expiring: 10-yr horizon (verified)",Scoring!$C$32,IF(D545="Past 30-yr mark (verify)",Scoring!$C$33,IF(OR(D545="Credit period",D545="Superseded record"),Scoring!$C$35,Scoring!$C$34)))))</f>
        <v>4</v>
      </c>
      <c r="AF545" s="22" t="n">
        <f aca="false">IF(T545="Y",0,IF(ISNUMBER(V545),IF(Scoring!$B$4-V545&gt;15,Scoring!$C$36,IF(Scoring!$B$4-V545&gt;=10,Scoring!$C$37,IF(Scoring!$B$4-V545&gt;=5,Scoring!$C$38,Scoring!$C$39))),IF(OR(N545="",D545="Out of program"),Scoring!$C$40,IF(O545&gt;15,Scoring!$C$36,IF(O545&gt;=10,Scoring!$C$37,IF(O545&gt;=5,Scoring!$C$38,Scoring!$C$39))))))</f>
        <v>8</v>
      </c>
      <c r="AG545" s="22" t="n">
        <f aca="false">IF(T545="Y",0,IF(Y545="Y",Scoring!$C$41,IF(ISNUMBER(O545),IF(O545&gt;=25,Scoring!$C$42,IF(O545&gt;=15,Scoring!$C$43,Scoring!$C$44)),Scoring!$C$44)))</f>
        <v>8</v>
      </c>
      <c r="AH545" s="22" t="n">
        <f aca="false">IF(T545="Y",0,IF(W545="",Scoring!$C$49,IFERROR(VLOOKUP(W545,Scoring!$B$45:$C$48,2,FALSE()),Scoring!$C$49)))</f>
        <v>5</v>
      </c>
      <c r="AI545" s="23" t="n">
        <f aca="false">C545+IF(ISNUMBER(J545),J545,0)/100000+(10000-ROW())/1000000000</f>
        <v>45.000019455</v>
      </c>
      <c r="AJ545" s="18"/>
      <c r="AK545" s="18"/>
      <c r="AL545" s="18"/>
      <c r="AM545" s="18"/>
    </row>
    <row r="546" customFormat="false" ht="15" hidden="false" customHeight="false" outlineLevel="0" collapsed="false">
      <c r="A546" s="15" t="n">
        <f aca="false">RANK(AI546,$AI$2:$AI$755)</f>
        <v>545</v>
      </c>
      <c r="B546" s="16" t="str">
        <f aca="false">IF(T546="Y","Superseded",IF(C546&gt;=Scoring!$B$16,"Immediate",IF(C546&gt;=Scoring!$B$17,"This week",IF(C546&gt;=Scoring!$B$18,"Nurture","Low"))))</f>
        <v>Nurture</v>
      </c>
      <c r="C546" s="3" t="n">
        <f aca="false">SUM(AC546:AH546)</f>
        <v>45</v>
      </c>
      <c r="D546" s="15" t="str">
        <f aca="false">IF(T546="Y","Superseded record",IF(AND(U546&lt;&gt;"",AA546&lt;0),"Expired (verified)",IF(AND(U546&lt;&gt;"",AA546&lt;=Scoring!$B$5),"Expiring: notice window (verified)",IF(AND(U546&lt;&gt;"",AA546&lt;=Scoring!$B$6),"Expiring: 10-yr horizon (verified)",IF(M546="No Longer Monitored","Out of program",IF(N546="","Unknown vintage",IF(N546&lt;Scoring!$B$12,"Pre-1990, still listed",IF(AND(U546="",AA546&lt;0),"Past 30-yr mark (verify)",IF(AND(U546="",AA546&lt;=Scoring!$B$5),"30-yr mark: notice window (est.)",IF(AND(O546&gt;=Scoring!$B$7,O546&lt;=Scoring!$B$8),"Year-15 window",IF(O546&gt;=Scoring!$B$9,"Recap window",IF(O546&gt;=11,"Late compliance","Credit period"))))))))))))</f>
        <v>Out of program</v>
      </c>
      <c r="E546" s="15" t="s">
        <v>1972</v>
      </c>
      <c r="F546" s="15" t="s">
        <v>1973</v>
      </c>
      <c r="G546" s="15" t="s">
        <v>1974</v>
      </c>
      <c r="H546" s="15" t="s">
        <v>97</v>
      </c>
      <c r="I546" s="15" t="s">
        <v>863</v>
      </c>
      <c r="J546" s="15" t="n">
        <v>1</v>
      </c>
      <c r="K546" s="15" t="n">
        <v>1</v>
      </c>
      <c r="L546" s="15" t="n">
        <f aca="false">IF(OR(J546="",K546=""),"",MAX(J546-K546,0))</f>
        <v>0</v>
      </c>
      <c r="M546" s="15" t="s">
        <v>1757</v>
      </c>
      <c r="N546" s="17" t="n">
        <v>1987</v>
      </c>
      <c r="O546" s="15" t="n">
        <f aca="false">IF(N546="","",Scoring!$B$4-N546)</f>
        <v>39</v>
      </c>
      <c r="P546" s="15" t="n">
        <f aca="false">IF(N546="","",N546+14)</f>
        <v>2001</v>
      </c>
      <c r="Q546" s="15" t="str">
        <f aca="false">IF(N546="","",IF(N546&lt;Scoring!$B$12,"n/a (pre-1990)",N546+Scoring!$B$13))</f>
        <v>n/a (pre-1990)</v>
      </c>
      <c r="R546" s="15" t="str">
        <f aca="false">IF(J546="","Unknown",IF(J546&gt;=5,"Yes","No (under 5 units)"))</f>
        <v>No (under 5 units)</v>
      </c>
      <c r="S546" s="15"/>
      <c r="T546" s="18"/>
      <c r="U546" s="19"/>
      <c r="V546" s="18"/>
      <c r="W546" s="18"/>
      <c r="X546" s="20"/>
      <c r="Y546" s="18"/>
      <c r="Z546" s="18"/>
      <c r="AA546" s="21" t="str">
        <f aca="false">IF(U546&lt;&gt;"",(U546-Scoring!$B$3)/365.25,IF(N546="","",IF(N546&lt;Scoring!$B$12,"",(DATE(N546+Scoring!$B$13,12,31)-Scoring!$B$3)/365.25)))</f>
        <v/>
      </c>
      <c r="AB546" s="22" t="n">
        <f aca="false">IF(T546="Y",0,IF(OR(D546="Expired (verified)",D546="Expiring: notice window (verified)",D546="Expiring: 10-yr horizon (verified)",D546="Past 30-yr mark (verify)",D546="30-yr mark: notice window (est.)",D546="Year-15 window"),1,0)+IF(ISNUMBER(O546),IF(O546&gt;=Scoring!$B$10,1,0),0)+IF(AND(ISNUMBER(L546),ISNUMBER(J546)),IF(J546&gt;0,IF(L546/J546&gt;=Scoring!$B$11,1,0),0),0)+IF(ISNUMBER(Z546),MIN(Z546,3),0))</f>
        <v>1</v>
      </c>
      <c r="AC546" s="22" t="n">
        <f aca="false">IF(AB546&gt;=3,Scoring!$C$24,IF(AB546=2,Scoring!$C$23,IF(AB546=1,Scoring!$C$22,0)))</f>
        <v>10</v>
      </c>
      <c r="AD546" s="22" t="n">
        <f aca="false">IF(T546="Y",0,IF(ISNUMBER(X546),IF(X546&gt;0.7,Scoring!$C$25,IF(X546&gt;=0.5,Scoring!$C$26,IF(X546&gt;=0.3,Scoring!$C$27,Scoring!$C$28))),Scoring!$C$29))</f>
        <v>10</v>
      </c>
      <c r="AE546" s="22" t="n">
        <f aca="false">IF(D546="Expiring: notice window (verified)",Scoring!$C$30,IF(OR(D546="Expired (verified)",D546="30-yr mark: notice window (est.)",D546="Year-15 window"),Scoring!$C$31,IF(D546="Expiring: 10-yr horizon (verified)",Scoring!$C$32,IF(D546="Past 30-yr mark (verify)",Scoring!$C$33,IF(OR(D546="Credit period",D546="Superseded record"),Scoring!$C$35,Scoring!$C$34)))))</f>
        <v>4</v>
      </c>
      <c r="AF546" s="22" t="n">
        <f aca="false">IF(T546="Y",0,IF(ISNUMBER(V546),IF(Scoring!$B$4-V546&gt;15,Scoring!$C$36,IF(Scoring!$B$4-V546&gt;=10,Scoring!$C$37,IF(Scoring!$B$4-V546&gt;=5,Scoring!$C$38,Scoring!$C$39))),IF(OR(N546="",D546="Out of program"),Scoring!$C$40,IF(O546&gt;15,Scoring!$C$36,IF(O546&gt;=10,Scoring!$C$37,IF(O546&gt;=5,Scoring!$C$38,Scoring!$C$39))))))</f>
        <v>8</v>
      </c>
      <c r="AG546" s="22" t="n">
        <f aca="false">IF(T546="Y",0,IF(Y546="Y",Scoring!$C$41,IF(ISNUMBER(O546),IF(O546&gt;=25,Scoring!$C$42,IF(O546&gt;=15,Scoring!$C$43,Scoring!$C$44)),Scoring!$C$44)))</f>
        <v>8</v>
      </c>
      <c r="AH546" s="22" t="n">
        <f aca="false">IF(T546="Y",0,IF(W546="",Scoring!$C$49,IFERROR(VLOOKUP(W546,Scoring!$B$45:$C$48,2,FALSE()),Scoring!$C$49)))</f>
        <v>5</v>
      </c>
      <c r="AI546" s="23" t="n">
        <f aca="false">C546+IF(ISNUMBER(J546),J546,0)/100000+(10000-ROW())/1000000000</f>
        <v>45.000019454</v>
      </c>
      <c r="AJ546" s="18"/>
      <c r="AK546" s="18"/>
      <c r="AL546" s="18"/>
      <c r="AM546" s="18"/>
    </row>
    <row r="547" customFormat="false" ht="15" hidden="false" customHeight="false" outlineLevel="0" collapsed="false">
      <c r="A547" s="15" t="n">
        <f aca="false">RANK(AI547,$AI$2:$AI$755)</f>
        <v>546</v>
      </c>
      <c r="B547" s="16" t="str">
        <f aca="false">IF(T547="Y","Superseded",IF(C547&gt;=Scoring!$B$16,"Immediate",IF(C547&gt;=Scoring!$B$17,"This week",IF(C547&gt;=Scoring!$B$18,"Nurture","Low"))))</f>
        <v>Nurture</v>
      </c>
      <c r="C547" s="3" t="n">
        <f aca="false">SUM(AC547:AH547)</f>
        <v>45</v>
      </c>
      <c r="D547" s="15" t="str">
        <f aca="false">IF(T547="Y","Superseded record",IF(AND(U547&lt;&gt;"",AA547&lt;0),"Expired (verified)",IF(AND(U547&lt;&gt;"",AA547&lt;=Scoring!$B$5),"Expiring: notice window (verified)",IF(AND(U547&lt;&gt;"",AA547&lt;=Scoring!$B$6),"Expiring: 10-yr horizon (verified)",IF(M547="No Longer Monitored","Out of program",IF(N547="","Unknown vintage",IF(N547&lt;Scoring!$B$12,"Pre-1990, still listed",IF(AND(U547="",AA547&lt;0),"Past 30-yr mark (verify)",IF(AND(U547="",AA547&lt;=Scoring!$B$5),"30-yr mark: notice window (est.)",IF(AND(O547&gt;=Scoring!$B$7,O547&lt;=Scoring!$B$8),"Year-15 window",IF(O547&gt;=Scoring!$B$9,"Recap window",IF(O547&gt;=11,"Late compliance","Credit period"))))))))))))</f>
        <v>Out of program</v>
      </c>
      <c r="E547" s="15" t="s">
        <v>1975</v>
      </c>
      <c r="F547" s="15" t="s">
        <v>1976</v>
      </c>
      <c r="G547" s="15" t="s">
        <v>1977</v>
      </c>
      <c r="H547" s="15" t="s">
        <v>97</v>
      </c>
      <c r="I547" s="15" t="s">
        <v>164</v>
      </c>
      <c r="J547" s="15" t="n">
        <v>1</v>
      </c>
      <c r="K547" s="15" t="n">
        <v>1</v>
      </c>
      <c r="L547" s="15" t="n">
        <f aca="false">IF(OR(J547="",K547=""),"",MAX(J547-K547,0))</f>
        <v>0</v>
      </c>
      <c r="M547" s="15" t="s">
        <v>1757</v>
      </c>
      <c r="N547" s="17" t="n">
        <v>1987</v>
      </c>
      <c r="O547" s="15" t="n">
        <f aca="false">IF(N547="","",Scoring!$B$4-N547)</f>
        <v>39</v>
      </c>
      <c r="P547" s="15" t="n">
        <f aca="false">IF(N547="","",N547+14)</f>
        <v>2001</v>
      </c>
      <c r="Q547" s="15" t="str">
        <f aca="false">IF(N547="","",IF(N547&lt;Scoring!$B$12,"n/a (pre-1990)",N547+Scoring!$B$13))</f>
        <v>n/a (pre-1990)</v>
      </c>
      <c r="R547" s="15" t="str">
        <f aca="false">IF(J547="","Unknown",IF(J547&gt;=5,"Yes","No (under 5 units)"))</f>
        <v>No (under 5 units)</v>
      </c>
      <c r="S547" s="15"/>
      <c r="T547" s="18"/>
      <c r="U547" s="19"/>
      <c r="V547" s="18"/>
      <c r="W547" s="18"/>
      <c r="X547" s="20"/>
      <c r="Y547" s="18"/>
      <c r="Z547" s="18"/>
      <c r="AA547" s="21" t="str">
        <f aca="false">IF(U547&lt;&gt;"",(U547-Scoring!$B$3)/365.25,IF(N547="","",IF(N547&lt;Scoring!$B$12,"",(DATE(N547+Scoring!$B$13,12,31)-Scoring!$B$3)/365.25)))</f>
        <v/>
      </c>
      <c r="AB547" s="22" t="n">
        <f aca="false">IF(T547="Y",0,IF(OR(D547="Expired (verified)",D547="Expiring: notice window (verified)",D547="Expiring: 10-yr horizon (verified)",D547="Past 30-yr mark (verify)",D547="30-yr mark: notice window (est.)",D547="Year-15 window"),1,0)+IF(ISNUMBER(O547),IF(O547&gt;=Scoring!$B$10,1,0),0)+IF(AND(ISNUMBER(L547),ISNUMBER(J547)),IF(J547&gt;0,IF(L547/J547&gt;=Scoring!$B$11,1,0),0),0)+IF(ISNUMBER(Z547),MIN(Z547,3),0))</f>
        <v>1</v>
      </c>
      <c r="AC547" s="22" t="n">
        <f aca="false">IF(AB547&gt;=3,Scoring!$C$24,IF(AB547=2,Scoring!$C$23,IF(AB547=1,Scoring!$C$22,0)))</f>
        <v>10</v>
      </c>
      <c r="AD547" s="22" t="n">
        <f aca="false">IF(T547="Y",0,IF(ISNUMBER(X547),IF(X547&gt;0.7,Scoring!$C$25,IF(X547&gt;=0.5,Scoring!$C$26,IF(X547&gt;=0.3,Scoring!$C$27,Scoring!$C$28))),Scoring!$C$29))</f>
        <v>10</v>
      </c>
      <c r="AE547" s="22" t="n">
        <f aca="false">IF(D547="Expiring: notice window (verified)",Scoring!$C$30,IF(OR(D547="Expired (verified)",D547="30-yr mark: notice window (est.)",D547="Year-15 window"),Scoring!$C$31,IF(D547="Expiring: 10-yr horizon (verified)",Scoring!$C$32,IF(D547="Past 30-yr mark (verify)",Scoring!$C$33,IF(OR(D547="Credit period",D547="Superseded record"),Scoring!$C$35,Scoring!$C$34)))))</f>
        <v>4</v>
      </c>
      <c r="AF547" s="22" t="n">
        <f aca="false">IF(T547="Y",0,IF(ISNUMBER(V547),IF(Scoring!$B$4-V547&gt;15,Scoring!$C$36,IF(Scoring!$B$4-V547&gt;=10,Scoring!$C$37,IF(Scoring!$B$4-V547&gt;=5,Scoring!$C$38,Scoring!$C$39))),IF(OR(N547="",D547="Out of program"),Scoring!$C$40,IF(O547&gt;15,Scoring!$C$36,IF(O547&gt;=10,Scoring!$C$37,IF(O547&gt;=5,Scoring!$C$38,Scoring!$C$39))))))</f>
        <v>8</v>
      </c>
      <c r="AG547" s="22" t="n">
        <f aca="false">IF(T547="Y",0,IF(Y547="Y",Scoring!$C$41,IF(ISNUMBER(O547),IF(O547&gt;=25,Scoring!$C$42,IF(O547&gt;=15,Scoring!$C$43,Scoring!$C$44)),Scoring!$C$44)))</f>
        <v>8</v>
      </c>
      <c r="AH547" s="22" t="n">
        <f aca="false">IF(T547="Y",0,IF(W547="",Scoring!$C$49,IFERROR(VLOOKUP(W547,Scoring!$B$45:$C$48,2,FALSE()),Scoring!$C$49)))</f>
        <v>5</v>
      </c>
      <c r="AI547" s="23" t="n">
        <f aca="false">C547+IF(ISNUMBER(J547),J547,0)/100000+(10000-ROW())/1000000000</f>
        <v>45.000019453</v>
      </c>
      <c r="AJ547" s="18"/>
      <c r="AK547" s="18"/>
      <c r="AL547" s="18"/>
      <c r="AM547" s="18"/>
    </row>
    <row r="548" customFormat="false" ht="15" hidden="false" customHeight="false" outlineLevel="0" collapsed="false">
      <c r="A548" s="15" t="n">
        <f aca="false">RANK(AI548,$AI$2:$AI$755)</f>
        <v>547</v>
      </c>
      <c r="B548" s="16" t="str">
        <f aca="false">IF(T548="Y","Superseded",IF(C548&gt;=Scoring!$B$16,"Immediate",IF(C548&gt;=Scoring!$B$17,"This week",IF(C548&gt;=Scoring!$B$18,"Nurture","Low"))))</f>
        <v>Nurture</v>
      </c>
      <c r="C548" s="3" t="n">
        <f aca="false">SUM(AC548:AH548)</f>
        <v>45</v>
      </c>
      <c r="D548" s="15" t="str">
        <f aca="false">IF(T548="Y","Superseded record",IF(AND(U548&lt;&gt;"",AA548&lt;0),"Expired (verified)",IF(AND(U548&lt;&gt;"",AA548&lt;=Scoring!$B$5),"Expiring: notice window (verified)",IF(AND(U548&lt;&gt;"",AA548&lt;=Scoring!$B$6),"Expiring: 10-yr horizon (verified)",IF(M548="No Longer Monitored","Out of program",IF(N548="","Unknown vintage",IF(N548&lt;Scoring!$B$12,"Pre-1990, still listed",IF(AND(U548="",AA548&lt;0),"Past 30-yr mark (verify)",IF(AND(U548="",AA548&lt;=Scoring!$B$5),"30-yr mark: notice window (est.)",IF(AND(O548&gt;=Scoring!$B$7,O548&lt;=Scoring!$B$8),"Year-15 window",IF(O548&gt;=Scoring!$B$9,"Recap window",IF(O548&gt;=11,"Late compliance","Credit period"))))))))))))</f>
        <v>Out of program</v>
      </c>
      <c r="E548" s="15" t="s">
        <v>1978</v>
      </c>
      <c r="F548" s="15" t="s">
        <v>1979</v>
      </c>
      <c r="G548" s="15" t="s">
        <v>1980</v>
      </c>
      <c r="H548" s="15" t="s">
        <v>97</v>
      </c>
      <c r="I548" s="15" t="s">
        <v>1309</v>
      </c>
      <c r="J548" s="15" t="n">
        <v>1</v>
      </c>
      <c r="K548" s="15" t="n">
        <v>1</v>
      </c>
      <c r="L548" s="15" t="n">
        <f aca="false">IF(OR(J548="",K548=""),"",MAX(J548-K548,0))</f>
        <v>0</v>
      </c>
      <c r="M548" s="15" t="s">
        <v>1757</v>
      </c>
      <c r="N548" s="17" t="n">
        <v>1988</v>
      </c>
      <c r="O548" s="15" t="n">
        <f aca="false">IF(N548="","",Scoring!$B$4-N548)</f>
        <v>38</v>
      </c>
      <c r="P548" s="15" t="n">
        <f aca="false">IF(N548="","",N548+14)</f>
        <v>2002</v>
      </c>
      <c r="Q548" s="15" t="str">
        <f aca="false">IF(N548="","",IF(N548&lt;Scoring!$B$12,"n/a (pre-1990)",N548+Scoring!$B$13))</f>
        <v>n/a (pre-1990)</v>
      </c>
      <c r="R548" s="15" t="str">
        <f aca="false">IF(J548="","Unknown",IF(J548&gt;=5,"Yes","No (under 5 units)"))</f>
        <v>No (under 5 units)</v>
      </c>
      <c r="S548" s="15"/>
      <c r="T548" s="18"/>
      <c r="U548" s="19"/>
      <c r="V548" s="18"/>
      <c r="W548" s="18"/>
      <c r="X548" s="20"/>
      <c r="Y548" s="18"/>
      <c r="Z548" s="18"/>
      <c r="AA548" s="21" t="str">
        <f aca="false">IF(U548&lt;&gt;"",(U548-Scoring!$B$3)/365.25,IF(N548="","",IF(N548&lt;Scoring!$B$12,"",(DATE(N548+Scoring!$B$13,12,31)-Scoring!$B$3)/365.25)))</f>
        <v/>
      </c>
      <c r="AB548" s="22" t="n">
        <f aca="false">IF(T548="Y",0,IF(OR(D548="Expired (verified)",D548="Expiring: notice window (verified)",D548="Expiring: 10-yr horizon (verified)",D548="Past 30-yr mark (verify)",D548="30-yr mark: notice window (est.)",D548="Year-15 window"),1,0)+IF(ISNUMBER(O548),IF(O548&gt;=Scoring!$B$10,1,0),0)+IF(AND(ISNUMBER(L548),ISNUMBER(J548)),IF(J548&gt;0,IF(L548/J548&gt;=Scoring!$B$11,1,0),0),0)+IF(ISNUMBER(Z548),MIN(Z548,3),0))</f>
        <v>1</v>
      </c>
      <c r="AC548" s="22" t="n">
        <f aca="false">IF(AB548&gt;=3,Scoring!$C$24,IF(AB548=2,Scoring!$C$23,IF(AB548=1,Scoring!$C$22,0)))</f>
        <v>10</v>
      </c>
      <c r="AD548" s="22" t="n">
        <f aca="false">IF(T548="Y",0,IF(ISNUMBER(X548),IF(X548&gt;0.7,Scoring!$C$25,IF(X548&gt;=0.5,Scoring!$C$26,IF(X548&gt;=0.3,Scoring!$C$27,Scoring!$C$28))),Scoring!$C$29))</f>
        <v>10</v>
      </c>
      <c r="AE548" s="22" t="n">
        <f aca="false">IF(D548="Expiring: notice window (verified)",Scoring!$C$30,IF(OR(D548="Expired (verified)",D548="30-yr mark: notice window (est.)",D548="Year-15 window"),Scoring!$C$31,IF(D548="Expiring: 10-yr horizon (verified)",Scoring!$C$32,IF(D548="Past 30-yr mark (verify)",Scoring!$C$33,IF(OR(D548="Credit period",D548="Superseded record"),Scoring!$C$35,Scoring!$C$34)))))</f>
        <v>4</v>
      </c>
      <c r="AF548" s="22" t="n">
        <f aca="false">IF(T548="Y",0,IF(ISNUMBER(V548),IF(Scoring!$B$4-V548&gt;15,Scoring!$C$36,IF(Scoring!$B$4-V548&gt;=10,Scoring!$C$37,IF(Scoring!$B$4-V548&gt;=5,Scoring!$C$38,Scoring!$C$39))),IF(OR(N548="",D548="Out of program"),Scoring!$C$40,IF(O548&gt;15,Scoring!$C$36,IF(O548&gt;=10,Scoring!$C$37,IF(O548&gt;=5,Scoring!$C$38,Scoring!$C$39))))))</f>
        <v>8</v>
      </c>
      <c r="AG548" s="22" t="n">
        <f aca="false">IF(T548="Y",0,IF(Y548="Y",Scoring!$C$41,IF(ISNUMBER(O548),IF(O548&gt;=25,Scoring!$C$42,IF(O548&gt;=15,Scoring!$C$43,Scoring!$C$44)),Scoring!$C$44)))</f>
        <v>8</v>
      </c>
      <c r="AH548" s="22" t="n">
        <f aca="false">IF(T548="Y",0,IF(W548="",Scoring!$C$49,IFERROR(VLOOKUP(W548,Scoring!$B$45:$C$48,2,FALSE()),Scoring!$C$49)))</f>
        <v>5</v>
      </c>
      <c r="AI548" s="23" t="n">
        <f aca="false">C548+IF(ISNUMBER(J548),J548,0)/100000+(10000-ROW())/1000000000</f>
        <v>45.000019452</v>
      </c>
      <c r="AJ548" s="18"/>
      <c r="AK548" s="18"/>
      <c r="AL548" s="18"/>
      <c r="AM548" s="18"/>
    </row>
    <row r="549" customFormat="false" ht="15" hidden="false" customHeight="false" outlineLevel="0" collapsed="false">
      <c r="A549" s="15" t="n">
        <f aca="false">RANK(AI549,$AI$2:$AI$755)</f>
        <v>548</v>
      </c>
      <c r="B549" s="16" t="str">
        <f aca="false">IF(T549="Y","Superseded",IF(C549&gt;=Scoring!$B$16,"Immediate",IF(C549&gt;=Scoring!$B$17,"This week",IF(C549&gt;=Scoring!$B$18,"Nurture","Low"))))</f>
        <v>Nurture</v>
      </c>
      <c r="C549" s="3" t="n">
        <f aca="false">SUM(AC549:AH549)</f>
        <v>45</v>
      </c>
      <c r="D549" s="15" t="str">
        <f aca="false">IF(T549="Y","Superseded record",IF(AND(U549&lt;&gt;"",AA549&lt;0),"Expired (verified)",IF(AND(U549&lt;&gt;"",AA549&lt;=Scoring!$B$5),"Expiring: notice window (verified)",IF(AND(U549&lt;&gt;"",AA549&lt;=Scoring!$B$6),"Expiring: 10-yr horizon (verified)",IF(M549="No Longer Monitored","Out of program",IF(N549="","Unknown vintage",IF(N549&lt;Scoring!$B$12,"Pre-1990, still listed",IF(AND(U549="",AA549&lt;0),"Past 30-yr mark (verify)",IF(AND(U549="",AA549&lt;=Scoring!$B$5),"30-yr mark: notice window (est.)",IF(AND(O549&gt;=Scoring!$B$7,O549&lt;=Scoring!$B$8),"Year-15 window",IF(O549&gt;=Scoring!$B$9,"Recap window",IF(O549&gt;=11,"Late compliance","Credit period"))))))))))))</f>
        <v>Out of program</v>
      </c>
      <c r="E549" s="15" t="s">
        <v>1981</v>
      </c>
      <c r="F549" s="15" t="s">
        <v>1405</v>
      </c>
      <c r="G549" s="15" t="s">
        <v>1982</v>
      </c>
      <c r="H549" s="15" t="s">
        <v>151</v>
      </c>
      <c r="I549" s="15" t="s">
        <v>1174</v>
      </c>
      <c r="J549" s="15" t="n">
        <v>1</v>
      </c>
      <c r="K549" s="15" t="n">
        <v>1</v>
      </c>
      <c r="L549" s="15" t="n">
        <f aca="false">IF(OR(J549="",K549=""),"",MAX(J549-K549,0))</f>
        <v>0</v>
      </c>
      <c r="M549" s="15" t="s">
        <v>1757</v>
      </c>
      <c r="N549" s="17" t="n">
        <v>1988</v>
      </c>
      <c r="O549" s="15" t="n">
        <f aca="false">IF(N549="","",Scoring!$B$4-N549)</f>
        <v>38</v>
      </c>
      <c r="P549" s="15" t="n">
        <f aca="false">IF(N549="","",N549+14)</f>
        <v>2002</v>
      </c>
      <c r="Q549" s="15" t="str">
        <f aca="false">IF(N549="","",IF(N549&lt;Scoring!$B$12,"n/a (pre-1990)",N549+Scoring!$B$13))</f>
        <v>n/a (pre-1990)</v>
      </c>
      <c r="R549" s="15" t="str">
        <f aca="false">IF(J549="","Unknown",IF(J549&gt;=5,"Yes","No (under 5 units)"))</f>
        <v>No (under 5 units)</v>
      </c>
      <c r="S549" s="15"/>
      <c r="T549" s="18"/>
      <c r="U549" s="19"/>
      <c r="V549" s="18"/>
      <c r="W549" s="18"/>
      <c r="X549" s="20"/>
      <c r="Y549" s="18"/>
      <c r="Z549" s="18"/>
      <c r="AA549" s="21" t="str">
        <f aca="false">IF(U549&lt;&gt;"",(U549-Scoring!$B$3)/365.25,IF(N549="","",IF(N549&lt;Scoring!$B$12,"",(DATE(N549+Scoring!$B$13,12,31)-Scoring!$B$3)/365.25)))</f>
        <v/>
      </c>
      <c r="AB549" s="22" t="n">
        <f aca="false">IF(T549="Y",0,IF(OR(D549="Expired (verified)",D549="Expiring: notice window (verified)",D549="Expiring: 10-yr horizon (verified)",D549="Past 30-yr mark (verify)",D549="30-yr mark: notice window (est.)",D549="Year-15 window"),1,0)+IF(ISNUMBER(O549),IF(O549&gt;=Scoring!$B$10,1,0),0)+IF(AND(ISNUMBER(L549),ISNUMBER(J549)),IF(J549&gt;0,IF(L549/J549&gt;=Scoring!$B$11,1,0),0),0)+IF(ISNUMBER(Z549),MIN(Z549,3),0))</f>
        <v>1</v>
      </c>
      <c r="AC549" s="22" t="n">
        <f aca="false">IF(AB549&gt;=3,Scoring!$C$24,IF(AB549=2,Scoring!$C$23,IF(AB549=1,Scoring!$C$22,0)))</f>
        <v>10</v>
      </c>
      <c r="AD549" s="22" t="n">
        <f aca="false">IF(T549="Y",0,IF(ISNUMBER(X549),IF(X549&gt;0.7,Scoring!$C$25,IF(X549&gt;=0.5,Scoring!$C$26,IF(X549&gt;=0.3,Scoring!$C$27,Scoring!$C$28))),Scoring!$C$29))</f>
        <v>10</v>
      </c>
      <c r="AE549" s="22" t="n">
        <f aca="false">IF(D549="Expiring: notice window (verified)",Scoring!$C$30,IF(OR(D549="Expired (verified)",D549="30-yr mark: notice window (est.)",D549="Year-15 window"),Scoring!$C$31,IF(D549="Expiring: 10-yr horizon (verified)",Scoring!$C$32,IF(D549="Past 30-yr mark (verify)",Scoring!$C$33,IF(OR(D549="Credit period",D549="Superseded record"),Scoring!$C$35,Scoring!$C$34)))))</f>
        <v>4</v>
      </c>
      <c r="AF549" s="22" t="n">
        <f aca="false">IF(T549="Y",0,IF(ISNUMBER(V549),IF(Scoring!$B$4-V549&gt;15,Scoring!$C$36,IF(Scoring!$B$4-V549&gt;=10,Scoring!$C$37,IF(Scoring!$B$4-V549&gt;=5,Scoring!$C$38,Scoring!$C$39))),IF(OR(N549="",D549="Out of program"),Scoring!$C$40,IF(O549&gt;15,Scoring!$C$36,IF(O549&gt;=10,Scoring!$C$37,IF(O549&gt;=5,Scoring!$C$38,Scoring!$C$39))))))</f>
        <v>8</v>
      </c>
      <c r="AG549" s="22" t="n">
        <f aca="false">IF(T549="Y",0,IF(Y549="Y",Scoring!$C$41,IF(ISNUMBER(O549),IF(O549&gt;=25,Scoring!$C$42,IF(O549&gt;=15,Scoring!$C$43,Scoring!$C$44)),Scoring!$C$44)))</f>
        <v>8</v>
      </c>
      <c r="AH549" s="22" t="n">
        <f aca="false">IF(T549="Y",0,IF(W549="",Scoring!$C$49,IFERROR(VLOOKUP(W549,Scoring!$B$45:$C$48,2,FALSE()),Scoring!$C$49)))</f>
        <v>5</v>
      </c>
      <c r="AI549" s="23" t="n">
        <f aca="false">C549+IF(ISNUMBER(J549),J549,0)/100000+(10000-ROW())/1000000000</f>
        <v>45.000019451</v>
      </c>
      <c r="AJ549" s="18"/>
      <c r="AK549" s="18"/>
      <c r="AL549" s="18"/>
      <c r="AM549" s="18"/>
    </row>
    <row r="550" customFormat="false" ht="15" hidden="false" customHeight="false" outlineLevel="0" collapsed="false">
      <c r="A550" s="15" t="n">
        <f aca="false">RANK(AI550,$AI$2:$AI$755)</f>
        <v>549</v>
      </c>
      <c r="B550" s="16" t="str">
        <f aca="false">IF(T550="Y","Superseded",IF(C550&gt;=Scoring!$B$16,"Immediate",IF(C550&gt;=Scoring!$B$17,"This week",IF(C550&gt;=Scoring!$B$18,"Nurture","Low"))))</f>
        <v>Nurture</v>
      </c>
      <c r="C550" s="3" t="n">
        <f aca="false">SUM(AC550:AH550)</f>
        <v>45</v>
      </c>
      <c r="D550" s="15" t="str">
        <f aca="false">IF(T550="Y","Superseded record",IF(AND(U550&lt;&gt;"",AA550&lt;0),"Expired (verified)",IF(AND(U550&lt;&gt;"",AA550&lt;=Scoring!$B$5),"Expiring: notice window (verified)",IF(AND(U550&lt;&gt;"",AA550&lt;=Scoring!$B$6),"Expiring: 10-yr horizon (verified)",IF(M550="No Longer Monitored","Out of program",IF(N550="","Unknown vintage",IF(N550&lt;Scoring!$B$12,"Pre-1990, still listed",IF(AND(U550="",AA550&lt;0),"Past 30-yr mark (verify)",IF(AND(U550="",AA550&lt;=Scoring!$B$5),"30-yr mark: notice window (est.)",IF(AND(O550&gt;=Scoring!$B$7,O550&lt;=Scoring!$B$8),"Year-15 window",IF(O550&gt;=Scoring!$B$9,"Recap window",IF(O550&gt;=11,"Late compliance","Credit period"))))))))))))</f>
        <v>Out of program</v>
      </c>
      <c r="E550" s="15" t="s">
        <v>1983</v>
      </c>
      <c r="F550" s="15" t="s">
        <v>1405</v>
      </c>
      <c r="G550" s="15" t="s">
        <v>1984</v>
      </c>
      <c r="H550" s="15" t="s">
        <v>97</v>
      </c>
      <c r="I550" s="15" t="s">
        <v>863</v>
      </c>
      <c r="J550" s="15" t="n">
        <v>1</v>
      </c>
      <c r="K550" s="15" t="n">
        <v>1</v>
      </c>
      <c r="L550" s="15" t="n">
        <f aca="false">IF(OR(J550="",K550=""),"",MAX(J550-K550,0))</f>
        <v>0</v>
      </c>
      <c r="M550" s="15" t="s">
        <v>1757</v>
      </c>
      <c r="N550" s="17" t="n">
        <v>1988</v>
      </c>
      <c r="O550" s="15" t="n">
        <f aca="false">IF(N550="","",Scoring!$B$4-N550)</f>
        <v>38</v>
      </c>
      <c r="P550" s="15" t="n">
        <f aca="false">IF(N550="","",N550+14)</f>
        <v>2002</v>
      </c>
      <c r="Q550" s="15" t="str">
        <f aca="false">IF(N550="","",IF(N550&lt;Scoring!$B$12,"n/a (pre-1990)",N550+Scoring!$B$13))</f>
        <v>n/a (pre-1990)</v>
      </c>
      <c r="R550" s="15" t="str">
        <f aca="false">IF(J550="","Unknown",IF(J550&gt;=5,"Yes","No (under 5 units)"))</f>
        <v>No (under 5 units)</v>
      </c>
      <c r="S550" s="15"/>
      <c r="T550" s="18"/>
      <c r="U550" s="19"/>
      <c r="V550" s="18"/>
      <c r="W550" s="18"/>
      <c r="X550" s="20"/>
      <c r="Y550" s="18"/>
      <c r="Z550" s="18"/>
      <c r="AA550" s="21" t="str">
        <f aca="false">IF(U550&lt;&gt;"",(U550-Scoring!$B$3)/365.25,IF(N550="","",IF(N550&lt;Scoring!$B$12,"",(DATE(N550+Scoring!$B$13,12,31)-Scoring!$B$3)/365.25)))</f>
        <v/>
      </c>
      <c r="AB550" s="22" t="n">
        <f aca="false">IF(T550="Y",0,IF(OR(D550="Expired (verified)",D550="Expiring: notice window (verified)",D550="Expiring: 10-yr horizon (verified)",D550="Past 30-yr mark (verify)",D550="30-yr mark: notice window (est.)",D550="Year-15 window"),1,0)+IF(ISNUMBER(O550),IF(O550&gt;=Scoring!$B$10,1,0),0)+IF(AND(ISNUMBER(L550),ISNUMBER(J550)),IF(J550&gt;0,IF(L550/J550&gt;=Scoring!$B$11,1,0),0),0)+IF(ISNUMBER(Z550),MIN(Z550,3),0))</f>
        <v>1</v>
      </c>
      <c r="AC550" s="22" t="n">
        <f aca="false">IF(AB550&gt;=3,Scoring!$C$24,IF(AB550=2,Scoring!$C$23,IF(AB550=1,Scoring!$C$22,0)))</f>
        <v>10</v>
      </c>
      <c r="AD550" s="22" t="n">
        <f aca="false">IF(T550="Y",0,IF(ISNUMBER(X550),IF(X550&gt;0.7,Scoring!$C$25,IF(X550&gt;=0.5,Scoring!$C$26,IF(X550&gt;=0.3,Scoring!$C$27,Scoring!$C$28))),Scoring!$C$29))</f>
        <v>10</v>
      </c>
      <c r="AE550" s="22" t="n">
        <f aca="false">IF(D550="Expiring: notice window (verified)",Scoring!$C$30,IF(OR(D550="Expired (verified)",D550="30-yr mark: notice window (est.)",D550="Year-15 window"),Scoring!$C$31,IF(D550="Expiring: 10-yr horizon (verified)",Scoring!$C$32,IF(D550="Past 30-yr mark (verify)",Scoring!$C$33,IF(OR(D550="Credit period",D550="Superseded record"),Scoring!$C$35,Scoring!$C$34)))))</f>
        <v>4</v>
      </c>
      <c r="AF550" s="22" t="n">
        <f aca="false">IF(T550="Y",0,IF(ISNUMBER(V550),IF(Scoring!$B$4-V550&gt;15,Scoring!$C$36,IF(Scoring!$B$4-V550&gt;=10,Scoring!$C$37,IF(Scoring!$B$4-V550&gt;=5,Scoring!$C$38,Scoring!$C$39))),IF(OR(N550="",D550="Out of program"),Scoring!$C$40,IF(O550&gt;15,Scoring!$C$36,IF(O550&gt;=10,Scoring!$C$37,IF(O550&gt;=5,Scoring!$C$38,Scoring!$C$39))))))</f>
        <v>8</v>
      </c>
      <c r="AG550" s="22" t="n">
        <f aca="false">IF(T550="Y",0,IF(Y550="Y",Scoring!$C$41,IF(ISNUMBER(O550),IF(O550&gt;=25,Scoring!$C$42,IF(O550&gt;=15,Scoring!$C$43,Scoring!$C$44)),Scoring!$C$44)))</f>
        <v>8</v>
      </c>
      <c r="AH550" s="22" t="n">
        <f aca="false">IF(T550="Y",0,IF(W550="",Scoring!$C$49,IFERROR(VLOOKUP(W550,Scoring!$B$45:$C$48,2,FALSE()),Scoring!$C$49)))</f>
        <v>5</v>
      </c>
      <c r="AI550" s="23" t="n">
        <f aca="false">C550+IF(ISNUMBER(J550),J550,0)/100000+(10000-ROW())/1000000000</f>
        <v>45.00001945</v>
      </c>
      <c r="AJ550" s="18"/>
      <c r="AK550" s="18"/>
      <c r="AL550" s="18"/>
      <c r="AM550" s="18"/>
    </row>
    <row r="551" customFormat="false" ht="15" hidden="false" customHeight="false" outlineLevel="0" collapsed="false">
      <c r="A551" s="15" t="n">
        <f aca="false">RANK(AI551,$AI$2:$AI$755)</f>
        <v>550</v>
      </c>
      <c r="B551" s="16" t="str">
        <f aca="false">IF(T551="Y","Superseded",IF(C551&gt;=Scoring!$B$16,"Immediate",IF(C551&gt;=Scoring!$B$17,"This week",IF(C551&gt;=Scoring!$B$18,"Nurture","Low"))))</f>
        <v>Nurture</v>
      </c>
      <c r="C551" s="3" t="n">
        <f aca="false">SUM(AC551:AH551)</f>
        <v>45</v>
      </c>
      <c r="D551" s="15" t="str">
        <f aca="false">IF(T551="Y","Superseded record",IF(AND(U551&lt;&gt;"",AA551&lt;0),"Expired (verified)",IF(AND(U551&lt;&gt;"",AA551&lt;=Scoring!$B$5),"Expiring: notice window (verified)",IF(AND(U551&lt;&gt;"",AA551&lt;=Scoring!$B$6),"Expiring: 10-yr horizon (verified)",IF(M551="No Longer Monitored","Out of program",IF(N551="","Unknown vintage",IF(N551&lt;Scoring!$B$12,"Pre-1990, still listed",IF(AND(U551="",AA551&lt;0),"Past 30-yr mark (verify)",IF(AND(U551="",AA551&lt;=Scoring!$B$5),"30-yr mark: notice window (est.)",IF(AND(O551&gt;=Scoring!$B$7,O551&lt;=Scoring!$B$8),"Year-15 window",IF(O551&gt;=Scoring!$B$9,"Recap window",IF(O551&gt;=11,"Late compliance","Credit period"))))))))))))</f>
        <v>Out of program</v>
      </c>
      <c r="E551" s="15" t="s">
        <v>1985</v>
      </c>
      <c r="F551" s="15" t="s">
        <v>1405</v>
      </c>
      <c r="G551" s="15" t="s">
        <v>1986</v>
      </c>
      <c r="H551" s="15" t="s">
        <v>536</v>
      </c>
      <c r="I551" s="15" t="s">
        <v>549</v>
      </c>
      <c r="J551" s="15" t="n">
        <v>1</v>
      </c>
      <c r="K551" s="15" t="n">
        <v>1</v>
      </c>
      <c r="L551" s="15" t="n">
        <f aca="false">IF(OR(J551="",K551=""),"",MAX(J551-K551,0))</f>
        <v>0</v>
      </c>
      <c r="M551" s="15" t="s">
        <v>1757</v>
      </c>
      <c r="N551" s="17" t="n">
        <v>1988</v>
      </c>
      <c r="O551" s="15" t="n">
        <f aca="false">IF(N551="","",Scoring!$B$4-N551)</f>
        <v>38</v>
      </c>
      <c r="P551" s="15" t="n">
        <f aca="false">IF(N551="","",N551+14)</f>
        <v>2002</v>
      </c>
      <c r="Q551" s="15" t="str">
        <f aca="false">IF(N551="","",IF(N551&lt;Scoring!$B$12,"n/a (pre-1990)",N551+Scoring!$B$13))</f>
        <v>n/a (pre-1990)</v>
      </c>
      <c r="R551" s="15" t="str">
        <f aca="false">IF(J551="","Unknown",IF(J551&gt;=5,"Yes","No (under 5 units)"))</f>
        <v>No (under 5 units)</v>
      </c>
      <c r="S551" s="15"/>
      <c r="T551" s="18"/>
      <c r="U551" s="19"/>
      <c r="V551" s="18"/>
      <c r="W551" s="18"/>
      <c r="X551" s="20"/>
      <c r="Y551" s="18"/>
      <c r="Z551" s="18"/>
      <c r="AA551" s="21" t="str">
        <f aca="false">IF(U551&lt;&gt;"",(U551-Scoring!$B$3)/365.25,IF(N551="","",IF(N551&lt;Scoring!$B$12,"",(DATE(N551+Scoring!$B$13,12,31)-Scoring!$B$3)/365.25)))</f>
        <v/>
      </c>
      <c r="AB551" s="22" t="n">
        <f aca="false">IF(T551="Y",0,IF(OR(D551="Expired (verified)",D551="Expiring: notice window (verified)",D551="Expiring: 10-yr horizon (verified)",D551="Past 30-yr mark (verify)",D551="30-yr mark: notice window (est.)",D551="Year-15 window"),1,0)+IF(ISNUMBER(O551),IF(O551&gt;=Scoring!$B$10,1,0),0)+IF(AND(ISNUMBER(L551),ISNUMBER(J551)),IF(J551&gt;0,IF(L551/J551&gt;=Scoring!$B$11,1,0),0),0)+IF(ISNUMBER(Z551),MIN(Z551,3),0))</f>
        <v>1</v>
      </c>
      <c r="AC551" s="22" t="n">
        <f aca="false">IF(AB551&gt;=3,Scoring!$C$24,IF(AB551=2,Scoring!$C$23,IF(AB551=1,Scoring!$C$22,0)))</f>
        <v>10</v>
      </c>
      <c r="AD551" s="22" t="n">
        <f aca="false">IF(T551="Y",0,IF(ISNUMBER(X551),IF(X551&gt;0.7,Scoring!$C$25,IF(X551&gt;=0.5,Scoring!$C$26,IF(X551&gt;=0.3,Scoring!$C$27,Scoring!$C$28))),Scoring!$C$29))</f>
        <v>10</v>
      </c>
      <c r="AE551" s="22" t="n">
        <f aca="false">IF(D551="Expiring: notice window (verified)",Scoring!$C$30,IF(OR(D551="Expired (verified)",D551="30-yr mark: notice window (est.)",D551="Year-15 window"),Scoring!$C$31,IF(D551="Expiring: 10-yr horizon (verified)",Scoring!$C$32,IF(D551="Past 30-yr mark (verify)",Scoring!$C$33,IF(OR(D551="Credit period",D551="Superseded record"),Scoring!$C$35,Scoring!$C$34)))))</f>
        <v>4</v>
      </c>
      <c r="AF551" s="22" t="n">
        <f aca="false">IF(T551="Y",0,IF(ISNUMBER(V551),IF(Scoring!$B$4-V551&gt;15,Scoring!$C$36,IF(Scoring!$B$4-V551&gt;=10,Scoring!$C$37,IF(Scoring!$B$4-V551&gt;=5,Scoring!$C$38,Scoring!$C$39))),IF(OR(N551="",D551="Out of program"),Scoring!$C$40,IF(O551&gt;15,Scoring!$C$36,IF(O551&gt;=10,Scoring!$C$37,IF(O551&gt;=5,Scoring!$C$38,Scoring!$C$39))))))</f>
        <v>8</v>
      </c>
      <c r="AG551" s="22" t="n">
        <f aca="false">IF(T551="Y",0,IF(Y551="Y",Scoring!$C$41,IF(ISNUMBER(O551),IF(O551&gt;=25,Scoring!$C$42,IF(O551&gt;=15,Scoring!$C$43,Scoring!$C$44)),Scoring!$C$44)))</f>
        <v>8</v>
      </c>
      <c r="AH551" s="22" t="n">
        <f aca="false">IF(T551="Y",0,IF(W551="",Scoring!$C$49,IFERROR(VLOOKUP(W551,Scoring!$B$45:$C$48,2,FALSE()),Scoring!$C$49)))</f>
        <v>5</v>
      </c>
      <c r="AI551" s="23" t="n">
        <f aca="false">C551+IF(ISNUMBER(J551),J551,0)/100000+(10000-ROW())/1000000000</f>
        <v>45.000019449</v>
      </c>
      <c r="AJ551" s="18"/>
      <c r="AK551" s="18"/>
      <c r="AL551" s="18"/>
      <c r="AM551" s="18"/>
    </row>
    <row r="552" customFormat="false" ht="15" hidden="false" customHeight="false" outlineLevel="0" collapsed="false">
      <c r="A552" s="15" t="n">
        <f aca="false">RANK(AI552,$AI$2:$AI$755)</f>
        <v>551</v>
      </c>
      <c r="B552" s="16" t="str">
        <f aca="false">IF(T552="Y","Superseded",IF(C552&gt;=Scoring!$B$16,"Immediate",IF(C552&gt;=Scoring!$B$17,"This week",IF(C552&gt;=Scoring!$B$18,"Nurture","Low"))))</f>
        <v>Nurture</v>
      </c>
      <c r="C552" s="3" t="n">
        <f aca="false">SUM(AC552:AH552)</f>
        <v>45</v>
      </c>
      <c r="D552" s="15" t="str">
        <f aca="false">IF(T552="Y","Superseded record",IF(AND(U552&lt;&gt;"",AA552&lt;0),"Expired (verified)",IF(AND(U552&lt;&gt;"",AA552&lt;=Scoring!$B$5),"Expiring: notice window (verified)",IF(AND(U552&lt;&gt;"",AA552&lt;=Scoring!$B$6),"Expiring: 10-yr horizon (verified)",IF(M552="No Longer Monitored","Out of program",IF(N552="","Unknown vintage",IF(N552&lt;Scoring!$B$12,"Pre-1990, still listed",IF(AND(U552="",AA552&lt;0),"Past 30-yr mark (verify)",IF(AND(U552="",AA552&lt;=Scoring!$B$5),"30-yr mark: notice window (est.)",IF(AND(O552&gt;=Scoring!$B$7,O552&lt;=Scoring!$B$8),"Year-15 window",IF(O552&gt;=Scoring!$B$9,"Recap window",IF(O552&gt;=11,"Late compliance","Credit period"))))))))))))</f>
        <v>Out of program</v>
      </c>
      <c r="E552" s="15" t="s">
        <v>1987</v>
      </c>
      <c r="F552" s="15" t="s">
        <v>1405</v>
      </c>
      <c r="G552" s="15" t="s">
        <v>1988</v>
      </c>
      <c r="H552" s="15" t="s">
        <v>97</v>
      </c>
      <c r="I552" s="15" t="s">
        <v>863</v>
      </c>
      <c r="J552" s="15" t="n">
        <v>1</v>
      </c>
      <c r="K552" s="15" t="n">
        <v>1</v>
      </c>
      <c r="L552" s="15" t="n">
        <f aca="false">IF(OR(J552="",K552=""),"",MAX(J552-K552,0))</f>
        <v>0</v>
      </c>
      <c r="M552" s="15" t="s">
        <v>1757</v>
      </c>
      <c r="N552" s="17" t="n">
        <v>1988</v>
      </c>
      <c r="O552" s="15" t="n">
        <f aca="false">IF(N552="","",Scoring!$B$4-N552)</f>
        <v>38</v>
      </c>
      <c r="P552" s="15" t="n">
        <f aca="false">IF(N552="","",N552+14)</f>
        <v>2002</v>
      </c>
      <c r="Q552" s="15" t="str">
        <f aca="false">IF(N552="","",IF(N552&lt;Scoring!$B$12,"n/a (pre-1990)",N552+Scoring!$B$13))</f>
        <v>n/a (pre-1990)</v>
      </c>
      <c r="R552" s="15" t="str">
        <f aca="false">IF(J552="","Unknown",IF(J552&gt;=5,"Yes","No (under 5 units)"))</f>
        <v>No (under 5 units)</v>
      </c>
      <c r="S552" s="15"/>
      <c r="T552" s="18"/>
      <c r="U552" s="19"/>
      <c r="V552" s="18"/>
      <c r="W552" s="18"/>
      <c r="X552" s="20"/>
      <c r="Y552" s="18"/>
      <c r="Z552" s="18"/>
      <c r="AA552" s="21" t="str">
        <f aca="false">IF(U552&lt;&gt;"",(U552-Scoring!$B$3)/365.25,IF(N552="","",IF(N552&lt;Scoring!$B$12,"",(DATE(N552+Scoring!$B$13,12,31)-Scoring!$B$3)/365.25)))</f>
        <v/>
      </c>
      <c r="AB552" s="22" t="n">
        <f aca="false">IF(T552="Y",0,IF(OR(D552="Expired (verified)",D552="Expiring: notice window (verified)",D552="Expiring: 10-yr horizon (verified)",D552="Past 30-yr mark (verify)",D552="30-yr mark: notice window (est.)",D552="Year-15 window"),1,0)+IF(ISNUMBER(O552),IF(O552&gt;=Scoring!$B$10,1,0),0)+IF(AND(ISNUMBER(L552),ISNUMBER(J552)),IF(J552&gt;0,IF(L552/J552&gt;=Scoring!$B$11,1,0),0),0)+IF(ISNUMBER(Z552),MIN(Z552,3),0))</f>
        <v>1</v>
      </c>
      <c r="AC552" s="22" t="n">
        <f aca="false">IF(AB552&gt;=3,Scoring!$C$24,IF(AB552=2,Scoring!$C$23,IF(AB552=1,Scoring!$C$22,0)))</f>
        <v>10</v>
      </c>
      <c r="AD552" s="22" t="n">
        <f aca="false">IF(T552="Y",0,IF(ISNUMBER(X552),IF(X552&gt;0.7,Scoring!$C$25,IF(X552&gt;=0.5,Scoring!$C$26,IF(X552&gt;=0.3,Scoring!$C$27,Scoring!$C$28))),Scoring!$C$29))</f>
        <v>10</v>
      </c>
      <c r="AE552" s="22" t="n">
        <f aca="false">IF(D552="Expiring: notice window (verified)",Scoring!$C$30,IF(OR(D552="Expired (verified)",D552="30-yr mark: notice window (est.)",D552="Year-15 window"),Scoring!$C$31,IF(D552="Expiring: 10-yr horizon (verified)",Scoring!$C$32,IF(D552="Past 30-yr mark (verify)",Scoring!$C$33,IF(OR(D552="Credit period",D552="Superseded record"),Scoring!$C$35,Scoring!$C$34)))))</f>
        <v>4</v>
      </c>
      <c r="AF552" s="22" t="n">
        <f aca="false">IF(T552="Y",0,IF(ISNUMBER(V552),IF(Scoring!$B$4-V552&gt;15,Scoring!$C$36,IF(Scoring!$B$4-V552&gt;=10,Scoring!$C$37,IF(Scoring!$B$4-V552&gt;=5,Scoring!$C$38,Scoring!$C$39))),IF(OR(N552="",D552="Out of program"),Scoring!$C$40,IF(O552&gt;15,Scoring!$C$36,IF(O552&gt;=10,Scoring!$C$37,IF(O552&gt;=5,Scoring!$C$38,Scoring!$C$39))))))</f>
        <v>8</v>
      </c>
      <c r="AG552" s="22" t="n">
        <f aca="false">IF(T552="Y",0,IF(Y552="Y",Scoring!$C$41,IF(ISNUMBER(O552),IF(O552&gt;=25,Scoring!$C$42,IF(O552&gt;=15,Scoring!$C$43,Scoring!$C$44)),Scoring!$C$44)))</f>
        <v>8</v>
      </c>
      <c r="AH552" s="22" t="n">
        <f aca="false">IF(T552="Y",0,IF(W552="",Scoring!$C$49,IFERROR(VLOOKUP(W552,Scoring!$B$45:$C$48,2,FALSE()),Scoring!$C$49)))</f>
        <v>5</v>
      </c>
      <c r="AI552" s="23" t="n">
        <f aca="false">C552+IF(ISNUMBER(J552),J552,0)/100000+(10000-ROW())/1000000000</f>
        <v>45.000019448</v>
      </c>
      <c r="AJ552" s="18"/>
      <c r="AK552" s="18"/>
      <c r="AL552" s="18"/>
      <c r="AM552" s="18"/>
    </row>
    <row r="553" customFormat="false" ht="15" hidden="false" customHeight="false" outlineLevel="0" collapsed="false">
      <c r="A553" s="15" t="n">
        <f aca="false">RANK(AI553,$AI$2:$AI$755)</f>
        <v>552</v>
      </c>
      <c r="B553" s="16" t="str">
        <f aca="false">IF(T553="Y","Superseded",IF(C553&gt;=Scoring!$B$16,"Immediate",IF(C553&gt;=Scoring!$B$17,"This week",IF(C553&gt;=Scoring!$B$18,"Nurture","Low"))))</f>
        <v>Nurture</v>
      </c>
      <c r="C553" s="3" t="n">
        <f aca="false">SUM(AC553:AH553)</f>
        <v>45</v>
      </c>
      <c r="D553" s="15" t="str">
        <f aca="false">IF(T553="Y","Superseded record",IF(AND(U553&lt;&gt;"",AA553&lt;0),"Expired (verified)",IF(AND(U553&lt;&gt;"",AA553&lt;=Scoring!$B$5),"Expiring: notice window (verified)",IF(AND(U553&lt;&gt;"",AA553&lt;=Scoring!$B$6),"Expiring: 10-yr horizon (verified)",IF(M553="No Longer Monitored","Out of program",IF(N553="","Unknown vintage",IF(N553&lt;Scoring!$B$12,"Pre-1990, still listed",IF(AND(U553="",AA553&lt;0),"Past 30-yr mark (verify)",IF(AND(U553="",AA553&lt;=Scoring!$B$5),"30-yr mark: notice window (est.)",IF(AND(O553&gt;=Scoring!$B$7,O553&lt;=Scoring!$B$8),"Year-15 window",IF(O553&gt;=Scoring!$B$9,"Recap window",IF(O553&gt;=11,"Late compliance","Credit period"))))))))))))</f>
        <v>Out of program</v>
      </c>
      <c r="E553" s="15" t="s">
        <v>1989</v>
      </c>
      <c r="F553" s="15" t="s">
        <v>1990</v>
      </c>
      <c r="G553" s="15" t="s">
        <v>1991</v>
      </c>
      <c r="H553" s="15" t="s">
        <v>97</v>
      </c>
      <c r="I553" s="15" t="s">
        <v>245</v>
      </c>
      <c r="J553" s="15" t="n">
        <v>1</v>
      </c>
      <c r="K553" s="15" t="n">
        <v>1</v>
      </c>
      <c r="L553" s="15" t="n">
        <f aca="false">IF(OR(J553="",K553=""),"",MAX(J553-K553,0))</f>
        <v>0</v>
      </c>
      <c r="M553" s="15" t="s">
        <v>1757</v>
      </c>
      <c r="N553" s="17" t="n">
        <v>1988</v>
      </c>
      <c r="O553" s="15" t="n">
        <f aca="false">IF(N553="","",Scoring!$B$4-N553)</f>
        <v>38</v>
      </c>
      <c r="P553" s="15" t="n">
        <f aca="false">IF(N553="","",N553+14)</f>
        <v>2002</v>
      </c>
      <c r="Q553" s="15" t="str">
        <f aca="false">IF(N553="","",IF(N553&lt;Scoring!$B$12,"n/a (pre-1990)",N553+Scoring!$B$13))</f>
        <v>n/a (pre-1990)</v>
      </c>
      <c r="R553" s="15" t="str">
        <f aca="false">IF(J553="","Unknown",IF(J553&gt;=5,"Yes","No (under 5 units)"))</f>
        <v>No (under 5 units)</v>
      </c>
      <c r="S553" s="15"/>
      <c r="T553" s="18"/>
      <c r="U553" s="19"/>
      <c r="V553" s="18"/>
      <c r="W553" s="18"/>
      <c r="X553" s="20"/>
      <c r="Y553" s="18"/>
      <c r="Z553" s="18"/>
      <c r="AA553" s="21" t="str">
        <f aca="false">IF(U553&lt;&gt;"",(U553-Scoring!$B$3)/365.25,IF(N553="","",IF(N553&lt;Scoring!$B$12,"",(DATE(N553+Scoring!$B$13,12,31)-Scoring!$B$3)/365.25)))</f>
        <v/>
      </c>
      <c r="AB553" s="22" t="n">
        <f aca="false">IF(T553="Y",0,IF(OR(D553="Expired (verified)",D553="Expiring: notice window (verified)",D553="Expiring: 10-yr horizon (verified)",D553="Past 30-yr mark (verify)",D553="30-yr mark: notice window (est.)",D553="Year-15 window"),1,0)+IF(ISNUMBER(O553),IF(O553&gt;=Scoring!$B$10,1,0),0)+IF(AND(ISNUMBER(L553),ISNUMBER(J553)),IF(J553&gt;0,IF(L553/J553&gt;=Scoring!$B$11,1,0),0),0)+IF(ISNUMBER(Z553),MIN(Z553,3),0))</f>
        <v>1</v>
      </c>
      <c r="AC553" s="22" t="n">
        <f aca="false">IF(AB553&gt;=3,Scoring!$C$24,IF(AB553=2,Scoring!$C$23,IF(AB553=1,Scoring!$C$22,0)))</f>
        <v>10</v>
      </c>
      <c r="AD553" s="22" t="n">
        <f aca="false">IF(T553="Y",0,IF(ISNUMBER(X553),IF(X553&gt;0.7,Scoring!$C$25,IF(X553&gt;=0.5,Scoring!$C$26,IF(X553&gt;=0.3,Scoring!$C$27,Scoring!$C$28))),Scoring!$C$29))</f>
        <v>10</v>
      </c>
      <c r="AE553" s="22" t="n">
        <f aca="false">IF(D553="Expiring: notice window (verified)",Scoring!$C$30,IF(OR(D553="Expired (verified)",D553="30-yr mark: notice window (est.)",D553="Year-15 window"),Scoring!$C$31,IF(D553="Expiring: 10-yr horizon (verified)",Scoring!$C$32,IF(D553="Past 30-yr mark (verify)",Scoring!$C$33,IF(OR(D553="Credit period",D553="Superseded record"),Scoring!$C$35,Scoring!$C$34)))))</f>
        <v>4</v>
      </c>
      <c r="AF553" s="22" t="n">
        <f aca="false">IF(T553="Y",0,IF(ISNUMBER(V553),IF(Scoring!$B$4-V553&gt;15,Scoring!$C$36,IF(Scoring!$B$4-V553&gt;=10,Scoring!$C$37,IF(Scoring!$B$4-V553&gt;=5,Scoring!$C$38,Scoring!$C$39))),IF(OR(N553="",D553="Out of program"),Scoring!$C$40,IF(O553&gt;15,Scoring!$C$36,IF(O553&gt;=10,Scoring!$C$37,IF(O553&gt;=5,Scoring!$C$38,Scoring!$C$39))))))</f>
        <v>8</v>
      </c>
      <c r="AG553" s="22" t="n">
        <f aca="false">IF(T553="Y",0,IF(Y553="Y",Scoring!$C$41,IF(ISNUMBER(O553),IF(O553&gt;=25,Scoring!$C$42,IF(O553&gt;=15,Scoring!$C$43,Scoring!$C$44)),Scoring!$C$44)))</f>
        <v>8</v>
      </c>
      <c r="AH553" s="22" t="n">
        <f aca="false">IF(T553="Y",0,IF(W553="",Scoring!$C$49,IFERROR(VLOOKUP(W553,Scoring!$B$45:$C$48,2,FALSE()),Scoring!$C$49)))</f>
        <v>5</v>
      </c>
      <c r="AI553" s="23" t="n">
        <f aca="false">C553+IF(ISNUMBER(J553),J553,0)/100000+(10000-ROW())/1000000000</f>
        <v>45.000019447</v>
      </c>
      <c r="AJ553" s="18"/>
      <c r="AK553" s="18"/>
      <c r="AL553" s="18"/>
      <c r="AM553" s="18"/>
    </row>
    <row r="554" customFormat="false" ht="15" hidden="false" customHeight="false" outlineLevel="0" collapsed="false">
      <c r="A554" s="15" t="n">
        <f aca="false">RANK(AI554,$AI$2:$AI$755)</f>
        <v>553</v>
      </c>
      <c r="B554" s="16" t="str">
        <f aca="false">IF(T554="Y","Superseded",IF(C554&gt;=Scoring!$B$16,"Immediate",IF(C554&gt;=Scoring!$B$17,"This week",IF(C554&gt;=Scoring!$B$18,"Nurture","Low"))))</f>
        <v>Nurture</v>
      </c>
      <c r="C554" s="3" t="n">
        <f aca="false">SUM(AC554:AH554)</f>
        <v>45</v>
      </c>
      <c r="D554" s="15" t="str">
        <f aca="false">IF(T554="Y","Superseded record",IF(AND(U554&lt;&gt;"",AA554&lt;0),"Expired (verified)",IF(AND(U554&lt;&gt;"",AA554&lt;=Scoring!$B$5),"Expiring: notice window (verified)",IF(AND(U554&lt;&gt;"",AA554&lt;=Scoring!$B$6),"Expiring: 10-yr horizon (verified)",IF(M554="No Longer Monitored","Out of program",IF(N554="","Unknown vintage",IF(N554&lt;Scoring!$B$12,"Pre-1990, still listed",IF(AND(U554="",AA554&lt;0),"Past 30-yr mark (verify)",IF(AND(U554="",AA554&lt;=Scoring!$B$5),"30-yr mark: notice window (est.)",IF(AND(O554&gt;=Scoring!$B$7,O554&lt;=Scoring!$B$8),"Year-15 window",IF(O554&gt;=Scoring!$B$9,"Recap window",IF(O554&gt;=11,"Late compliance","Credit period"))))))))))))</f>
        <v>Out of program</v>
      </c>
      <c r="E554" s="15" t="s">
        <v>1992</v>
      </c>
      <c r="F554" s="15" t="s">
        <v>1405</v>
      </c>
      <c r="G554" s="15" t="s">
        <v>1993</v>
      </c>
      <c r="H554" s="15" t="s">
        <v>151</v>
      </c>
      <c r="I554" s="15" t="s">
        <v>280</v>
      </c>
      <c r="J554" s="15" t="n">
        <v>1</v>
      </c>
      <c r="K554" s="15" t="n">
        <v>1</v>
      </c>
      <c r="L554" s="15" t="n">
        <f aca="false">IF(OR(J554="",K554=""),"",MAX(J554-K554,0))</f>
        <v>0</v>
      </c>
      <c r="M554" s="15" t="s">
        <v>1757</v>
      </c>
      <c r="N554" s="17" t="n">
        <v>1988</v>
      </c>
      <c r="O554" s="15" t="n">
        <f aca="false">IF(N554="","",Scoring!$B$4-N554)</f>
        <v>38</v>
      </c>
      <c r="P554" s="15" t="n">
        <f aca="false">IF(N554="","",N554+14)</f>
        <v>2002</v>
      </c>
      <c r="Q554" s="15" t="str">
        <f aca="false">IF(N554="","",IF(N554&lt;Scoring!$B$12,"n/a (pre-1990)",N554+Scoring!$B$13))</f>
        <v>n/a (pre-1990)</v>
      </c>
      <c r="R554" s="15" t="str">
        <f aca="false">IF(J554="","Unknown",IF(J554&gt;=5,"Yes","No (under 5 units)"))</f>
        <v>No (under 5 units)</v>
      </c>
      <c r="S554" s="15"/>
      <c r="T554" s="18"/>
      <c r="U554" s="19"/>
      <c r="V554" s="18"/>
      <c r="W554" s="18"/>
      <c r="X554" s="20"/>
      <c r="Y554" s="18"/>
      <c r="Z554" s="18"/>
      <c r="AA554" s="21" t="str">
        <f aca="false">IF(U554&lt;&gt;"",(U554-Scoring!$B$3)/365.25,IF(N554="","",IF(N554&lt;Scoring!$B$12,"",(DATE(N554+Scoring!$B$13,12,31)-Scoring!$B$3)/365.25)))</f>
        <v/>
      </c>
      <c r="AB554" s="22" t="n">
        <f aca="false">IF(T554="Y",0,IF(OR(D554="Expired (verified)",D554="Expiring: notice window (verified)",D554="Expiring: 10-yr horizon (verified)",D554="Past 30-yr mark (verify)",D554="30-yr mark: notice window (est.)",D554="Year-15 window"),1,0)+IF(ISNUMBER(O554),IF(O554&gt;=Scoring!$B$10,1,0),0)+IF(AND(ISNUMBER(L554),ISNUMBER(J554)),IF(J554&gt;0,IF(L554/J554&gt;=Scoring!$B$11,1,0),0),0)+IF(ISNUMBER(Z554),MIN(Z554,3),0))</f>
        <v>1</v>
      </c>
      <c r="AC554" s="22" t="n">
        <f aca="false">IF(AB554&gt;=3,Scoring!$C$24,IF(AB554=2,Scoring!$C$23,IF(AB554=1,Scoring!$C$22,0)))</f>
        <v>10</v>
      </c>
      <c r="AD554" s="22" t="n">
        <f aca="false">IF(T554="Y",0,IF(ISNUMBER(X554),IF(X554&gt;0.7,Scoring!$C$25,IF(X554&gt;=0.5,Scoring!$C$26,IF(X554&gt;=0.3,Scoring!$C$27,Scoring!$C$28))),Scoring!$C$29))</f>
        <v>10</v>
      </c>
      <c r="AE554" s="22" t="n">
        <f aca="false">IF(D554="Expiring: notice window (verified)",Scoring!$C$30,IF(OR(D554="Expired (verified)",D554="30-yr mark: notice window (est.)",D554="Year-15 window"),Scoring!$C$31,IF(D554="Expiring: 10-yr horizon (verified)",Scoring!$C$32,IF(D554="Past 30-yr mark (verify)",Scoring!$C$33,IF(OR(D554="Credit period",D554="Superseded record"),Scoring!$C$35,Scoring!$C$34)))))</f>
        <v>4</v>
      </c>
      <c r="AF554" s="22" t="n">
        <f aca="false">IF(T554="Y",0,IF(ISNUMBER(V554),IF(Scoring!$B$4-V554&gt;15,Scoring!$C$36,IF(Scoring!$B$4-V554&gt;=10,Scoring!$C$37,IF(Scoring!$B$4-V554&gt;=5,Scoring!$C$38,Scoring!$C$39))),IF(OR(N554="",D554="Out of program"),Scoring!$C$40,IF(O554&gt;15,Scoring!$C$36,IF(O554&gt;=10,Scoring!$C$37,IF(O554&gt;=5,Scoring!$C$38,Scoring!$C$39))))))</f>
        <v>8</v>
      </c>
      <c r="AG554" s="22" t="n">
        <f aca="false">IF(T554="Y",0,IF(Y554="Y",Scoring!$C$41,IF(ISNUMBER(O554),IF(O554&gt;=25,Scoring!$C$42,IF(O554&gt;=15,Scoring!$C$43,Scoring!$C$44)),Scoring!$C$44)))</f>
        <v>8</v>
      </c>
      <c r="AH554" s="22" t="n">
        <f aca="false">IF(T554="Y",0,IF(W554="",Scoring!$C$49,IFERROR(VLOOKUP(W554,Scoring!$B$45:$C$48,2,FALSE()),Scoring!$C$49)))</f>
        <v>5</v>
      </c>
      <c r="AI554" s="23" t="n">
        <f aca="false">C554+IF(ISNUMBER(J554),J554,0)/100000+(10000-ROW())/1000000000</f>
        <v>45.000019446</v>
      </c>
      <c r="AJ554" s="18"/>
      <c r="AK554" s="18"/>
      <c r="AL554" s="18"/>
      <c r="AM554" s="18"/>
    </row>
    <row r="555" customFormat="false" ht="15" hidden="false" customHeight="false" outlineLevel="0" collapsed="false">
      <c r="A555" s="15" t="n">
        <f aca="false">RANK(AI555,$AI$2:$AI$755)</f>
        <v>554</v>
      </c>
      <c r="B555" s="16" t="str">
        <f aca="false">IF(T555="Y","Superseded",IF(C555&gt;=Scoring!$B$16,"Immediate",IF(C555&gt;=Scoring!$B$17,"This week",IF(C555&gt;=Scoring!$B$18,"Nurture","Low"))))</f>
        <v>Nurture</v>
      </c>
      <c r="C555" s="3" t="n">
        <f aca="false">SUM(AC555:AH555)</f>
        <v>45</v>
      </c>
      <c r="D555" s="15" t="str">
        <f aca="false">IF(T555="Y","Superseded record",IF(AND(U555&lt;&gt;"",AA555&lt;0),"Expired (verified)",IF(AND(U555&lt;&gt;"",AA555&lt;=Scoring!$B$5),"Expiring: notice window (verified)",IF(AND(U555&lt;&gt;"",AA555&lt;=Scoring!$B$6),"Expiring: 10-yr horizon (verified)",IF(M555="No Longer Monitored","Out of program",IF(N555="","Unknown vintage",IF(N555&lt;Scoring!$B$12,"Pre-1990, still listed",IF(AND(U555="",AA555&lt;0),"Past 30-yr mark (verify)",IF(AND(U555="",AA555&lt;=Scoring!$B$5),"30-yr mark: notice window (est.)",IF(AND(O555&gt;=Scoring!$B$7,O555&lt;=Scoring!$B$8),"Year-15 window",IF(O555&gt;=Scoring!$B$9,"Recap window",IF(O555&gt;=11,"Late compliance","Credit period"))))))))))))</f>
        <v>Out of program</v>
      </c>
      <c r="E555" s="15" t="s">
        <v>1994</v>
      </c>
      <c r="F555" s="15" t="s">
        <v>1405</v>
      </c>
      <c r="G555" s="15" t="s">
        <v>1995</v>
      </c>
      <c r="H555" s="15" t="s">
        <v>97</v>
      </c>
      <c r="I555" s="15" t="s">
        <v>245</v>
      </c>
      <c r="J555" s="15" t="n">
        <v>1</v>
      </c>
      <c r="K555" s="15" t="n">
        <v>1</v>
      </c>
      <c r="L555" s="15" t="n">
        <f aca="false">IF(OR(J555="",K555=""),"",MAX(J555-K555,0))</f>
        <v>0</v>
      </c>
      <c r="M555" s="15" t="s">
        <v>1757</v>
      </c>
      <c r="N555" s="17" t="n">
        <v>1988</v>
      </c>
      <c r="O555" s="15" t="n">
        <f aca="false">IF(N555="","",Scoring!$B$4-N555)</f>
        <v>38</v>
      </c>
      <c r="P555" s="15" t="n">
        <f aca="false">IF(N555="","",N555+14)</f>
        <v>2002</v>
      </c>
      <c r="Q555" s="15" t="str">
        <f aca="false">IF(N555="","",IF(N555&lt;Scoring!$B$12,"n/a (pre-1990)",N555+Scoring!$B$13))</f>
        <v>n/a (pre-1990)</v>
      </c>
      <c r="R555" s="15" t="str">
        <f aca="false">IF(J555="","Unknown",IF(J555&gt;=5,"Yes","No (under 5 units)"))</f>
        <v>No (under 5 units)</v>
      </c>
      <c r="S555" s="15"/>
      <c r="T555" s="18"/>
      <c r="U555" s="19"/>
      <c r="V555" s="18"/>
      <c r="W555" s="18"/>
      <c r="X555" s="20"/>
      <c r="Y555" s="18"/>
      <c r="Z555" s="18"/>
      <c r="AA555" s="21" t="str">
        <f aca="false">IF(U555&lt;&gt;"",(U555-Scoring!$B$3)/365.25,IF(N555="","",IF(N555&lt;Scoring!$B$12,"",(DATE(N555+Scoring!$B$13,12,31)-Scoring!$B$3)/365.25)))</f>
        <v/>
      </c>
      <c r="AB555" s="22" t="n">
        <f aca="false">IF(T555="Y",0,IF(OR(D555="Expired (verified)",D555="Expiring: notice window (verified)",D555="Expiring: 10-yr horizon (verified)",D555="Past 30-yr mark (verify)",D555="30-yr mark: notice window (est.)",D555="Year-15 window"),1,0)+IF(ISNUMBER(O555),IF(O555&gt;=Scoring!$B$10,1,0),0)+IF(AND(ISNUMBER(L555),ISNUMBER(J555)),IF(J555&gt;0,IF(L555/J555&gt;=Scoring!$B$11,1,0),0),0)+IF(ISNUMBER(Z555),MIN(Z555,3),0))</f>
        <v>1</v>
      </c>
      <c r="AC555" s="22" t="n">
        <f aca="false">IF(AB555&gt;=3,Scoring!$C$24,IF(AB555=2,Scoring!$C$23,IF(AB555=1,Scoring!$C$22,0)))</f>
        <v>10</v>
      </c>
      <c r="AD555" s="22" t="n">
        <f aca="false">IF(T555="Y",0,IF(ISNUMBER(X555),IF(X555&gt;0.7,Scoring!$C$25,IF(X555&gt;=0.5,Scoring!$C$26,IF(X555&gt;=0.3,Scoring!$C$27,Scoring!$C$28))),Scoring!$C$29))</f>
        <v>10</v>
      </c>
      <c r="AE555" s="22" t="n">
        <f aca="false">IF(D555="Expiring: notice window (verified)",Scoring!$C$30,IF(OR(D555="Expired (verified)",D555="30-yr mark: notice window (est.)",D555="Year-15 window"),Scoring!$C$31,IF(D555="Expiring: 10-yr horizon (verified)",Scoring!$C$32,IF(D555="Past 30-yr mark (verify)",Scoring!$C$33,IF(OR(D555="Credit period",D555="Superseded record"),Scoring!$C$35,Scoring!$C$34)))))</f>
        <v>4</v>
      </c>
      <c r="AF555" s="22" t="n">
        <f aca="false">IF(T555="Y",0,IF(ISNUMBER(V555),IF(Scoring!$B$4-V555&gt;15,Scoring!$C$36,IF(Scoring!$B$4-V555&gt;=10,Scoring!$C$37,IF(Scoring!$B$4-V555&gt;=5,Scoring!$C$38,Scoring!$C$39))),IF(OR(N555="",D555="Out of program"),Scoring!$C$40,IF(O555&gt;15,Scoring!$C$36,IF(O555&gt;=10,Scoring!$C$37,IF(O555&gt;=5,Scoring!$C$38,Scoring!$C$39))))))</f>
        <v>8</v>
      </c>
      <c r="AG555" s="22" t="n">
        <f aca="false">IF(T555="Y",0,IF(Y555="Y",Scoring!$C$41,IF(ISNUMBER(O555),IF(O555&gt;=25,Scoring!$C$42,IF(O555&gt;=15,Scoring!$C$43,Scoring!$C$44)),Scoring!$C$44)))</f>
        <v>8</v>
      </c>
      <c r="AH555" s="22" t="n">
        <f aca="false">IF(T555="Y",0,IF(W555="",Scoring!$C$49,IFERROR(VLOOKUP(W555,Scoring!$B$45:$C$48,2,FALSE()),Scoring!$C$49)))</f>
        <v>5</v>
      </c>
      <c r="AI555" s="23" t="n">
        <f aca="false">C555+IF(ISNUMBER(J555),J555,0)/100000+(10000-ROW())/1000000000</f>
        <v>45.000019445</v>
      </c>
      <c r="AJ555" s="18"/>
      <c r="AK555" s="18"/>
      <c r="AL555" s="18"/>
      <c r="AM555" s="18"/>
    </row>
    <row r="556" customFormat="false" ht="15" hidden="false" customHeight="false" outlineLevel="0" collapsed="false">
      <c r="A556" s="15" t="n">
        <f aca="false">RANK(AI556,$AI$2:$AI$755)</f>
        <v>555</v>
      </c>
      <c r="B556" s="16" t="str">
        <f aca="false">IF(T556="Y","Superseded",IF(C556&gt;=Scoring!$B$16,"Immediate",IF(C556&gt;=Scoring!$B$17,"This week",IF(C556&gt;=Scoring!$B$18,"Nurture","Low"))))</f>
        <v>Nurture</v>
      </c>
      <c r="C556" s="3" t="n">
        <f aca="false">SUM(AC556:AH556)</f>
        <v>45</v>
      </c>
      <c r="D556" s="15" t="str">
        <f aca="false">IF(T556="Y","Superseded record",IF(AND(U556&lt;&gt;"",AA556&lt;0),"Expired (verified)",IF(AND(U556&lt;&gt;"",AA556&lt;=Scoring!$B$5),"Expiring: notice window (verified)",IF(AND(U556&lt;&gt;"",AA556&lt;=Scoring!$B$6),"Expiring: 10-yr horizon (verified)",IF(M556="No Longer Monitored","Out of program",IF(N556="","Unknown vintage",IF(N556&lt;Scoring!$B$12,"Pre-1990, still listed",IF(AND(U556="",AA556&lt;0),"Past 30-yr mark (verify)",IF(AND(U556="",AA556&lt;=Scoring!$B$5),"30-yr mark: notice window (est.)",IF(AND(O556&gt;=Scoring!$B$7,O556&lt;=Scoring!$B$8),"Year-15 window",IF(O556&gt;=Scoring!$B$9,"Recap window",IF(O556&gt;=11,"Late compliance","Credit period"))))))))))))</f>
        <v>Out of program</v>
      </c>
      <c r="E556" s="15" t="s">
        <v>1996</v>
      </c>
      <c r="F556" s="15" t="s">
        <v>1405</v>
      </c>
      <c r="G556" s="15" t="s">
        <v>1997</v>
      </c>
      <c r="H556" s="15" t="s">
        <v>97</v>
      </c>
      <c r="I556" s="15" t="s">
        <v>245</v>
      </c>
      <c r="J556" s="15" t="n">
        <v>1</v>
      </c>
      <c r="K556" s="15" t="n">
        <v>1</v>
      </c>
      <c r="L556" s="15" t="n">
        <f aca="false">IF(OR(J556="",K556=""),"",MAX(J556-K556,0))</f>
        <v>0</v>
      </c>
      <c r="M556" s="15" t="s">
        <v>1757</v>
      </c>
      <c r="N556" s="17" t="n">
        <v>1988</v>
      </c>
      <c r="O556" s="15" t="n">
        <f aca="false">IF(N556="","",Scoring!$B$4-N556)</f>
        <v>38</v>
      </c>
      <c r="P556" s="15" t="n">
        <f aca="false">IF(N556="","",N556+14)</f>
        <v>2002</v>
      </c>
      <c r="Q556" s="15" t="str">
        <f aca="false">IF(N556="","",IF(N556&lt;Scoring!$B$12,"n/a (pre-1990)",N556+Scoring!$B$13))</f>
        <v>n/a (pre-1990)</v>
      </c>
      <c r="R556" s="15" t="str">
        <f aca="false">IF(J556="","Unknown",IF(J556&gt;=5,"Yes","No (under 5 units)"))</f>
        <v>No (under 5 units)</v>
      </c>
      <c r="S556" s="15"/>
      <c r="T556" s="18"/>
      <c r="U556" s="19"/>
      <c r="V556" s="18"/>
      <c r="W556" s="18"/>
      <c r="X556" s="20"/>
      <c r="Y556" s="18"/>
      <c r="Z556" s="18"/>
      <c r="AA556" s="21" t="str">
        <f aca="false">IF(U556&lt;&gt;"",(U556-Scoring!$B$3)/365.25,IF(N556="","",IF(N556&lt;Scoring!$B$12,"",(DATE(N556+Scoring!$B$13,12,31)-Scoring!$B$3)/365.25)))</f>
        <v/>
      </c>
      <c r="AB556" s="22" t="n">
        <f aca="false">IF(T556="Y",0,IF(OR(D556="Expired (verified)",D556="Expiring: notice window (verified)",D556="Expiring: 10-yr horizon (verified)",D556="Past 30-yr mark (verify)",D556="30-yr mark: notice window (est.)",D556="Year-15 window"),1,0)+IF(ISNUMBER(O556),IF(O556&gt;=Scoring!$B$10,1,0),0)+IF(AND(ISNUMBER(L556),ISNUMBER(J556)),IF(J556&gt;0,IF(L556/J556&gt;=Scoring!$B$11,1,0),0),0)+IF(ISNUMBER(Z556),MIN(Z556,3),0))</f>
        <v>1</v>
      </c>
      <c r="AC556" s="22" t="n">
        <f aca="false">IF(AB556&gt;=3,Scoring!$C$24,IF(AB556=2,Scoring!$C$23,IF(AB556=1,Scoring!$C$22,0)))</f>
        <v>10</v>
      </c>
      <c r="AD556" s="22" t="n">
        <f aca="false">IF(T556="Y",0,IF(ISNUMBER(X556),IF(X556&gt;0.7,Scoring!$C$25,IF(X556&gt;=0.5,Scoring!$C$26,IF(X556&gt;=0.3,Scoring!$C$27,Scoring!$C$28))),Scoring!$C$29))</f>
        <v>10</v>
      </c>
      <c r="AE556" s="22" t="n">
        <f aca="false">IF(D556="Expiring: notice window (verified)",Scoring!$C$30,IF(OR(D556="Expired (verified)",D556="30-yr mark: notice window (est.)",D556="Year-15 window"),Scoring!$C$31,IF(D556="Expiring: 10-yr horizon (verified)",Scoring!$C$32,IF(D556="Past 30-yr mark (verify)",Scoring!$C$33,IF(OR(D556="Credit period",D556="Superseded record"),Scoring!$C$35,Scoring!$C$34)))))</f>
        <v>4</v>
      </c>
      <c r="AF556" s="22" t="n">
        <f aca="false">IF(T556="Y",0,IF(ISNUMBER(V556),IF(Scoring!$B$4-V556&gt;15,Scoring!$C$36,IF(Scoring!$B$4-V556&gt;=10,Scoring!$C$37,IF(Scoring!$B$4-V556&gt;=5,Scoring!$C$38,Scoring!$C$39))),IF(OR(N556="",D556="Out of program"),Scoring!$C$40,IF(O556&gt;15,Scoring!$C$36,IF(O556&gt;=10,Scoring!$C$37,IF(O556&gt;=5,Scoring!$C$38,Scoring!$C$39))))))</f>
        <v>8</v>
      </c>
      <c r="AG556" s="22" t="n">
        <f aca="false">IF(T556="Y",0,IF(Y556="Y",Scoring!$C$41,IF(ISNUMBER(O556),IF(O556&gt;=25,Scoring!$C$42,IF(O556&gt;=15,Scoring!$C$43,Scoring!$C$44)),Scoring!$C$44)))</f>
        <v>8</v>
      </c>
      <c r="AH556" s="22" t="n">
        <f aca="false">IF(T556="Y",0,IF(W556="",Scoring!$C$49,IFERROR(VLOOKUP(W556,Scoring!$B$45:$C$48,2,FALSE()),Scoring!$C$49)))</f>
        <v>5</v>
      </c>
      <c r="AI556" s="23" t="n">
        <f aca="false">C556+IF(ISNUMBER(J556),J556,0)/100000+(10000-ROW())/1000000000</f>
        <v>45.000019444</v>
      </c>
      <c r="AJ556" s="18"/>
      <c r="AK556" s="18"/>
      <c r="AL556" s="18"/>
      <c r="AM556" s="18"/>
    </row>
    <row r="557" customFormat="false" ht="15" hidden="false" customHeight="false" outlineLevel="0" collapsed="false">
      <c r="A557" s="15" t="n">
        <f aca="false">RANK(AI557,$AI$2:$AI$755)</f>
        <v>556</v>
      </c>
      <c r="B557" s="16" t="str">
        <f aca="false">IF(T557="Y","Superseded",IF(C557&gt;=Scoring!$B$16,"Immediate",IF(C557&gt;=Scoring!$B$17,"This week",IF(C557&gt;=Scoring!$B$18,"Nurture","Low"))))</f>
        <v>Nurture</v>
      </c>
      <c r="C557" s="3" t="n">
        <f aca="false">SUM(AC557:AH557)</f>
        <v>45</v>
      </c>
      <c r="D557" s="15" t="str">
        <f aca="false">IF(T557="Y","Superseded record",IF(AND(U557&lt;&gt;"",AA557&lt;0),"Expired (verified)",IF(AND(U557&lt;&gt;"",AA557&lt;=Scoring!$B$5),"Expiring: notice window (verified)",IF(AND(U557&lt;&gt;"",AA557&lt;=Scoring!$B$6),"Expiring: 10-yr horizon (verified)",IF(M557="No Longer Monitored","Out of program",IF(N557="","Unknown vintage",IF(N557&lt;Scoring!$B$12,"Pre-1990, still listed",IF(AND(U557="",AA557&lt;0),"Past 30-yr mark (verify)",IF(AND(U557="",AA557&lt;=Scoring!$B$5),"30-yr mark: notice window (est.)",IF(AND(O557&gt;=Scoring!$B$7,O557&lt;=Scoring!$B$8),"Year-15 window",IF(O557&gt;=Scoring!$B$9,"Recap window",IF(O557&gt;=11,"Late compliance","Credit period"))))))))))))</f>
        <v>Out of program</v>
      </c>
      <c r="E557" s="15" t="s">
        <v>1998</v>
      </c>
      <c r="F557" s="15" t="s">
        <v>1405</v>
      </c>
      <c r="G557" s="15" t="s">
        <v>1999</v>
      </c>
      <c r="H557" s="15" t="s">
        <v>151</v>
      </c>
      <c r="I557" s="15" t="s">
        <v>1174</v>
      </c>
      <c r="J557" s="15" t="n">
        <v>1</v>
      </c>
      <c r="K557" s="15" t="n">
        <v>1</v>
      </c>
      <c r="L557" s="15" t="n">
        <f aca="false">IF(OR(J557="",K557=""),"",MAX(J557-K557,0))</f>
        <v>0</v>
      </c>
      <c r="M557" s="15" t="s">
        <v>1757</v>
      </c>
      <c r="N557" s="17" t="n">
        <v>1988</v>
      </c>
      <c r="O557" s="15" t="n">
        <f aca="false">IF(N557="","",Scoring!$B$4-N557)</f>
        <v>38</v>
      </c>
      <c r="P557" s="15" t="n">
        <f aca="false">IF(N557="","",N557+14)</f>
        <v>2002</v>
      </c>
      <c r="Q557" s="15" t="str">
        <f aca="false">IF(N557="","",IF(N557&lt;Scoring!$B$12,"n/a (pre-1990)",N557+Scoring!$B$13))</f>
        <v>n/a (pre-1990)</v>
      </c>
      <c r="R557" s="15" t="str">
        <f aca="false">IF(J557="","Unknown",IF(J557&gt;=5,"Yes","No (under 5 units)"))</f>
        <v>No (under 5 units)</v>
      </c>
      <c r="S557" s="15"/>
      <c r="T557" s="18"/>
      <c r="U557" s="19"/>
      <c r="V557" s="18"/>
      <c r="W557" s="18"/>
      <c r="X557" s="20"/>
      <c r="Y557" s="18"/>
      <c r="Z557" s="18"/>
      <c r="AA557" s="21" t="str">
        <f aca="false">IF(U557&lt;&gt;"",(U557-Scoring!$B$3)/365.25,IF(N557="","",IF(N557&lt;Scoring!$B$12,"",(DATE(N557+Scoring!$B$13,12,31)-Scoring!$B$3)/365.25)))</f>
        <v/>
      </c>
      <c r="AB557" s="22" t="n">
        <f aca="false">IF(T557="Y",0,IF(OR(D557="Expired (verified)",D557="Expiring: notice window (verified)",D557="Expiring: 10-yr horizon (verified)",D557="Past 30-yr mark (verify)",D557="30-yr mark: notice window (est.)",D557="Year-15 window"),1,0)+IF(ISNUMBER(O557),IF(O557&gt;=Scoring!$B$10,1,0),0)+IF(AND(ISNUMBER(L557),ISNUMBER(J557)),IF(J557&gt;0,IF(L557/J557&gt;=Scoring!$B$11,1,0),0),0)+IF(ISNUMBER(Z557),MIN(Z557,3),0))</f>
        <v>1</v>
      </c>
      <c r="AC557" s="22" t="n">
        <f aca="false">IF(AB557&gt;=3,Scoring!$C$24,IF(AB557=2,Scoring!$C$23,IF(AB557=1,Scoring!$C$22,0)))</f>
        <v>10</v>
      </c>
      <c r="AD557" s="22" t="n">
        <f aca="false">IF(T557="Y",0,IF(ISNUMBER(X557),IF(X557&gt;0.7,Scoring!$C$25,IF(X557&gt;=0.5,Scoring!$C$26,IF(X557&gt;=0.3,Scoring!$C$27,Scoring!$C$28))),Scoring!$C$29))</f>
        <v>10</v>
      </c>
      <c r="AE557" s="22" t="n">
        <f aca="false">IF(D557="Expiring: notice window (verified)",Scoring!$C$30,IF(OR(D557="Expired (verified)",D557="30-yr mark: notice window (est.)",D557="Year-15 window"),Scoring!$C$31,IF(D557="Expiring: 10-yr horizon (verified)",Scoring!$C$32,IF(D557="Past 30-yr mark (verify)",Scoring!$C$33,IF(OR(D557="Credit period",D557="Superseded record"),Scoring!$C$35,Scoring!$C$34)))))</f>
        <v>4</v>
      </c>
      <c r="AF557" s="22" t="n">
        <f aca="false">IF(T557="Y",0,IF(ISNUMBER(V557),IF(Scoring!$B$4-V557&gt;15,Scoring!$C$36,IF(Scoring!$B$4-V557&gt;=10,Scoring!$C$37,IF(Scoring!$B$4-V557&gt;=5,Scoring!$C$38,Scoring!$C$39))),IF(OR(N557="",D557="Out of program"),Scoring!$C$40,IF(O557&gt;15,Scoring!$C$36,IF(O557&gt;=10,Scoring!$C$37,IF(O557&gt;=5,Scoring!$C$38,Scoring!$C$39))))))</f>
        <v>8</v>
      </c>
      <c r="AG557" s="22" t="n">
        <f aca="false">IF(T557="Y",0,IF(Y557="Y",Scoring!$C$41,IF(ISNUMBER(O557),IF(O557&gt;=25,Scoring!$C$42,IF(O557&gt;=15,Scoring!$C$43,Scoring!$C$44)),Scoring!$C$44)))</f>
        <v>8</v>
      </c>
      <c r="AH557" s="22" t="n">
        <f aca="false">IF(T557="Y",0,IF(W557="",Scoring!$C$49,IFERROR(VLOOKUP(W557,Scoring!$B$45:$C$48,2,FALSE()),Scoring!$C$49)))</f>
        <v>5</v>
      </c>
      <c r="AI557" s="23" t="n">
        <f aca="false">C557+IF(ISNUMBER(J557),J557,0)/100000+(10000-ROW())/1000000000</f>
        <v>45.000019443</v>
      </c>
      <c r="AJ557" s="18"/>
      <c r="AK557" s="18"/>
      <c r="AL557" s="18"/>
      <c r="AM557" s="18"/>
    </row>
    <row r="558" customFormat="false" ht="15" hidden="false" customHeight="false" outlineLevel="0" collapsed="false">
      <c r="A558" s="15" t="n">
        <f aca="false">RANK(AI558,$AI$2:$AI$755)</f>
        <v>557</v>
      </c>
      <c r="B558" s="16" t="str">
        <f aca="false">IF(T558="Y","Superseded",IF(C558&gt;=Scoring!$B$16,"Immediate",IF(C558&gt;=Scoring!$B$17,"This week",IF(C558&gt;=Scoring!$B$18,"Nurture","Low"))))</f>
        <v>Nurture</v>
      </c>
      <c r="C558" s="3" t="n">
        <f aca="false">SUM(AC558:AH558)</f>
        <v>45</v>
      </c>
      <c r="D558" s="15" t="str">
        <f aca="false">IF(T558="Y","Superseded record",IF(AND(U558&lt;&gt;"",AA558&lt;0),"Expired (verified)",IF(AND(U558&lt;&gt;"",AA558&lt;=Scoring!$B$5),"Expiring: notice window (verified)",IF(AND(U558&lt;&gt;"",AA558&lt;=Scoring!$B$6),"Expiring: 10-yr horizon (verified)",IF(M558="No Longer Monitored","Out of program",IF(N558="","Unknown vintage",IF(N558&lt;Scoring!$B$12,"Pre-1990, still listed",IF(AND(U558="",AA558&lt;0),"Past 30-yr mark (verify)",IF(AND(U558="",AA558&lt;=Scoring!$B$5),"30-yr mark: notice window (est.)",IF(AND(O558&gt;=Scoring!$B$7,O558&lt;=Scoring!$B$8),"Year-15 window",IF(O558&gt;=Scoring!$B$9,"Recap window",IF(O558&gt;=11,"Late compliance","Credit period"))))))))))))</f>
        <v>Out of program</v>
      </c>
      <c r="E558" s="15" t="s">
        <v>2000</v>
      </c>
      <c r="F558" s="15" t="s">
        <v>1405</v>
      </c>
      <c r="G558" s="15" t="s">
        <v>2001</v>
      </c>
      <c r="H558" s="15" t="s">
        <v>97</v>
      </c>
      <c r="I558" s="15" t="s">
        <v>587</v>
      </c>
      <c r="J558" s="15" t="n">
        <v>1</v>
      </c>
      <c r="K558" s="15" t="n">
        <v>1</v>
      </c>
      <c r="L558" s="15" t="n">
        <f aca="false">IF(OR(J558="",K558=""),"",MAX(J558-K558,0))</f>
        <v>0</v>
      </c>
      <c r="M558" s="15" t="s">
        <v>1757</v>
      </c>
      <c r="N558" s="17" t="n">
        <v>1988</v>
      </c>
      <c r="O558" s="15" t="n">
        <f aca="false">IF(N558="","",Scoring!$B$4-N558)</f>
        <v>38</v>
      </c>
      <c r="P558" s="15" t="n">
        <f aca="false">IF(N558="","",N558+14)</f>
        <v>2002</v>
      </c>
      <c r="Q558" s="15" t="str">
        <f aca="false">IF(N558="","",IF(N558&lt;Scoring!$B$12,"n/a (pre-1990)",N558+Scoring!$B$13))</f>
        <v>n/a (pre-1990)</v>
      </c>
      <c r="R558" s="15" t="str">
        <f aca="false">IF(J558="","Unknown",IF(J558&gt;=5,"Yes","No (under 5 units)"))</f>
        <v>No (under 5 units)</v>
      </c>
      <c r="S558" s="15"/>
      <c r="T558" s="18"/>
      <c r="U558" s="19"/>
      <c r="V558" s="18"/>
      <c r="W558" s="18"/>
      <c r="X558" s="20"/>
      <c r="Y558" s="18"/>
      <c r="Z558" s="18"/>
      <c r="AA558" s="21" t="str">
        <f aca="false">IF(U558&lt;&gt;"",(U558-Scoring!$B$3)/365.25,IF(N558="","",IF(N558&lt;Scoring!$B$12,"",(DATE(N558+Scoring!$B$13,12,31)-Scoring!$B$3)/365.25)))</f>
        <v/>
      </c>
      <c r="AB558" s="22" t="n">
        <f aca="false">IF(T558="Y",0,IF(OR(D558="Expired (verified)",D558="Expiring: notice window (verified)",D558="Expiring: 10-yr horizon (verified)",D558="Past 30-yr mark (verify)",D558="30-yr mark: notice window (est.)",D558="Year-15 window"),1,0)+IF(ISNUMBER(O558),IF(O558&gt;=Scoring!$B$10,1,0),0)+IF(AND(ISNUMBER(L558),ISNUMBER(J558)),IF(J558&gt;0,IF(L558/J558&gt;=Scoring!$B$11,1,0),0),0)+IF(ISNUMBER(Z558),MIN(Z558,3),0))</f>
        <v>1</v>
      </c>
      <c r="AC558" s="22" t="n">
        <f aca="false">IF(AB558&gt;=3,Scoring!$C$24,IF(AB558=2,Scoring!$C$23,IF(AB558=1,Scoring!$C$22,0)))</f>
        <v>10</v>
      </c>
      <c r="AD558" s="22" t="n">
        <f aca="false">IF(T558="Y",0,IF(ISNUMBER(X558),IF(X558&gt;0.7,Scoring!$C$25,IF(X558&gt;=0.5,Scoring!$C$26,IF(X558&gt;=0.3,Scoring!$C$27,Scoring!$C$28))),Scoring!$C$29))</f>
        <v>10</v>
      </c>
      <c r="AE558" s="22" t="n">
        <f aca="false">IF(D558="Expiring: notice window (verified)",Scoring!$C$30,IF(OR(D558="Expired (verified)",D558="30-yr mark: notice window (est.)",D558="Year-15 window"),Scoring!$C$31,IF(D558="Expiring: 10-yr horizon (verified)",Scoring!$C$32,IF(D558="Past 30-yr mark (verify)",Scoring!$C$33,IF(OR(D558="Credit period",D558="Superseded record"),Scoring!$C$35,Scoring!$C$34)))))</f>
        <v>4</v>
      </c>
      <c r="AF558" s="22" t="n">
        <f aca="false">IF(T558="Y",0,IF(ISNUMBER(V558),IF(Scoring!$B$4-V558&gt;15,Scoring!$C$36,IF(Scoring!$B$4-V558&gt;=10,Scoring!$C$37,IF(Scoring!$B$4-V558&gt;=5,Scoring!$C$38,Scoring!$C$39))),IF(OR(N558="",D558="Out of program"),Scoring!$C$40,IF(O558&gt;15,Scoring!$C$36,IF(O558&gt;=10,Scoring!$C$37,IF(O558&gt;=5,Scoring!$C$38,Scoring!$C$39))))))</f>
        <v>8</v>
      </c>
      <c r="AG558" s="22" t="n">
        <f aca="false">IF(T558="Y",0,IF(Y558="Y",Scoring!$C$41,IF(ISNUMBER(O558),IF(O558&gt;=25,Scoring!$C$42,IF(O558&gt;=15,Scoring!$C$43,Scoring!$C$44)),Scoring!$C$44)))</f>
        <v>8</v>
      </c>
      <c r="AH558" s="22" t="n">
        <f aca="false">IF(T558="Y",0,IF(W558="",Scoring!$C$49,IFERROR(VLOOKUP(W558,Scoring!$B$45:$C$48,2,FALSE()),Scoring!$C$49)))</f>
        <v>5</v>
      </c>
      <c r="AI558" s="23" t="n">
        <f aca="false">C558+IF(ISNUMBER(J558),J558,0)/100000+(10000-ROW())/1000000000</f>
        <v>45.000019442</v>
      </c>
      <c r="AJ558" s="18"/>
      <c r="AK558" s="18"/>
      <c r="AL558" s="18"/>
      <c r="AM558" s="18"/>
    </row>
    <row r="559" customFormat="false" ht="15" hidden="false" customHeight="false" outlineLevel="0" collapsed="false">
      <c r="A559" s="15" t="n">
        <f aca="false">RANK(AI559,$AI$2:$AI$755)</f>
        <v>558</v>
      </c>
      <c r="B559" s="16" t="str">
        <f aca="false">IF(T559="Y","Superseded",IF(C559&gt;=Scoring!$B$16,"Immediate",IF(C559&gt;=Scoring!$B$17,"This week",IF(C559&gt;=Scoring!$B$18,"Nurture","Low"))))</f>
        <v>Nurture</v>
      </c>
      <c r="C559" s="3" t="n">
        <f aca="false">SUM(AC559:AH559)</f>
        <v>45</v>
      </c>
      <c r="D559" s="15" t="str">
        <f aca="false">IF(T559="Y","Superseded record",IF(AND(U559&lt;&gt;"",AA559&lt;0),"Expired (verified)",IF(AND(U559&lt;&gt;"",AA559&lt;=Scoring!$B$5),"Expiring: notice window (verified)",IF(AND(U559&lt;&gt;"",AA559&lt;=Scoring!$B$6),"Expiring: 10-yr horizon (verified)",IF(M559="No Longer Monitored","Out of program",IF(N559="","Unknown vintage",IF(N559&lt;Scoring!$B$12,"Pre-1990, still listed",IF(AND(U559="",AA559&lt;0),"Past 30-yr mark (verify)",IF(AND(U559="",AA559&lt;=Scoring!$B$5),"30-yr mark: notice window (est.)",IF(AND(O559&gt;=Scoring!$B$7,O559&lt;=Scoring!$B$8),"Year-15 window",IF(O559&gt;=Scoring!$B$9,"Recap window",IF(O559&gt;=11,"Late compliance","Credit period"))))))))))))</f>
        <v>Out of program</v>
      </c>
      <c r="E559" s="15" t="s">
        <v>2002</v>
      </c>
      <c r="F559" s="15" t="s">
        <v>1405</v>
      </c>
      <c r="G559" s="15" t="s">
        <v>2003</v>
      </c>
      <c r="H559" s="15" t="s">
        <v>97</v>
      </c>
      <c r="I559" s="15" t="s">
        <v>929</v>
      </c>
      <c r="J559" s="15" t="n">
        <v>1</v>
      </c>
      <c r="K559" s="15" t="n">
        <v>1</v>
      </c>
      <c r="L559" s="15" t="n">
        <f aca="false">IF(OR(J559="",K559=""),"",MAX(J559-K559,0))</f>
        <v>0</v>
      </c>
      <c r="M559" s="15" t="s">
        <v>1757</v>
      </c>
      <c r="N559" s="17" t="n">
        <v>1988</v>
      </c>
      <c r="O559" s="15" t="n">
        <f aca="false">IF(N559="","",Scoring!$B$4-N559)</f>
        <v>38</v>
      </c>
      <c r="P559" s="15" t="n">
        <f aca="false">IF(N559="","",N559+14)</f>
        <v>2002</v>
      </c>
      <c r="Q559" s="15" t="str">
        <f aca="false">IF(N559="","",IF(N559&lt;Scoring!$B$12,"n/a (pre-1990)",N559+Scoring!$B$13))</f>
        <v>n/a (pre-1990)</v>
      </c>
      <c r="R559" s="15" t="str">
        <f aca="false">IF(J559="","Unknown",IF(J559&gt;=5,"Yes","No (under 5 units)"))</f>
        <v>No (under 5 units)</v>
      </c>
      <c r="S559" s="15"/>
      <c r="T559" s="18"/>
      <c r="U559" s="19"/>
      <c r="V559" s="18"/>
      <c r="W559" s="18"/>
      <c r="X559" s="20"/>
      <c r="Y559" s="18"/>
      <c r="Z559" s="18"/>
      <c r="AA559" s="21" t="str">
        <f aca="false">IF(U559&lt;&gt;"",(U559-Scoring!$B$3)/365.25,IF(N559="","",IF(N559&lt;Scoring!$B$12,"",(DATE(N559+Scoring!$B$13,12,31)-Scoring!$B$3)/365.25)))</f>
        <v/>
      </c>
      <c r="AB559" s="22" t="n">
        <f aca="false">IF(T559="Y",0,IF(OR(D559="Expired (verified)",D559="Expiring: notice window (verified)",D559="Expiring: 10-yr horizon (verified)",D559="Past 30-yr mark (verify)",D559="30-yr mark: notice window (est.)",D559="Year-15 window"),1,0)+IF(ISNUMBER(O559),IF(O559&gt;=Scoring!$B$10,1,0),0)+IF(AND(ISNUMBER(L559),ISNUMBER(J559)),IF(J559&gt;0,IF(L559/J559&gt;=Scoring!$B$11,1,0),0),0)+IF(ISNUMBER(Z559),MIN(Z559,3),0))</f>
        <v>1</v>
      </c>
      <c r="AC559" s="22" t="n">
        <f aca="false">IF(AB559&gt;=3,Scoring!$C$24,IF(AB559=2,Scoring!$C$23,IF(AB559=1,Scoring!$C$22,0)))</f>
        <v>10</v>
      </c>
      <c r="AD559" s="22" t="n">
        <f aca="false">IF(T559="Y",0,IF(ISNUMBER(X559),IF(X559&gt;0.7,Scoring!$C$25,IF(X559&gt;=0.5,Scoring!$C$26,IF(X559&gt;=0.3,Scoring!$C$27,Scoring!$C$28))),Scoring!$C$29))</f>
        <v>10</v>
      </c>
      <c r="AE559" s="22" t="n">
        <f aca="false">IF(D559="Expiring: notice window (verified)",Scoring!$C$30,IF(OR(D559="Expired (verified)",D559="30-yr mark: notice window (est.)",D559="Year-15 window"),Scoring!$C$31,IF(D559="Expiring: 10-yr horizon (verified)",Scoring!$C$32,IF(D559="Past 30-yr mark (verify)",Scoring!$C$33,IF(OR(D559="Credit period",D559="Superseded record"),Scoring!$C$35,Scoring!$C$34)))))</f>
        <v>4</v>
      </c>
      <c r="AF559" s="22" t="n">
        <f aca="false">IF(T559="Y",0,IF(ISNUMBER(V559),IF(Scoring!$B$4-V559&gt;15,Scoring!$C$36,IF(Scoring!$B$4-V559&gt;=10,Scoring!$C$37,IF(Scoring!$B$4-V559&gt;=5,Scoring!$C$38,Scoring!$C$39))),IF(OR(N559="",D559="Out of program"),Scoring!$C$40,IF(O559&gt;15,Scoring!$C$36,IF(O559&gt;=10,Scoring!$C$37,IF(O559&gt;=5,Scoring!$C$38,Scoring!$C$39))))))</f>
        <v>8</v>
      </c>
      <c r="AG559" s="22" t="n">
        <f aca="false">IF(T559="Y",0,IF(Y559="Y",Scoring!$C$41,IF(ISNUMBER(O559),IF(O559&gt;=25,Scoring!$C$42,IF(O559&gt;=15,Scoring!$C$43,Scoring!$C$44)),Scoring!$C$44)))</f>
        <v>8</v>
      </c>
      <c r="AH559" s="22" t="n">
        <f aca="false">IF(T559="Y",0,IF(W559="",Scoring!$C$49,IFERROR(VLOOKUP(W559,Scoring!$B$45:$C$48,2,FALSE()),Scoring!$C$49)))</f>
        <v>5</v>
      </c>
      <c r="AI559" s="23" t="n">
        <f aca="false">C559+IF(ISNUMBER(J559),J559,0)/100000+(10000-ROW())/1000000000</f>
        <v>45.000019441</v>
      </c>
      <c r="AJ559" s="18"/>
      <c r="AK559" s="18"/>
      <c r="AL559" s="18"/>
      <c r="AM559" s="18"/>
    </row>
    <row r="560" customFormat="false" ht="15" hidden="false" customHeight="false" outlineLevel="0" collapsed="false">
      <c r="A560" s="15" t="n">
        <f aca="false">RANK(AI560,$AI$2:$AI$755)</f>
        <v>559</v>
      </c>
      <c r="B560" s="16" t="str">
        <f aca="false">IF(T560="Y","Superseded",IF(C560&gt;=Scoring!$B$16,"Immediate",IF(C560&gt;=Scoring!$B$17,"This week",IF(C560&gt;=Scoring!$B$18,"Nurture","Low"))))</f>
        <v>Nurture</v>
      </c>
      <c r="C560" s="3" t="n">
        <f aca="false">SUM(AC560:AH560)</f>
        <v>45</v>
      </c>
      <c r="D560" s="15" t="str">
        <f aca="false">IF(T560="Y","Superseded record",IF(AND(U560&lt;&gt;"",AA560&lt;0),"Expired (verified)",IF(AND(U560&lt;&gt;"",AA560&lt;=Scoring!$B$5),"Expiring: notice window (verified)",IF(AND(U560&lt;&gt;"",AA560&lt;=Scoring!$B$6),"Expiring: 10-yr horizon (verified)",IF(M560="No Longer Monitored","Out of program",IF(N560="","Unknown vintage",IF(N560&lt;Scoring!$B$12,"Pre-1990, still listed",IF(AND(U560="",AA560&lt;0),"Past 30-yr mark (verify)",IF(AND(U560="",AA560&lt;=Scoring!$B$5),"30-yr mark: notice window (est.)",IF(AND(O560&gt;=Scoring!$B$7,O560&lt;=Scoring!$B$8),"Year-15 window",IF(O560&gt;=Scoring!$B$9,"Recap window",IF(O560&gt;=11,"Late compliance","Credit period"))))))))))))</f>
        <v>Out of program</v>
      </c>
      <c r="E560" s="15" t="s">
        <v>2004</v>
      </c>
      <c r="F560" s="15" t="s">
        <v>1405</v>
      </c>
      <c r="G560" s="15" t="s">
        <v>2005</v>
      </c>
      <c r="H560" s="15" t="s">
        <v>97</v>
      </c>
      <c r="I560" s="15" t="s">
        <v>929</v>
      </c>
      <c r="J560" s="15" t="n">
        <v>1</v>
      </c>
      <c r="K560" s="15" t="n">
        <v>1</v>
      </c>
      <c r="L560" s="15" t="n">
        <f aca="false">IF(OR(J560="",K560=""),"",MAX(J560-K560,0))</f>
        <v>0</v>
      </c>
      <c r="M560" s="15" t="s">
        <v>1757</v>
      </c>
      <c r="N560" s="17" t="n">
        <v>1988</v>
      </c>
      <c r="O560" s="15" t="n">
        <f aca="false">IF(N560="","",Scoring!$B$4-N560)</f>
        <v>38</v>
      </c>
      <c r="P560" s="15" t="n">
        <f aca="false">IF(N560="","",N560+14)</f>
        <v>2002</v>
      </c>
      <c r="Q560" s="15" t="str">
        <f aca="false">IF(N560="","",IF(N560&lt;Scoring!$B$12,"n/a (pre-1990)",N560+Scoring!$B$13))</f>
        <v>n/a (pre-1990)</v>
      </c>
      <c r="R560" s="15" t="str">
        <f aca="false">IF(J560="","Unknown",IF(J560&gt;=5,"Yes","No (under 5 units)"))</f>
        <v>No (under 5 units)</v>
      </c>
      <c r="S560" s="15"/>
      <c r="T560" s="18"/>
      <c r="U560" s="19"/>
      <c r="V560" s="18"/>
      <c r="W560" s="18"/>
      <c r="X560" s="20"/>
      <c r="Y560" s="18"/>
      <c r="Z560" s="18"/>
      <c r="AA560" s="21" t="str">
        <f aca="false">IF(U560&lt;&gt;"",(U560-Scoring!$B$3)/365.25,IF(N560="","",IF(N560&lt;Scoring!$B$12,"",(DATE(N560+Scoring!$B$13,12,31)-Scoring!$B$3)/365.25)))</f>
        <v/>
      </c>
      <c r="AB560" s="22" t="n">
        <f aca="false">IF(T560="Y",0,IF(OR(D560="Expired (verified)",D560="Expiring: notice window (verified)",D560="Expiring: 10-yr horizon (verified)",D560="Past 30-yr mark (verify)",D560="30-yr mark: notice window (est.)",D560="Year-15 window"),1,0)+IF(ISNUMBER(O560),IF(O560&gt;=Scoring!$B$10,1,0),0)+IF(AND(ISNUMBER(L560),ISNUMBER(J560)),IF(J560&gt;0,IF(L560/J560&gt;=Scoring!$B$11,1,0),0),0)+IF(ISNUMBER(Z560),MIN(Z560,3),0))</f>
        <v>1</v>
      </c>
      <c r="AC560" s="22" t="n">
        <f aca="false">IF(AB560&gt;=3,Scoring!$C$24,IF(AB560=2,Scoring!$C$23,IF(AB560=1,Scoring!$C$22,0)))</f>
        <v>10</v>
      </c>
      <c r="AD560" s="22" t="n">
        <f aca="false">IF(T560="Y",0,IF(ISNUMBER(X560),IF(X560&gt;0.7,Scoring!$C$25,IF(X560&gt;=0.5,Scoring!$C$26,IF(X560&gt;=0.3,Scoring!$C$27,Scoring!$C$28))),Scoring!$C$29))</f>
        <v>10</v>
      </c>
      <c r="AE560" s="22" t="n">
        <f aca="false">IF(D560="Expiring: notice window (verified)",Scoring!$C$30,IF(OR(D560="Expired (verified)",D560="30-yr mark: notice window (est.)",D560="Year-15 window"),Scoring!$C$31,IF(D560="Expiring: 10-yr horizon (verified)",Scoring!$C$32,IF(D560="Past 30-yr mark (verify)",Scoring!$C$33,IF(OR(D560="Credit period",D560="Superseded record"),Scoring!$C$35,Scoring!$C$34)))))</f>
        <v>4</v>
      </c>
      <c r="AF560" s="22" t="n">
        <f aca="false">IF(T560="Y",0,IF(ISNUMBER(V560),IF(Scoring!$B$4-V560&gt;15,Scoring!$C$36,IF(Scoring!$B$4-V560&gt;=10,Scoring!$C$37,IF(Scoring!$B$4-V560&gt;=5,Scoring!$C$38,Scoring!$C$39))),IF(OR(N560="",D560="Out of program"),Scoring!$C$40,IF(O560&gt;15,Scoring!$C$36,IF(O560&gt;=10,Scoring!$C$37,IF(O560&gt;=5,Scoring!$C$38,Scoring!$C$39))))))</f>
        <v>8</v>
      </c>
      <c r="AG560" s="22" t="n">
        <f aca="false">IF(T560="Y",0,IF(Y560="Y",Scoring!$C$41,IF(ISNUMBER(O560),IF(O560&gt;=25,Scoring!$C$42,IF(O560&gt;=15,Scoring!$C$43,Scoring!$C$44)),Scoring!$C$44)))</f>
        <v>8</v>
      </c>
      <c r="AH560" s="22" t="n">
        <f aca="false">IF(T560="Y",0,IF(W560="",Scoring!$C$49,IFERROR(VLOOKUP(W560,Scoring!$B$45:$C$48,2,FALSE()),Scoring!$C$49)))</f>
        <v>5</v>
      </c>
      <c r="AI560" s="23" t="n">
        <f aca="false">C560+IF(ISNUMBER(J560),J560,0)/100000+(10000-ROW())/1000000000</f>
        <v>45.00001944</v>
      </c>
      <c r="AJ560" s="18"/>
      <c r="AK560" s="18"/>
      <c r="AL560" s="18"/>
      <c r="AM560" s="18"/>
    </row>
    <row r="561" customFormat="false" ht="15" hidden="false" customHeight="false" outlineLevel="0" collapsed="false">
      <c r="A561" s="15" t="n">
        <f aca="false">RANK(AI561,$AI$2:$AI$755)</f>
        <v>560</v>
      </c>
      <c r="B561" s="16" t="str">
        <f aca="false">IF(T561="Y","Superseded",IF(C561&gt;=Scoring!$B$16,"Immediate",IF(C561&gt;=Scoring!$B$17,"This week",IF(C561&gt;=Scoring!$B$18,"Nurture","Low"))))</f>
        <v>Nurture</v>
      </c>
      <c r="C561" s="3" t="n">
        <f aca="false">SUM(AC561:AH561)</f>
        <v>45</v>
      </c>
      <c r="D561" s="15" t="str">
        <f aca="false">IF(T561="Y","Superseded record",IF(AND(U561&lt;&gt;"",AA561&lt;0),"Expired (verified)",IF(AND(U561&lt;&gt;"",AA561&lt;=Scoring!$B$5),"Expiring: notice window (verified)",IF(AND(U561&lt;&gt;"",AA561&lt;=Scoring!$B$6),"Expiring: 10-yr horizon (verified)",IF(M561="No Longer Monitored","Out of program",IF(N561="","Unknown vintage",IF(N561&lt;Scoring!$B$12,"Pre-1990, still listed",IF(AND(U561="",AA561&lt;0),"Past 30-yr mark (verify)",IF(AND(U561="",AA561&lt;=Scoring!$B$5),"30-yr mark: notice window (est.)",IF(AND(O561&gt;=Scoring!$B$7,O561&lt;=Scoring!$B$8),"Year-15 window",IF(O561&gt;=Scoring!$B$9,"Recap window",IF(O561&gt;=11,"Late compliance","Credit period"))))))))))))</f>
        <v>Out of program</v>
      </c>
      <c r="E561" s="15" t="s">
        <v>2006</v>
      </c>
      <c r="F561" s="15" t="s">
        <v>1405</v>
      </c>
      <c r="G561" s="15" t="s">
        <v>2007</v>
      </c>
      <c r="H561" s="15" t="s">
        <v>97</v>
      </c>
      <c r="I561" s="15" t="s">
        <v>929</v>
      </c>
      <c r="J561" s="15" t="n">
        <v>1</v>
      </c>
      <c r="K561" s="15" t="n">
        <v>1</v>
      </c>
      <c r="L561" s="15" t="n">
        <f aca="false">IF(OR(J561="",K561=""),"",MAX(J561-K561,0))</f>
        <v>0</v>
      </c>
      <c r="M561" s="15" t="s">
        <v>1757</v>
      </c>
      <c r="N561" s="17" t="n">
        <v>1988</v>
      </c>
      <c r="O561" s="15" t="n">
        <f aca="false">IF(N561="","",Scoring!$B$4-N561)</f>
        <v>38</v>
      </c>
      <c r="P561" s="15" t="n">
        <f aca="false">IF(N561="","",N561+14)</f>
        <v>2002</v>
      </c>
      <c r="Q561" s="15" t="str">
        <f aca="false">IF(N561="","",IF(N561&lt;Scoring!$B$12,"n/a (pre-1990)",N561+Scoring!$B$13))</f>
        <v>n/a (pre-1990)</v>
      </c>
      <c r="R561" s="15" t="str">
        <f aca="false">IF(J561="","Unknown",IF(J561&gt;=5,"Yes","No (under 5 units)"))</f>
        <v>No (under 5 units)</v>
      </c>
      <c r="S561" s="15"/>
      <c r="T561" s="18"/>
      <c r="U561" s="19"/>
      <c r="V561" s="18"/>
      <c r="W561" s="18"/>
      <c r="X561" s="20"/>
      <c r="Y561" s="18"/>
      <c r="Z561" s="18"/>
      <c r="AA561" s="21" t="str">
        <f aca="false">IF(U561&lt;&gt;"",(U561-Scoring!$B$3)/365.25,IF(N561="","",IF(N561&lt;Scoring!$B$12,"",(DATE(N561+Scoring!$B$13,12,31)-Scoring!$B$3)/365.25)))</f>
        <v/>
      </c>
      <c r="AB561" s="22" t="n">
        <f aca="false">IF(T561="Y",0,IF(OR(D561="Expired (verified)",D561="Expiring: notice window (verified)",D561="Expiring: 10-yr horizon (verified)",D561="Past 30-yr mark (verify)",D561="30-yr mark: notice window (est.)",D561="Year-15 window"),1,0)+IF(ISNUMBER(O561),IF(O561&gt;=Scoring!$B$10,1,0),0)+IF(AND(ISNUMBER(L561),ISNUMBER(J561)),IF(J561&gt;0,IF(L561/J561&gt;=Scoring!$B$11,1,0),0),0)+IF(ISNUMBER(Z561),MIN(Z561,3),0))</f>
        <v>1</v>
      </c>
      <c r="AC561" s="22" t="n">
        <f aca="false">IF(AB561&gt;=3,Scoring!$C$24,IF(AB561=2,Scoring!$C$23,IF(AB561=1,Scoring!$C$22,0)))</f>
        <v>10</v>
      </c>
      <c r="AD561" s="22" t="n">
        <f aca="false">IF(T561="Y",0,IF(ISNUMBER(X561),IF(X561&gt;0.7,Scoring!$C$25,IF(X561&gt;=0.5,Scoring!$C$26,IF(X561&gt;=0.3,Scoring!$C$27,Scoring!$C$28))),Scoring!$C$29))</f>
        <v>10</v>
      </c>
      <c r="AE561" s="22" t="n">
        <f aca="false">IF(D561="Expiring: notice window (verified)",Scoring!$C$30,IF(OR(D561="Expired (verified)",D561="30-yr mark: notice window (est.)",D561="Year-15 window"),Scoring!$C$31,IF(D561="Expiring: 10-yr horizon (verified)",Scoring!$C$32,IF(D561="Past 30-yr mark (verify)",Scoring!$C$33,IF(OR(D561="Credit period",D561="Superseded record"),Scoring!$C$35,Scoring!$C$34)))))</f>
        <v>4</v>
      </c>
      <c r="AF561" s="22" t="n">
        <f aca="false">IF(T561="Y",0,IF(ISNUMBER(V561),IF(Scoring!$B$4-V561&gt;15,Scoring!$C$36,IF(Scoring!$B$4-V561&gt;=10,Scoring!$C$37,IF(Scoring!$B$4-V561&gt;=5,Scoring!$C$38,Scoring!$C$39))),IF(OR(N561="",D561="Out of program"),Scoring!$C$40,IF(O561&gt;15,Scoring!$C$36,IF(O561&gt;=10,Scoring!$C$37,IF(O561&gt;=5,Scoring!$C$38,Scoring!$C$39))))))</f>
        <v>8</v>
      </c>
      <c r="AG561" s="22" t="n">
        <f aca="false">IF(T561="Y",0,IF(Y561="Y",Scoring!$C$41,IF(ISNUMBER(O561),IF(O561&gt;=25,Scoring!$C$42,IF(O561&gt;=15,Scoring!$C$43,Scoring!$C$44)),Scoring!$C$44)))</f>
        <v>8</v>
      </c>
      <c r="AH561" s="22" t="n">
        <f aca="false">IF(T561="Y",0,IF(W561="",Scoring!$C$49,IFERROR(VLOOKUP(W561,Scoring!$B$45:$C$48,2,FALSE()),Scoring!$C$49)))</f>
        <v>5</v>
      </c>
      <c r="AI561" s="23" t="n">
        <f aca="false">C561+IF(ISNUMBER(J561),J561,0)/100000+(10000-ROW())/1000000000</f>
        <v>45.000019439</v>
      </c>
      <c r="AJ561" s="18"/>
      <c r="AK561" s="18"/>
      <c r="AL561" s="18"/>
      <c r="AM561" s="18"/>
    </row>
    <row r="562" customFormat="false" ht="15" hidden="false" customHeight="false" outlineLevel="0" collapsed="false">
      <c r="A562" s="15" t="n">
        <f aca="false">RANK(AI562,$AI$2:$AI$755)</f>
        <v>561</v>
      </c>
      <c r="B562" s="16" t="str">
        <f aca="false">IF(T562="Y","Superseded",IF(C562&gt;=Scoring!$B$16,"Immediate",IF(C562&gt;=Scoring!$B$17,"This week",IF(C562&gt;=Scoring!$B$18,"Nurture","Low"))))</f>
        <v>Nurture</v>
      </c>
      <c r="C562" s="3" t="n">
        <f aca="false">SUM(AC562:AH562)</f>
        <v>45</v>
      </c>
      <c r="D562" s="15" t="str">
        <f aca="false">IF(T562="Y","Superseded record",IF(AND(U562&lt;&gt;"",AA562&lt;0),"Expired (verified)",IF(AND(U562&lt;&gt;"",AA562&lt;=Scoring!$B$5),"Expiring: notice window (verified)",IF(AND(U562&lt;&gt;"",AA562&lt;=Scoring!$B$6),"Expiring: 10-yr horizon (verified)",IF(M562="No Longer Monitored","Out of program",IF(N562="","Unknown vintage",IF(N562&lt;Scoring!$B$12,"Pre-1990, still listed",IF(AND(U562="",AA562&lt;0),"Past 30-yr mark (verify)",IF(AND(U562="",AA562&lt;=Scoring!$B$5),"30-yr mark: notice window (est.)",IF(AND(O562&gt;=Scoring!$B$7,O562&lt;=Scoring!$B$8),"Year-15 window",IF(O562&gt;=Scoring!$B$9,"Recap window",IF(O562&gt;=11,"Late compliance","Credit period"))))))))))))</f>
        <v>Out of program</v>
      </c>
      <c r="E562" s="15" t="s">
        <v>2008</v>
      </c>
      <c r="F562" s="15" t="s">
        <v>1405</v>
      </c>
      <c r="G562" s="15" t="s">
        <v>2009</v>
      </c>
      <c r="H562" s="15" t="s">
        <v>97</v>
      </c>
      <c r="I562" s="15" t="s">
        <v>929</v>
      </c>
      <c r="J562" s="15" t="n">
        <v>1</v>
      </c>
      <c r="K562" s="15" t="n">
        <v>1</v>
      </c>
      <c r="L562" s="15" t="n">
        <f aca="false">IF(OR(J562="",K562=""),"",MAX(J562-K562,0))</f>
        <v>0</v>
      </c>
      <c r="M562" s="15" t="s">
        <v>1757</v>
      </c>
      <c r="N562" s="17" t="n">
        <v>1988</v>
      </c>
      <c r="O562" s="15" t="n">
        <f aca="false">IF(N562="","",Scoring!$B$4-N562)</f>
        <v>38</v>
      </c>
      <c r="P562" s="15" t="n">
        <f aca="false">IF(N562="","",N562+14)</f>
        <v>2002</v>
      </c>
      <c r="Q562" s="15" t="str">
        <f aca="false">IF(N562="","",IF(N562&lt;Scoring!$B$12,"n/a (pre-1990)",N562+Scoring!$B$13))</f>
        <v>n/a (pre-1990)</v>
      </c>
      <c r="R562" s="15" t="str">
        <f aca="false">IF(J562="","Unknown",IF(J562&gt;=5,"Yes","No (under 5 units)"))</f>
        <v>No (under 5 units)</v>
      </c>
      <c r="S562" s="15"/>
      <c r="T562" s="18"/>
      <c r="U562" s="19"/>
      <c r="V562" s="18"/>
      <c r="W562" s="18"/>
      <c r="X562" s="20"/>
      <c r="Y562" s="18"/>
      <c r="Z562" s="18"/>
      <c r="AA562" s="21" t="str">
        <f aca="false">IF(U562&lt;&gt;"",(U562-Scoring!$B$3)/365.25,IF(N562="","",IF(N562&lt;Scoring!$B$12,"",(DATE(N562+Scoring!$B$13,12,31)-Scoring!$B$3)/365.25)))</f>
        <v/>
      </c>
      <c r="AB562" s="22" t="n">
        <f aca="false">IF(T562="Y",0,IF(OR(D562="Expired (verified)",D562="Expiring: notice window (verified)",D562="Expiring: 10-yr horizon (verified)",D562="Past 30-yr mark (verify)",D562="30-yr mark: notice window (est.)",D562="Year-15 window"),1,0)+IF(ISNUMBER(O562),IF(O562&gt;=Scoring!$B$10,1,0),0)+IF(AND(ISNUMBER(L562),ISNUMBER(J562)),IF(J562&gt;0,IF(L562/J562&gt;=Scoring!$B$11,1,0),0),0)+IF(ISNUMBER(Z562),MIN(Z562,3),0))</f>
        <v>1</v>
      </c>
      <c r="AC562" s="22" t="n">
        <f aca="false">IF(AB562&gt;=3,Scoring!$C$24,IF(AB562=2,Scoring!$C$23,IF(AB562=1,Scoring!$C$22,0)))</f>
        <v>10</v>
      </c>
      <c r="AD562" s="22" t="n">
        <f aca="false">IF(T562="Y",0,IF(ISNUMBER(X562),IF(X562&gt;0.7,Scoring!$C$25,IF(X562&gt;=0.5,Scoring!$C$26,IF(X562&gt;=0.3,Scoring!$C$27,Scoring!$C$28))),Scoring!$C$29))</f>
        <v>10</v>
      </c>
      <c r="AE562" s="22" t="n">
        <f aca="false">IF(D562="Expiring: notice window (verified)",Scoring!$C$30,IF(OR(D562="Expired (verified)",D562="30-yr mark: notice window (est.)",D562="Year-15 window"),Scoring!$C$31,IF(D562="Expiring: 10-yr horizon (verified)",Scoring!$C$32,IF(D562="Past 30-yr mark (verify)",Scoring!$C$33,IF(OR(D562="Credit period",D562="Superseded record"),Scoring!$C$35,Scoring!$C$34)))))</f>
        <v>4</v>
      </c>
      <c r="AF562" s="22" t="n">
        <f aca="false">IF(T562="Y",0,IF(ISNUMBER(V562),IF(Scoring!$B$4-V562&gt;15,Scoring!$C$36,IF(Scoring!$B$4-V562&gt;=10,Scoring!$C$37,IF(Scoring!$B$4-V562&gt;=5,Scoring!$C$38,Scoring!$C$39))),IF(OR(N562="",D562="Out of program"),Scoring!$C$40,IF(O562&gt;15,Scoring!$C$36,IF(O562&gt;=10,Scoring!$C$37,IF(O562&gt;=5,Scoring!$C$38,Scoring!$C$39))))))</f>
        <v>8</v>
      </c>
      <c r="AG562" s="22" t="n">
        <f aca="false">IF(T562="Y",0,IF(Y562="Y",Scoring!$C$41,IF(ISNUMBER(O562),IF(O562&gt;=25,Scoring!$C$42,IF(O562&gt;=15,Scoring!$C$43,Scoring!$C$44)),Scoring!$C$44)))</f>
        <v>8</v>
      </c>
      <c r="AH562" s="22" t="n">
        <f aca="false">IF(T562="Y",0,IF(W562="",Scoring!$C$49,IFERROR(VLOOKUP(W562,Scoring!$B$45:$C$48,2,FALSE()),Scoring!$C$49)))</f>
        <v>5</v>
      </c>
      <c r="AI562" s="23" t="n">
        <f aca="false">C562+IF(ISNUMBER(J562),J562,0)/100000+(10000-ROW())/1000000000</f>
        <v>45.000019438</v>
      </c>
      <c r="AJ562" s="18"/>
      <c r="AK562" s="18"/>
      <c r="AL562" s="18"/>
      <c r="AM562" s="18"/>
    </row>
    <row r="563" customFormat="false" ht="15" hidden="false" customHeight="false" outlineLevel="0" collapsed="false">
      <c r="A563" s="15" t="n">
        <f aca="false">RANK(AI563,$AI$2:$AI$755)</f>
        <v>562</v>
      </c>
      <c r="B563" s="16" t="str">
        <f aca="false">IF(T563="Y","Superseded",IF(C563&gt;=Scoring!$B$16,"Immediate",IF(C563&gt;=Scoring!$B$17,"This week",IF(C563&gt;=Scoring!$B$18,"Nurture","Low"))))</f>
        <v>Nurture</v>
      </c>
      <c r="C563" s="3" t="n">
        <f aca="false">SUM(AC563:AH563)</f>
        <v>45</v>
      </c>
      <c r="D563" s="15" t="str">
        <f aca="false">IF(T563="Y","Superseded record",IF(AND(U563&lt;&gt;"",AA563&lt;0),"Expired (verified)",IF(AND(U563&lt;&gt;"",AA563&lt;=Scoring!$B$5),"Expiring: notice window (verified)",IF(AND(U563&lt;&gt;"",AA563&lt;=Scoring!$B$6),"Expiring: 10-yr horizon (verified)",IF(M563="No Longer Monitored","Out of program",IF(N563="","Unknown vintage",IF(N563&lt;Scoring!$B$12,"Pre-1990, still listed",IF(AND(U563="",AA563&lt;0),"Past 30-yr mark (verify)",IF(AND(U563="",AA563&lt;=Scoring!$B$5),"30-yr mark: notice window (est.)",IF(AND(O563&gt;=Scoring!$B$7,O563&lt;=Scoring!$B$8),"Year-15 window",IF(O563&gt;=Scoring!$B$9,"Recap window",IF(O563&gt;=11,"Late compliance","Credit period"))))))))))))</f>
        <v>Out of program</v>
      </c>
      <c r="E563" s="15" t="s">
        <v>2010</v>
      </c>
      <c r="F563" s="15" t="s">
        <v>1405</v>
      </c>
      <c r="G563" s="15" t="s">
        <v>2011</v>
      </c>
      <c r="H563" s="15" t="s">
        <v>97</v>
      </c>
      <c r="I563" s="15" t="s">
        <v>929</v>
      </c>
      <c r="J563" s="15" t="n">
        <v>1</v>
      </c>
      <c r="K563" s="15" t="n">
        <v>1</v>
      </c>
      <c r="L563" s="15" t="n">
        <f aca="false">IF(OR(J563="",K563=""),"",MAX(J563-K563,0))</f>
        <v>0</v>
      </c>
      <c r="M563" s="15" t="s">
        <v>1757</v>
      </c>
      <c r="N563" s="17" t="n">
        <v>1988</v>
      </c>
      <c r="O563" s="15" t="n">
        <f aca="false">IF(N563="","",Scoring!$B$4-N563)</f>
        <v>38</v>
      </c>
      <c r="P563" s="15" t="n">
        <f aca="false">IF(N563="","",N563+14)</f>
        <v>2002</v>
      </c>
      <c r="Q563" s="15" t="str">
        <f aca="false">IF(N563="","",IF(N563&lt;Scoring!$B$12,"n/a (pre-1990)",N563+Scoring!$B$13))</f>
        <v>n/a (pre-1990)</v>
      </c>
      <c r="R563" s="15" t="str">
        <f aca="false">IF(J563="","Unknown",IF(J563&gt;=5,"Yes","No (under 5 units)"))</f>
        <v>No (under 5 units)</v>
      </c>
      <c r="S563" s="15"/>
      <c r="T563" s="18"/>
      <c r="U563" s="19"/>
      <c r="V563" s="18"/>
      <c r="W563" s="18"/>
      <c r="X563" s="20"/>
      <c r="Y563" s="18"/>
      <c r="Z563" s="18"/>
      <c r="AA563" s="21" t="str">
        <f aca="false">IF(U563&lt;&gt;"",(U563-Scoring!$B$3)/365.25,IF(N563="","",IF(N563&lt;Scoring!$B$12,"",(DATE(N563+Scoring!$B$13,12,31)-Scoring!$B$3)/365.25)))</f>
        <v/>
      </c>
      <c r="AB563" s="22" t="n">
        <f aca="false">IF(T563="Y",0,IF(OR(D563="Expired (verified)",D563="Expiring: notice window (verified)",D563="Expiring: 10-yr horizon (verified)",D563="Past 30-yr mark (verify)",D563="30-yr mark: notice window (est.)",D563="Year-15 window"),1,0)+IF(ISNUMBER(O563),IF(O563&gt;=Scoring!$B$10,1,0),0)+IF(AND(ISNUMBER(L563),ISNUMBER(J563)),IF(J563&gt;0,IF(L563/J563&gt;=Scoring!$B$11,1,0),0),0)+IF(ISNUMBER(Z563),MIN(Z563,3),0))</f>
        <v>1</v>
      </c>
      <c r="AC563" s="22" t="n">
        <f aca="false">IF(AB563&gt;=3,Scoring!$C$24,IF(AB563=2,Scoring!$C$23,IF(AB563=1,Scoring!$C$22,0)))</f>
        <v>10</v>
      </c>
      <c r="AD563" s="22" t="n">
        <f aca="false">IF(T563="Y",0,IF(ISNUMBER(X563),IF(X563&gt;0.7,Scoring!$C$25,IF(X563&gt;=0.5,Scoring!$C$26,IF(X563&gt;=0.3,Scoring!$C$27,Scoring!$C$28))),Scoring!$C$29))</f>
        <v>10</v>
      </c>
      <c r="AE563" s="22" t="n">
        <f aca="false">IF(D563="Expiring: notice window (verified)",Scoring!$C$30,IF(OR(D563="Expired (verified)",D563="30-yr mark: notice window (est.)",D563="Year-15 window"),Scoring!$C$31,IF(D563="Expiring: 10-yr horizon (verified)",Scoring!$C$32,IF(D563="Past 30-yr mark (verify)",Scoring!$C$33,IF(OR(D563="Credit period",D563="Superseded record"),Scoring!$C$35,Scoring!$C$34)))))</f>
        <v>4</v>
      </c>
      <c r="AF563" s="22" t="n">
        <f aca="false">IF(T563="Y",0,IF(ISNUMBER(V563),IF(Scoring!$B$4-V563&gt;15,Scoring!$C$36,IF(Scoring!$B$4-V563&gt;=10,Scoring!$C$37,IF(Scoring!$B$4-V563&gt;=5,Scoring!$C$38,Scoring!$C$39))),IF(OR(N563="",D563="Out of program"),Scoring!$C$40,IF(O563&gt;15,Scoring!$C$36,IF(O563&gt;=10,Scoring!$C$37,IF(O563&gt;=5,Scoring!$C$38,Scoring!$C$39))))))</f>
        <v>8</v>
      </c>
      <c r="AG563" s="22" t="n">
        <f aca="false">IF(T563="Y",0,IF(Y563="Y",Scoring!$C$41,IF(ISNUMBER(O563),IF(O563&gt;=25,Scoring!$C$42,IF(O563&gt;=15,Scoring!$C$43,Scoring!$C$44)),Scoring!$C$44)))</f>
        <v>8</v>
      </c>
      <c r="AH563" s="22" t="n">
        <f aca="false">IF(T563="Y",0,IF(W563="",Scoring!$C$49,IFERROR(VLOOKUP(W563,Scoring!$B$45:$C$48,2,FALSE()),Scoring!$C$49)))</f>
        <v>5</v>
      </c>
      <c r="AI563" s="23" t="n">
        <f aca="false">C563+IF(ISNUMBER(J563),J563,0)/100000+(10000-ROW())/1000000000</f>
        <v>45.000019437</v>
      </c>
      <c r="AJ563" s="18"/>
      <c r="AK563" s="18"/>
      <c r="AL563" s="18"/>
      <c r="AM563" s="18"/>
    </row>
    <row r="564" customFormat="false" ht="15" hidden="false" customHeight="false" outlineLevel="0" collapsed="false">
      <c r="A564" s="15" t="n">
        <f aca="false">RANK(AI564,$AI$2:$AI$755)</f>
        <v>563</v>
      </c>
      <c r="B564" s="16" t="str">
        <f aca="false">IF(T564="Y","Superseded",IF(C564&gt;=Scoring!$B$16,"Immediate",IF(C564&gt;=Scoring!$B$17,"This week",IF(C564&gt;=Scoring!$B$18,"Nurture","Low"))))</f>
        <v>Nurture</v>
      </c>
      <c r="C564" s="3" t="n">
        <f aca="false">SUM(AC564:AH564)</f>
        <v>45</v>
      </c>
      <c r="D564" s="15" t="str">
        <f aca="false">IF(T564="Y","Superseded record",IF(AND(U564&lt;&gt;"",AA564&lt;0),"Expired (verified)",IF(AND(U564&lt;&gt;"",AA564&lt;=Scoring!$B$5),"Expiring: notice window (verified)",IF(AND(U564&lt;&gt;"",AA564&lt;=Scoring!$B$6),"Expiring: 10-yr horizon (verified)",IF(M564="No Longer Monitored","Out of program",IF(N564="","Unknown vintage",IF(N564&lt;Scoring!$B$12,"Pre-1990, still listed",IF(AND(U564="",AA564&lt;0),"Past 30-yr mark (verify)",IF(AND(U564="",AA564&lt;=Scoring!$B$5),"30-yr mark: notice window (est.)",IF(AND(O564&gt;=Scoring!$B$7,O564&lt;=Scoring!$B$8),"Year-15 window",IF(O564&gt;=Scoring!$B$9,"Recap window",IF(O564&gt;=11,"Late compliance","Credit period"))))))))))))</f>
        <v>Out of program</v>
      </c>
      <c r="E564" s="15" t="s">
        <v>2012</v>
      </c>
      <c r="F564" s="15" t="s">
        <v>1405</v>
      </c>
      <c r="G564" s="15" t="s">
        <v>2013</v>
      </c>
      <c r="H564" s="15" t="s">
        <v>97</v>
      </c>
      <c r="I564" s="15" t="s">
        <v>929</v>
      </c>
      <c r="J564" s="15" t="n">
        <v>1</v>
      </c>
      <c r="K564" s="15" t="n">
        <v>1</v>
      </c>
      <c r="L564" s="15" t="n">
        <f aca="false">IF(OR(J564="",K564=""),"",MAX(J564-K564,0))</f>
        <v>0</v>
      </c>
      <c r="M564" s="15" t="s">
        <v>1757</v>
      </c>
      <c r="N564" s="17" t="n">
        <v>1988</v>
      </c>
      <c r="O564" s="15" t="n">
        <f aca="false">IF(N564="","",Scoring!$B$4-N564)</f>
        <v>38</v>
      </c>
      <c r="P564" s="15" t="n">
        <f aca="false">IF(N564="","",N564+14)</f>
        <v>2002</v>
      </c>
      <c r="Q564" s="15" t="str">
        <f aca="false">IF(N564="","",IF(N564&lt;Scoring!$B$12,"n/a (pre-1990)",N564+Scoring!$B$13))</f>
        <v>n/a (pre-1990)</v>
      </c>
      <c r="R564" s="15" t="str">
        <f aca="false">IF(J564="","Unknown",IF(J564&gt;=5,"Yes","No (under 5 units)"))</f>
        <v>No (under 5 units)</v>
      </c>
      <c r="S564" s="15"/>
      <c r="T564" s="18"/>
      <c r="U564" s="19"/>
      <c r="V564" s="18"/>
      <c r="W564" s="18"/>
      <c r="X564" s="20"/>
      <c r="Y564" s="18"/>
      <c r="Z564" s="18"/>
      <c r="AA564" s="21" t="str">
        <f aca="false">IF(U564&lt;&gt;"",(U564-Scoring!$B$3)/365.25,IF(N564="","",IF(N564&lt;Scoring!$B$12,"",(DATE(N564+Scoring!$B$13,12,31)-Scoring!$B$3)/365.25)))</f>
        <v/>
      </c>
      <c r="AB564" s="22" t="n">
        <f aca="false">IF(T564="Y",0,IF(OR(D564="Expired (verified)",D564="Expiring: notice window (verified)",D564="Expiring: 10-yr horizon (verified)",D564="Past 30-yr mark (verify)",D564="30-yr mark: notice window (est.)",D564="Year-15 window"),1,0)+IF(ISNUMBER(O564),IF(O564&gt;=Scoring!$B$10,1,0),0)+IF(AND(ISNUMBER(L564),ISNUMBER(J564)),IF(J564&gt;0,IF(L564/J564&gt;=Scoring!$B$11,1,0),0),0)+IF(ISNUMBER(Z564),MIN(Z564,3),0))</f>
        <v>1</v>
      </c>
      <c r="AC564" s="22" t="n">
        <f aca="false">IF(AB564&gt;=3,Scoring!$C$24,IF(AB564=2,Scoring!$C$23,IF(AB564=1,Scoring!$C$22,0)))</f>
        <v>10</v>
      </c>
      <c r="AD564" s="22" t="n">
        <f aca="false">IF(T564="Y",0,IF(ISNUMBER(X564),IF(X564&gt;0.7,Scoring!$C$25,IF(X564&gt;=0.5,Scoring!$C$26,IF(X564&gt;=0.3,Scoring!$C$27,Scoring!$C$28))),Scoring!$C$29))</f>
        <v>10</v>
      </c>
      <c r="AE564" s="22" t="n">
        <f aca="false">IF(D564="Expiring: notice window (verified)",Scoring!$C$30,IF(OR(D564="Expired (verified)",D564="30-yr mark: notice window (est.)",D564="Year-15 window"),Scoring!$C$31,IF(D564="Expiring: 10-yr horizon (verified)",Scoring!$C$32,IF(D564="Past 30-yr mark (verify)",Scoring!$C$33,IF(OR(D564="Credit period",D564="Superseded record"),Scoring!$C$35,Scoring!$C$34)))))</f>
        <v>4</v>
      </c>
      <c r="AF564" s="22" t="n">
        <f aca="false">IF(T564="Y",0,IF(ISNUMBER(V564),IF(Scoring!$B$4-V564&gt;15,Scoring!$C$36,IF(Scoring!$B$4-V564&gt;=10,Scoring!$C$37,IF(Scoring!$B$4-V564&gt;=5,Scoring!$C$38,Scoring!$C$39))),IF(OR(N564="",D564="Out of program"),Scoring!$C$40,IF(O564&gt;15,Scoring!$C$36,IF(O564&gt;=10,Scoring!$C$37,IF(O564&gt;=5,Scoring!$C$38,Scoring!$C$39))))))</f>
        <v>8</v>
      </c>
      <c r="AG564" s="22" t="n">
        <f aca="false">IF(T564="Y",0,IF(Y564="Y",Scoring!$C$41,IF(ISNUMBER(O564),IF(O564&gt;=25,Scoring!$C$42,IF(O564&gt;=15,Scoring!$C$43,Scoring!$C$44)),Scoring!$C$44)))</f>
        <v>8</v>
      </c>
      <c r="AH564" s="22" t="n">
        <f aca="false">IF(T564="Y",0,IF(W564="",Scoring!$C$49,IFERROR(VLOOKUP(W564,Scoring!$B$45:$C$48,2,FALSE()),Scoring!$C$49)))</f>
        <v>5</v>
      </c>
      <c r="AI564" s="23" t="n">
        <f aca="false">C564+IF(ISNUMBER(J564),J564,0)/100000+(10000-ROW())/1000000000</f>
        <v>45.000019436</v>
      </c>
      <c r="AJ564" s="18"/>
      <c r="AK564" s="18"/>
      <c r="AL564" s="18"/>
      <c r="AM564" s="18"/>
    </row>
    <row r="565" customFormat="false" ht="15" hidden="false" customHeight="false" outlineLevel="0" collapsed="false">
      <c r="A565" s="15" t="n">
        <f aca="false">RANK(AI565,$AI$2:$AI$755)</f>
        <v>564</v>
      </c>
      <c r="B565" s="16" t="str">
        <f aca="false">IF(T565="Y","Superseded",IF(C565&gt;=Scoring!$B$16,"Immediate",IF(C565&gt;=Scoring!$B$17,"This week",IF(C565&gt;=Scoring!$B$18,"Nurture","Low"))))</f>
        <v>Nurture</v>
      </c>
      <c r="C565" s="3" t="n">
        <f aca="false">SUM(AC565:AH565)</f>
        <v>45</v>
      </c>
      <c r="D565" s="15" t="str">
        <f aca="false">IF(T565="Y","Superseded record",IF(AND(U565&lt;&gt;"",AA565&lt;0),"Expired (verified)",IF(AND(U565&lt;&gt;"",AA565&lt;=Scoring!$B$5),"Expiring: notice window (verified)",IF(AND(U565&lt;&gt;"",AA565&lt;=Scoring!$B$6),"Expiring: 10-yr horizon (verified)",IF(M565="No Longer Monitored","Out of program",IF(N565="","Unknown vintage",IF(N565&lt;Scoring!$B$12,"Pre-1990, still listed",IF(AND(U565="",AA565&lt;0),"Past 30-yr mark (verify)",IF(AND(U565="",AA565&lt;=Scoring!$B$5),"30-yr mark: notice window (est.)",IF(AND(O565&gt;=Scoring!$B$7,O565&lt;=Scoring!$B$8),"Year-15 window",IF(O565&gt;=Scoring!$B$9,"Recap window",IF(O565&gt;=11,"Late compliance","Credit period"))))))))))))</f>
        <v>Out of program</v>
      </c>
      <c r="E565" s="15" t="s">
        <v>2014</v>
      </c>
      <c r="F565" s="15" t="s">
        <v>1405</v>
      </c>
      <c r="G565" s="15" t="s">
        <v>2015</v>
      </c>
      <c r="H565" s="15" t="s">
        <v>97</v>
      </c>
      <c r="I565" s="15" t="s">
        <v>863</v>
      </c>
      <c r="J565" s="15" t="n">
        <v>1</v>
      </c>
      <c r="K565" s="15" t="n">
        <v>1</v>
      </c>
      <c r="L565" s="15" t="n">
        <f aca="false">IF(OR(J565="",K565=""),"",MAX(J565-K565,0))</f>
        <v>0</v>
      </c>
      <c r="M565" s="15" t="s">
        <v>1757</v>
      </c>
      <c r="N565" s="17" t="n">
        <v>1988</v>
      </c>
      <c r="O565" s="15" t="n">
        <f aca="false">IF(N565="","",Scoring!$B$4-N565)</f>
        <v>38</v>
      </c>
      <c r="P565" s="15" t="n">
        <f aca="false">IF(N565="","",N565+14)</f>
        <v>2002</v>
      </c>
      <c r="Q565" s="15" t="str">
        <f aca="false">IF(N565="","",IF(N565&lt;Scoring!$B$12,"n/a (pre-1990)",N565+Scoring!$B$13))</f>
        <v>n/a (pre-1990)</v>
      </c>
      <c r="R565" s="15" t="str">
        <f aca="false">IF(J565="","Unknown",IF(J565&gt;=5,"Yes","No (under 5 units)"))</f>
        <v>No (under 5 units)</v>
      </c>
      <c r="S565" s="15"/>
      <c r="T565" s="18"/>
      <c r="U565" s="19"/>
      <c r="V565" s="18"/>
      <c r="W565" s="18"/>
      <c r="X565" s="20"/>
      <c r="Y565" s="18"/>
      <c r="Z565" s="18"/>
      <c r="AA565" s="21" t="str">
        <f aca="false">IF(U565&lt;&gt;"",(U565-Scoring!$B$3)/365.25,IF(N565="","",IF(N565&lt;Scoring!$B$12,"",(DATE(N565+Scoring!$B$13,12,31)-Scoring!$B$3)/365.25)))</f>
        <v/>
      </c>
      <c r="AB565" s="22" t="n">
        <f aca="false">IF(T565="Y",0,IF(OR(D565="Expired (verified)",D565="Expiring: notice window (verified)",D565="Expiring: 10-yr horizon (verified)",D565="Past 30-yr mark (verify)",D565="30-yr mark: notice window (est.)",D565="Year-15 window"),1,0)+IF(ISNUMBER(O565),IF(O565&gt;=Scoring!$B$10,1,0),0)+IF(AND(ISNUMBER(L565),ISNUMBER(J565)),IF(J565&gt;0,IF(L565/J565&gt;=Scoring!$B$11,1,0),0),0)+IF(ISNUMBER(Z565),MIN(Z565,3),0))</f>
        <v>1</v>
      </c>
      <c r="AC565" s="22" t="n">
        <f aca="false">IF(AB565&gt;=3,Scoring!$C$24,IF(AB565=2,Scoring!$C$23,IF(AB565=1,Scoring!$C$22,0)))</f>
        <v>10</v>
      </c>
      <c r="AD565" s="22" t="n">
        <f aca="false">IF(T565="Y",0,IF(ISNUMBER(X565),IF(X565&gt;0.7,Scoring!$C$25,IF(X565&gt;=0.5,Scoring!$C$26,IF(X565&gt;=0.3,Scoring!$C$27,Scoring!$C$28))),Scoring!$C$29))</f>
        <v>10</v>
      </c>
      <c r="AE565" s="22" t="n">
        <f aca="false">IF(D565="Expiring: notice window (verified)",Scoring!$C$30,IF(OR(D565="Expired (verified)",D565="30-yr mark: notice window (est.)",D565="Year-15 window"),Scoring!$C$31,IF(D565="Expiring: 10-yr horizon (verified)",Scoring!$C$32,IF(D565="Past 30-yr mark (verify)",Scoring!$C$33,IF(OR(D565="Credit period",D565="Superseded record"),Scoring!$C$35,Scoring!$C$34)))))</f>
        <v>4</v>
      </c>
      <c r="AF565" s="22" t="n">
        <f aca="false">IF(T565="Y",0,IF(ISNUMBER(V565),IF(Scoring!$B$4-V565&gt;15,Scoring!$C$36,IF(Scoring!$B$4-V565&gt;=10,Scoring!$C$37,IF(Scoring!$B$4-V565&gt;=5,Scoring!$C$38,Scoring!$C$39))),IF(OR(N565="",D565="Out of program"),Scoring!$C$40,IF(O565&gt;15,Scoring!$C$36,IF(O565&gt;=10,Scoring!$C$37,IF(O565&gt;=5,Scoring!$C$38,Scoring!$C$39))))))</f>
        <v>8</v>
      </c>
      <c r="AG565" s="22" t="n">
        <f aca="false">IF(T565="Y",0,IF(Y565="Y",Scoring!$C$41,IF(ISNUMBER(O565),IF(O565&gt;=25,Scoring!$C$42,IF(O565&gt;=15,Scoring!$C$43,Scoring!$C$44)),Scoring!$C$44)))</f>
        <v>8</v>
      </c>
      <c r="AH565" s="22" t="n">
        <f aca="false">IF(T565="Y",0,IF(W565="",Scoring!$C$49,IFERROR(VLOOKUP(W565,Scoring!$B$45:$C$48,2,FALSE()),Scoring!$C$49)))</f>
        <v>5</v>
      </c>
      <c r="AI565" s="23" t="n">
        <f aca="false">C565+IF(ISNUMBER(J565),J565,0)/100000+(10000-ROW())/1000000000</f>
        <v>45.000019435</v>
      </c>
      <c r="AJ565" s="18"/>
      <c r="AK565" s="18"/>
      <c r="AL565" s="18"/>
      <c r="AM565" s="18"/>
    </row>
    <row r="566" customFormat="false" ht="15" hidden="false" customHeight="false" outlineLevel="0" collapsed="false">
      <c r="A566" s="15" t="n">
        <f aca="false">RANK(AI566,$AI$2:$AI$755)</f>
        <v>565</v>
      </c>
      <c r="B566" s="16" t="str">
        <f aca="false">IF(T566="Y","Superseded",IF(C566&gt;=Scoring!$B$16,"Immediate",IF(C566&gt;=Scoring!$B$17,"This week",IF(C566&gt;=Scoring!$B$18,"Nurture","Low"))))</f>
        <v>Nurture</v>
      </c>
      <c r="C566" s="3" t="n">
        <f aca="false">SUM(AC566:AH566)</f>
        <v>45</v>
      </c>
      <c r="D566" s="15" t="str">
        <f aca="false">IF(T566="Y","Superseded record",IF(AND(U566&lt;&gt;"",AA566&lt;0),"Expired (verified)",IF(AND(U566&lt;&gt;"",AA566&lt;=Scoring!$B$5),"Expiring: notice window (verified)",IF(AND(U566&lt;&gt;"",AA566&lt;=Scoring!$B$6),"Expiring: 10-yr horizon (verified)",IF(M566="No Longer Monitored","Out of program",IF(N566="","Unknown vintage",IF(N566&lt;Scoring!$B$12,"Pre-1990, still listed",IF(AND(U566="",AA566&lt;0),"Past 30-yr mark (verify)",IF(AND(U566="",AA566&lt;=Scoring!$B$5),"30-yr mark: notice window (est.)",IF(AND(O566&gt;=Scoring!$B$7,O566&lt;=Scoring!$B$8),"Year-15 window",IF(O566&gt;=Scoring!$B$9,"Recap window",IF(O566&gt;=11,"Late compliance","Credit period"))))))))))))</f>
        <v>Out of program</v>
      </c>
      <c r="E566" s="15" t="s">
        <v>2016</v>
      </c>
      <c r="F566" s="15" t="s">
        <v>1405</v>
      </c>
      <c r="G566" s="15"/>
      <c r="H566" s="15" t="s">
        <v>97</v>
      </c>
      <c r="I566" s="15"/>
      <c r="J566" s="15" t="n">
        <v>1</v>
      </c>
      <c r="K566" s="15" t="n">
        <v>1</v>
      </c>
      <c r="L566" s="15" t="n">
        <f aca="false">IF(OR(J566="",K566=""),"",MAX(J566-K566,0))</f>
        <v>0</v>
      </c>
      <c r="M566" s="15" t="s">
        <v>1757</v>
      </c>
      <c r="N566" s="17" t="n">
        <v>1988</v>
      </c>
      <c r="O566" s="15" t="n">
        <f aca="false">IF(N566="","",Scoring!$B$4-N566)</f>
        <v>38</v>
      </c>
      <c r="P566" s="15" t="n">
        <f aca="false">IF(N566="","",N566+14)</f>
        <v>2002</v>
      </c>
      <c r="Q566" s="15" t="str">
        <f aca="false">IF(N566="","",IF(N566&lt;Scoring!$B$12,"n/a (pre-1990)",N566+Scoring!$B$13))</f>
        <v>n/a (pre-1990)</v>
      </c>
      <c r="R566" s="15" t="str">
        <f aca="false">IF(J566="","Unknown",IF(J566&gt;=5,"Yes","No (under 5 units)"))</f>
        <v>No (under 5 units)</v>
      </c>
      <c r="S566" s="15"/>
      <c r="T566" s="18"/>
      <c r="U566" s="19"/>
      <c r="V566" s="18"/>
      <c r="W566" s="18"/>
      <c r="X566" s="20"/>
      <c r="Y566" s="18"/>
      <c r="Z566" s="18"/>
      <c r="AA566" s="21" t="str">
        <f aca="false">IF(U566&lt;&gt;"",(U566-Scoring!$B$3)/365.25,IF(N566="","",IF(N566&lt;Scoring!$B$12,"",(DATE(N566+Scoring!$B$13,12,31)-Scoring!$B$3)/365.25)))</f>
        <v/>
      </c>
      <c r="AB566" s="22" t="n">
        <f aca="false">IF(T566="Y",0,IF(OR(D566="Expired (verified)",D566="Expiring: notice window (verified)",D566="Expiring: 10-yr horizon (verified)",D566="Past 30-yr mark (verify)",D566="30-yr mark: notice window (est.)",D566="Year-15 window"),1,0)+IF(ISNUMBER(O566),IF(O566&gt;=Scoring!$B$10,1,0),0)+IF(AND(ISNUMBER(L566),ISNUMBER(J566)),IF(J566&gt;0,IF(L566/J566&gt;=Scoring!$B$11,1,0),0),0)+IF(ISNUMBER(Z566),MIN(Z566,3),0))</f>
        <v>1</v>
      </c>
      <c r="AC566" s="22" t="n">
        <f aca="false">IF(AB566&gt;=3,Scoring!$C$24,IF(AB566=2,Scoring!$C$23,IF(AB566=1,Scoring!$C$22,0)))</f>
        <v>10</v>
      </c>
      <c r="AD566" s="22" t="n">
        <f aca="false">IF(T566="Y",0,IF(ISNUMBER(X566),IF(X566&gt;0.7,Scoring!$C$25,IF(X566&gt;=0.5,Scoring!$C$26,IF(X566&gt;=0.3,Scoring!$C$27,Scoring!$C$28))),Scoring!$C$29))</f>
        <v>10</v>
      </c>
      <c r="AE566" s="22" t="n">
        <f aca="false">IF(D566="Expiring: notice window (verified)",Scoring!$C$30,IF(OR(D566="Expired (verified)",D566="30-yr mark: notice window (est.)",D566="Year-15 window"),Scoring!$C$31,IF(D566="Expiring: 10-yr horizon (verified)",Scoring!$C$32,IF(D566="Past 30-yr mark (verify)",Scoring!$C$33,IF(OR(D566="Credit period",D566="Superseded record"),Scoring!$C$35,Scoring!$C$34)))))</f>
        <v>4</v>
      </c>
      <c r="AF566" s="22" t="n">
        <f aca="false">IF(T566="Y",0,IF(ISNUMBER(V566),IF(Scoring!$B$4-V566&gt;15,Scoring!$C$36,IF(Scoring!$B$4-V566&gt;=10,Scoring!$C$37,IF(Scoring!$B$4-V566&gt;=5,Scoring!$C$38,Scoring!$C$39))),IF(OR(N566="",D566="Out of program"),Scoring!$C$40,IF(O566&gt;15,Scoring!$C$36,IF(O566&gt;=10,Scoring!$C$37,IF(O566&gt;=5,Scoring!$C$38,Scoring!$C$39))))))</f>
        <v>8</v>
      </c>
      <c r="AG566" s="22" t="n">
        <f aca="false">IF(T566="Y",0,IF(Y566="Y",Scoring!$C$41,IF(ISNUMBER(O566),IF(O566&gt;=25,Scoring!$C$42,IF(O566&gt;=15,Scoring!$C$43,Scoring!$C$44)),Scoring!$C$44)))</f>
        <v>8</v>
      </c>
      <c r="AH566" s="22" t="n">
        <f aca="false">IF(T566="Y",0,IF(W566="",Scoring!$C$49,IFERROR(VLOOKUP(W566,Scoring!$B$45:$C$48,2,FALSE()),Scoring!$C$49)))</f>
        <v>5</v>
      </c>
      <c r="AI566" s="23" t="n">
        <f aca="false">C566+IF(ISNUMBER(J566),J566,0)/100000+(10000-ROW())/1000000000</f>
        <v>45.000019434</v>
      </c>
      <c r="AJ566" s="18"/>
      <c r="AK566" s="18"/>
      <c r="AL566" s="18"/>
      <c r="AM566" s="18"/>
    </row>
    <row r="567" customFormat="false" ht="15" hidden="false" customHeight="false" outlineLevel="0" collapsed="false">
      <c r="A567" s="15" t="n">
        <f aca="false">RANK(AI567,$AI$2:$AI$755)</f>
        <v>566</v>
      </c>
      <c r="B567" s="16" t="str">
        <f aca="false">IF(T567="Y","Superseded",IF(C567&gt;=Scoring!$B$16,"Immediate",IF(C567&gt;=Scoring!$B$17,"This week",IF(C567&gt;=Scoring!$B$18,"Nurture","Low"))))</f>
        <v>Nurture</v>
      </c>
      <c r="C567" s="3" t="n">
        <f aca="false">SUM(AC567:AH567)</f>
        <v>45</v>
      </c>
      <c r="D567" s="15" t="str">
        <f aca="false">IF(T567="Y","Superseded record",IF(AND(U567&lt;&gt;"",AA567&lt;0),"Expired (verified)",IF(AND(U567&lt;&gt;"",AA567&lt;=Scoring!$B$5),"Expiring: notice window (verified)",IF(AND(U567&lt;&gt;"",AA567&lt;=Scoring!$B$6),"Expiring: 10-yr horizon (verified)",IF(M567="No Longer Monitored","Out of program",IF(N567="","Unknown vintage",IF(N567&lt;Scoring!$B$12,"Pre-1990, still listed",IF(AND(U567="",AA567&lt;0),"Past 30-yr mark (verify)",IF(AND(U567="",AA567&lt;=Scoring!$B$5),"30-yr mark: notice window (est.)",IF(AND(O567&gt;=Scoring!$B$7,O567&lt;=Scoring!$B$8),"Year-15 window",IF(O567&gt;=Scoring!$B$9,"Recap window",IF(O567&gt;=11,"Late compliance","Credit period"))))))))))))</f>
        <v>Out of program</v>
      </c>
      <c r="E567" s="15" t="s">
        <v>2017</v>
      </c>
      <c r="F567" s="15" t="s">
        <v>1405</v>
      </c>
      <c r="G567" s="15" t="s">
        <v>2018</v>
      </c>
      <c r="H567" s="15" t="s">
        <v>97</v>
      </c>
      <c r="I567" s="15" t="s">
        <v>245</v>
      </c>
      <c r="J567" s="15" t="n">
        <v>1</v>
      </c>
      <c r="K567" s="15" t="n">
        <v>1</v>
      </c>
      <c r="L567" s="15" t="n">
        <f aca="false">IF(OR(J567="",K567=""),"",MAX(J567-K567,0))</f>
        <v>0</v>
      </c>
      <c r="M567" s="15" t="s">
        <v>1757</v>
      </c>
      <c r="N567" s="17" t="n">
        <v>1988</v>
      </c>
      <c r="O567" s="15" t="n">
        <f aca="false">IF(N567="","",Scoring!$B$4-N567)</f>
        <v>38</v>
      </c>
      <c r="P567" s="15" t="n">
        <f aca="false">IF(N567="","",N567+14)</f>
        <v>2002</v>
      </c>
      <c r="Q567" s="15" t="str">
        <f aca="false">IF(N567="","",IF(N567&lt;Scoring!$B$12,"n/a (pre-1990)",N567+Scoring!$B$13))</f>
        <v>n/a (pre-1990)</v>
      </c>
      <c r="R567" s="15" t="str">
        <f aca="false">IF(J567="","Unknown",IF(J567&gt;=5,"Yes","No (under 5 units)"))</f>
        <v>No (under 5 units)</v>
      </c>
      <c r="S567" s="15"/>
      <c r="T567" s="18"/>
      <c r="U567" s="19"/>
      <c r="V567" s="18"/>
      <c r="W567" s="18"/>
      <c r="X567" s="20"/>
      <c r="Y567" s="18"/>
      <c r="Z567" s="18"/>
      <c r="AA567" s="21" t="str">
        <f aca="false">IF(U567&lt;&gt;"",(U567-Scoring!$B$3)/365.25,IF(N567="","",IF(N567&lt;Scoring!$B$12,"",(DATE(N567+Scoring!$B$13,12,31)-Scoring!$B$3)/365.25)))</f>
        <v/>
      </c>
      <c r="AB567" s="22" t="n">
        <f aca="false">IF(T567="Y",0,IF(OR(D567="Expired (verified)",D567="Expiring: notice window (verified)",D567="Expiring: 10-yr horizon (verified)",D567="Past 30-yr mark (verify)",D567="30-yr mark: notice window (est.)",D567="Year-15 window"),1,0)+IF(ISNUMBER(O567),IF(O567&gt;=Scoring!$B$10,1,0),0)+IF(AND(ISNUMBER(L567),ISNUMBER(J567)),IF(J567&gt;0,IF(L567/J567&gt;=Scoring!$B$11,1,0),0),0)+IF(ISNUMBER(Z567),MIN(Z567,3),0))</f>
        <v>1</v>
      </c>
      <c r="AC567" s="22" t="n">
        <f aca="false">IF(AB567&gt;=3,Scoring!$C$24,IF(AB567=2,Scoring!$C$23,IF(AB567=1,Scoring!$C$22,0)))</f>
        <v>10</v>
      </c>
      <c r="AD567" s="22" t="n">
        <f aca="false">IF(T567="Y",0,IF(ISNUMBER(X567),IF(X567&gt;0.7,Scoring!$C$25,IF(X567&gt;=0.5,Scoring!$C$26,IF(X567&gt;=0.3,Scoring!$C$27,Scoring!$C$28))),Scoring!$C$29))</f>
        <v>10</v>
      </c>
      <c r="AE567" s="22" t="n">
        <f aca="false">IF(D567="Expiring: notice window (verified)",Scoring!$C$30,IF(OR(D567="Expired (verified)",D567="30-yr mark: notice window (est.)",D567="Year-15 window"),Scoring!$C$31,IF(D567="Expiring: 10-yr horizon (verified)",Scoring!$C$32,IF(D567="Past 30-yr mark (verify)",Scoring!$C$33,IF(OR(D567="Credit period",D567="Superseded record"),Scoring!$C$35,Scoring!$C$34)))))</f>
        <v>4</v>
      </c>
      <c r="AF567" s="22" t="n">
        <f aca="false">IF(T567="Y",0,IF(ISNUMBER(V567),IF(Scoring!$B$4-V567&gt;15,Scoring!$C$36,IF(Scoring!$B$4-V567&gt;=10,Scoring!$C$37,IF(Scoring!$B$4-V567&gt;=5,Scoring!$C$38,Scoring!$C$39))),IF(OR(N567="",D567="Out of program"),Scoring!$C$40,IF(O567&gt;15,Scoring!$C$36,IF(O567&gt;=10,Scoring!$C$37,IF(O567&gt;=5,Scoring!$C$38,Scoring!$C$39))))))</f>
        <v>8</v>
      </c>
      <c r="AG567" s="22" t="n">
        <f aca="false">IF(T567="Y",0,IF(Y567="Y",Scoring!$C$41,IF(ISNUMBER(O567),IF(O567&gt;=25,Scoring!$C$42,IF(O567&gt;=15,Scoring!$C$43,Scoring!$C$44)),Scoring!$C$44)))</f>
        <v>8</v>
      </c>
      <c r="AH567" s="22" t="n">
        <f aca="false">IF(T567="Y",0,IF(W567="",Scoring!$C$49,IFERROR(VLOOKUP(W567,Scoring!$B$45:$C$48,2,FALSE()),Scoring!$C$49)))</f>
        <v>5</v>
      </c>
      <c r="AI567" s="23" t="n">
        <f aca="false">C567+IF(ISNUMBER(J567),J567,0)/100000+(10000-ROW())/1000000000</f>
        <v>45.000019433</v>
      </c>
      <c r="AJ567" s="18"/>
      <c r="AK567" s="18"/>
      <c r="AL567" s="18"/>
      <c r="AM567" s="18"/>
    </row>
    <row r="568" customFormat="false" ht="15" hidden="false" customHeight="false" outlineLevel="0" collapsed="false">
      <c r="A568" s="15" t="n">
        <f aca="false">RANK(AI568,$AI$2:$AI$755)</f>
        <v>567</v>
      </c>
      <c r="B568" s="16" t="str">
        <f aca="false">IF(T568="Y","Superseded",IF(C568&gt;=Scoring!$B$16,"Immediate",IF(C568&gt;=Scoring!$B$17,"This week",IF(C568&gt;=Scoring!$B$18,"Nurture","Low"))))</f>
        <v>Nurture</v>
      </c>
      <c r="C568" s="3" t="n">
        <f aca="false">SUM(AC568:AH568)</f>
        <v>45</v>
      </c>
      <c r="D568" s="15" t="str">
        <f aca="false">IF(T568="Y","Superseded record",IF(AND(U568&lt;&gt;"",AA568&lt;0),"Expired (verified)",IF(AND(U568&lt;&gt;"",AA568&lt;=Scoring!$B$5),"Expiring: notice window (verified)",IF(AND(U568&lt;&gt;"",AA568&lt;=Scoring!$B$6),"Expiring: 10-yr horizon (verified)",IF(M568="No Longer Monitored","Out of program",IF(N568="","Unknown vintage",IF(N568&lt;Scoring!$B$12,"Pre-1990, still listed",IF(AND(U568="",AA568&lt;0),"Past 30-yr mark (verify)",IF(AND(U568="",AA568&lt;=Scoring!$B$5),"30-yr mark: notice window (est.)",IF(AND(O568&gt;=Scoring!$B$7,O568&lt;=Scoring!$B$8),"Year-15 window",IF(O568&gt;=Scoring!$B$9,"Recap window",IF(O568&gt;=11,"Late compliance","Credit period"))))))))))))</f>
        <v>Out of program</v>
      </c>
      <c r="E568" s="15" t="s">
        <v>2019</v>
      </c>
      <c r="F568" s="15" t="s">
        <v>1405</v>
      </c>
      <c r="G568" s="15" t="s">
        <v>2020</v>
      </c>
      <c r="H568" s="15" t="s">
        <v>455</v>
      </c>
      <c r="I568" s="15" t="s">
        <v>2021</v>
      </c>
      <c r="J568" s="15" t="n">
        <v>1</v>
      </c>
      <c r="K568" s="15" t="n">
        <v>1</v>
      </c>
      <c r="L568" s="15" t="n">
        <f aca="false">IF(OR(J568="",K568=""),"",MAX(J568-K568,0))</f>
        <v>0</v>
      </c>
      <c r="M568" s="15" t="s">
        <v>1757</v>
      </c>
      <c r="N568" s="17" t="n">
        <v>1988</v>
      </c>
      <c r="O568" s="15" t="n">
        <f aca="false">IF(N568="","",Scoring!$B$4-N568)</f>
        <v>38</v>
      </c>
      <c r="P568" s="15" t="n">
        <f aca="false">IF(N568="","",N568+14)</f>
        <v>2002</v>
      </c>
      <c r="Q568" s="15" t="str">
        <f aca="false">IF(N568="","",IF(N568&lt;Scoring!$B$12,"n/a (pre-1990)",N568+Scoring!$B$13))</f>
        <v>n/a (pre-1990)</v>
      </c>
      <c r="R568" s="15" t="str">
        <f aca="false">IF(J568="","Unknown",IF(J568&gt;=5,"Yes","No (under 5 units)"))</f>
        <v>No (under 5 units)</v>
      </c>
      <c r="S568" s="15"/>
      <c r="T568" s="18"/>
      <c r="U568" s="19"/>
      <c r="V568" s="18"/>
      <c r="W568" s="18"/>
      <c r="X568" s="20"/>
      <c r="Y568" s="18"/>
      <c r="Z568" s="18"/>
      <c r="AA568" s="21" t="str">
        <f aca="false">IF(U568&lt;&gt;"",(U568-Scoring!$B$3)/365.25,IF(N568="","",IF(N568&lt;Scoring!$B$12,"",(DATE(N568+Scoring!$B$13,12,31)-Scoring!$B$3)/365.25)))</f>
        <v/>
      </c>
      <c r="AB568" s="22" t="n">
        <f aca="false">IF(T568="Y",0,IF(OR(D568="Expired (verified)",D568="Expiring: notice window (verified)",D568="Expiring: 10-yr horizon (verified)",D568="Past 30-yr mark (verify)",D568="30-yr mark: notice window (est.)",D568="Year-15 window"),1,0)+IF(ISNUMBER(O568),IF(O568&gt;=Scoring!$B$10,1,0),0)+IF(AND(ISNUMBER(L568),ISNUMBER(J568)),IF(J568&gt;0,IF(L568/J568&gt;=Scoring!$B$11,1,0),0),0)+IF(ISNUMBER(Z568),MIN(Z568,3),0))</f>
        <v>1</v>
      </c>
      <c r="AC568" s="22" t="n">
        <f aca="false">IF(AB568&gt;=3,Scoring!$C$24,IF(AB568=2,Scoring!$C$23,IF(AB568=1,Scoring!$C$22,0)))</f>
        <v>10</v>
      </c>
      <c r="AD568" s="22" t="n">
        <f aca="false">IF(T568="Y",0,IF(ISNUMBER(X568),IF(X568&gt;0.7,Scoring!$C$25,IF(X568&gt;=0.5,Scoring!$C$26,IF(X568&gt;=0.3,Scoring!$C$27,Scoring!$C$28))),Scoring!$C$29))</f>
        <v>10</v>
      </c>
      <c r="AE568" s="22" t="n">
        <f aca="false">IF(D568="Expiring: notice window (verified)",Scoring!$C$30,IF(OR(D568="Expired (verified)",D568="30-yr mark: notice window (est.)",D568="Year-15 window"),Scoring!$C$31,IF(D568="Expiring: 10-yr horizon (verified)",Scoring!$C$32,IF(D568="Past 30-yr mark (verify)",Scoring!$C$33,IF(OR(D568="Credit period",D568="Superseded record"),Scoring!$C$35,Scoring!$C$34)))))</f>
        <v>4</v>
      </c>
      <c r="AF568" s="22" t="n">
        <f aca="false">IF(T568="Y",0,IF(ISNUMBER(V568),IF(Scoring!$B$4-V568&gt;15,Scoring!$C$36,IF(Scoring!$B$4-V568&gt;=10,Scoring!$C$37,IF(Scoring!$B$4-V568&gt;=5,Scoring!$C$38,Scoring!$C$39))),IF(OR(N568="",D568="Out of program"),Scoring!$C$40,IF(O568&gt;15,Scoring!$C$36,IF(O568&gt;=10,Scoring!$C$37,IF(O568&gt;=5,Scoring!$C$38,Scoring!$C$39))))))</f>
        <v>8</v>
      </c>
      <c r="AG568" s="22" t="n">
        <f aca="false">IF(T568="Y",0,IF(Y568="Y",Scoring!$C$41,IF(ISNUMBER(O568),IF(O568&gt;=25,Scoring!$C$42,IF(O568&gt;=15,Scoring!$C$43,Scoring!$C$44)),Scoring!$C$44)))</f>
        <v>8</v>
      </c>
      <c r="AH568" s="22" t="n">
        <f aca="false">IF(T568="Y",0,IF(W568="",Scoring!$C$49,IFERROR(VLOOKUP(W568,Scoring!$B$45:$C$48,2,FALSE()),Scoring!$C$49)))</f>
        <v>5</v>
      </c>
      <c r="AI568" s="23" t="n">
        <f aca="false">C568+IF(ISNUMBER(J568),J568,0)/100000+(10000-ROW())/1000000000</f>
        <v>45.000019432</v>
      </c>
      <c r="AJ568" s="18"/>
      <c r="AK568" s="18"/>
      <c r="AL568" s="18"/>
      <c r="AM568" s="18"/>
    </row>
    <row r="569" customFormat="false" ht="15" hidden="false" customHeight="false" outlineLevel="0" collapsed="false">
      <c r="A569" s="15" t="n">
        <f aca="false">RANK(AI569,$AI$2:$AI$755)</f>
        <v>568</v>
      </c>
      <c r="B569" s="16" t="str">
        <f aca="false">IF(T569="Y","Superseded",IF(C569&gt;=Scoring!$B$16,"Immediate",IF(C569&gt;=Scoring!$B$17,"This week",IF(C569&gt;=Scoring!$B$18,"Nurture","Low"))))</f>
        <v>Nurture</v>
      </c>
      <c r="C569" s="3" t="n">
        <f aca="false">SUM(AC569:AH569)</f>
        <v>45</v>
      </c>
      <c r="D569" s="15" t="str">
        <f aca="false">IF(T569="Y","Superseded record",IF(AND(U569&lt;&gt;"",AA569&lt;0),"Expired (verified)",IF(AND(U569&lt;&gt;"",AA569&lt;=Scoring!$B$5),"Expiring: notice window (verified)",IF(AND(U569&lt;&gt;"",AA569&lt;=Scoring!$B$6),"Expiring: 10-yr horizon (verified)",IF(M569="No Longer Monitored","Out of program",IF(N569="","Unknown vintage",IF(N569&lt;Scoring!$B$12,"Pre-1990, still listed",IF(AND(U569="",AA569&lt;0),"Past 30-yr mark (verify)",IF(AND(U569="",AA569&lt;=Scoring!$B$5),"30-yr mark: notice window (est.)",IF(AND(O569&gt;=Scoring!$B$7,O569&lt;=Scoring!$B$8),"Year-15 window",IF(O569&gt;=Scoring!$B$9,"Recap window",IF(O569&gt;=11,"Late compliance","Credit period"))))))))))))</f>
        <v>Out of program</v>
      </c>
      <c r="E569" s="15" t="s">
        <v>2022</v>
      </c>
      <c r="F569" s="15" t="s">
        <v>1964</v>
      </c>
      <c r="G569" s="15" t="s">
        <v>2023</v>
      </c>
      <c r="H569" s="15" t="s">
        <v>97</v>
      </c>
      <c r="I569" s="15" t="s">
        <v>587</v>
      </c>
      <c r="J569" s="15" t="n">
        <v>1</v>
      </c>
      <c r="K569" s="15" t="n">
        <v>1</v>
      </c>
      <c r="L569" s="15" t="n">
        <f aca="false">IF(OR(J569="",K569=""),"",MAX(J569-K569,0))</f>
        <v>0</v>
      </c>
      <c r="M569" s="15" t="s">
        <v>1757</v>
      </c>
      <c r="N569" s="17" t="n">
        <v>1988</v>
      </c>
      <c r="O569" s="15" t="n">
        <f aca="false">IF(N569="","",Scoring!$B$4-N569)</f>
        <v>38</v>
      </c>
      <c r="P569" s="15" t="n">
        <f aca="false">IF(N569="","",N569+14)</f>
        <v>2002</v>
      </c>
      <c r="Q569" s="15" t="str">
        <f aca="false">IF(N569="","",IF(N569&lt;Scoring!$B$12,"n/a (pre-1990)",N569+Scoring!$B$13))</f>
        <v>n/a (pre-1990)</v>
      </c>
      <c r="R569" s="15" t="str">
        <f aca="false">IF(J569="","Unknown",IF(J569&gt;=5,"Yes","No (under 5 units)"))</f>
        <v>No (under 5 units)</v>
      </c>
      <c r="S569" s="15"/>
      <c r="T569" s="18"/>
      <c r="U569" s="19"/>
      <c r="V569" s="18"/>
      <c r="W569" s="18"/>
      <c r="X569" s="20"/>
      <c r="Y569" s="18"/>
      <c r="Z569" s="18"/>
      <c r="AA569" s="21" t="str">
        <f aca="false">IF(U569&lt;&gt;"",(U569-Scoring!$B$3)/365.25,IF(N569="","",IF(N569&lt;Scoring!$B$12,"",(DATE(N569+Scoring!$B$13,12,31)-Scoring!$B$3)/365.25)))</f>
        <v/>
      </c>
      <c r="AB569" s="22" t="n">
        <f aca="false">IF(T569="Y",0,IF(OR(D569="Expired (verified)",D569="Expiring: notice window (verified)",D569="Expiring: 10-yr horizon (verified)",D569="Past 30-yr mark (verify)",D569="30-yr mark: notice window (est.)",D569="Year-15 window"),1,0)+IF(ISNUMBER(O569),IF(O569&gt;=Scoring!$B$10,1,0),0)+IF(AND(ISNUMBER(L569),ISNUMBER(J569)),IF(J569&gt;0,IF(L569/J569&gt;=Scoring!$B$11,1,0),0),0)+IF(ISNUMBER(Z569),MIN(Z569,3),0))</f>
        <v>1</v>
      </c>
      <c r="AC569" s="22" t="n">
        <f aca="false">IF(AB569&gt;=3,Scoring!$C$24,IF(AB569=2,Scoring!$C$23,IF(AB569=1,Scoring!$C$22,0)))</f>
        <v>10</v>
      </c>
      <c r="AD569" s="22" t="n">
        <f aca="false">IF(T569="Y",0,IF(ISNUMBER(X569),IF(X569&gt;0.7,Scoring!$C$25,IF(X569&gt;=0.5,Scoring!$C$26,IF(X569&gt;=0.3,Scoring!$C$27,Scoring!$C$28))),Scoring!$C$29))</f>
        <v>10</v>
      </c>
      <c r="AE569" s="22" t="n">
        <f aca="false">IF(D569="Expiring: notice window (verified)",Scoring!$C$30,IF(OR(D569="Expired (verified)",D569="30-yr mark: notice window (est.)",D569="Year-15 window"),Scoring!$C$31,IF(D569="Expiring: 10-yr horizon (verified)",Scoring!$C$32,IF(D569="Past 30-yr mark (verify)",Scoring!$C$33,IF(OR(D569="Credit period",D569="Superseded record"),Scoring!$C$35,Scoring!$C$34)))))</f>
        <v>4</v>
      </c>
      <c r="AF569" s="22" t="n">
        <f aca="false">IF(T569="Y",0,IF(ISNUMBER(V569),IF(Scoring!$B$4-V569&gt;15,Scoring!$C$36,IF(Scoring!$B$4-V569&gt;=10,Scoring!$C$37,IF(Scoring!$B$4-V569&gt;=5,Scoring!$C$38,Scoring!$C$39))),IF(OR(N569="",D569="Out of program"),Scoring!$C$40,IF(O569&gt;15,Scoring!$C$36,IF(O569&gt;=10,Scoring!$C$37,IF(O569&gt;=5,Scoring!$C$38,Scoring!$C$39))))))</f>
        <v>8</v>
      </c>
      <c r="AG569" s="22" t="n">
        <f aca="false">IF(T569="Y",0,IF(Y569="Y",Scoring!$C$41,IF(ISNUMBER(O569),IF(O569&gt;=25,Scoring!$C$42,IF(O569&gt;=15,Scoring!$C$43,Scoring!$C$44)),Scoring!$C$44)))</f>
        <v>8</v>
      </c>
      <c r="AH569" s="22" t="n">
        <f aca="false">IF(T569="Y",0,IF(W569="",Scoring!$C$49,IFERROR(VLOOKUP(W569,Scoring!$B$45:$C$48,2,FALSE()),Scoring!$C$49)))</f>
        <v>5</v>
      </c>
      <c r="AI569" s="23" t="n">
        <f aca="false">C569+IF(ISNUMBER(J569),J569,0)/100000+(10000-ROW())/1000000000</f>
        <v>45.000019431</v>
      </c>
      <c r="AJ569" s="18"/>
      <c r="AK569" s="18"/>
      <c r="AL569" s="18"/>
      <c r="AM569" s="18"/>
    </row>
    <row r="570" customFormat="false" ht="15" hidden="false" customHeight="false" outlineLevel="0" collapsed="false">
      <c r="A570" s="15" t="n">
        <f aca="false">RANK(AI570,$AI$2:$AI$755)</f>
        <v>569</v>
      </c>
      <c r="B570" s="16" t="str">
        <f aca="false">IF(T570="Y","Superseded",IF(C570&gt;=Scoring!$B$16,"Immediate",IF(C570&gt;=Scoring!$B$17,"This week",IF(C570&gt;=Scoring!$B$18,"Nurture","Low"))))</f>
        <v>Nurture</v>
      </c>
      <c r="C570" s="3" t="n">
        <f aca="false">SUM(AC570:AH570)</f>
        <v>45</v>
      </c>
      <c r="D570" s="15" t="str">
        <f aca="false">IF(T570="Y","Superseded record",IF(AND(U570&lt;&gt;"",AA570&lt;0),"Expired (verified)",IF(AND(U570&lt;&gt;"",AA570&lt;=Scoring!$B$5),"Expiring: notice window (verified)",IF(AND(U570&lt;&gt;"",AA570&lt;=Scoring!$B$6),"Expiring: 10-yr horizon (verified)",IF(M570="No Longer Monitored","Out of program",IF(N570="","Unknown vintage",IF(N570&lt;Scoring!$B$12,"Pre-1990, still listed",IF(AND(U570="",AA570&lt;0),"Past 30-yr mark (verify)",IF(AND(U570="",AA570&lt;=Scoring!$B$5),"30-yr mark: notice window (est.)",IF(AND(O570&gt;=Scoring!$B$7,O570&lt;=Scoring!$B$8),"Year-15 window",IF(O570&gt;=Scoring!$B$9,"Recap window",IF(O570&gt;=11,"Late compliance","Credit period"))))))))))))</f>
        <v>Out of program</v>
      </c>
      <c r="E570" s="15" t="s">
        <v>2024</v>
      </c>
      <c r="F570" s="15" t="s">
        <v>2025</v>
      </c>
      <c r="G570" s="15" t="s">
        <v>2026</v>
      </c>
      <c r="H570" s="15" t="s">
        <v>97</v>
      </c>
      <c r="I570" s="15" t="s">
        <v>863</v>
      </c>
      <c r="J570" s="15" t="n">
        <v>1</v>
      </c>
      <c r="K570" s="15" t="n">
        <v>1</v>
      </c>
      <c r="L570" s="15" t="n">
        <f aca="false">IF(OR(J570="",K570=""),"",MAX(J570-K570,0))</f>
        <v>0</v>
      </c>
      <c r="M570" s="15" t="s">
        <v>1757</v>
      </c>
      <c r="N570" s="17" t="n">
        <v>1989</v>
      </c>
      <c r="O570" s="15" t="n">
        <f aca="false">IF(N570="","",Scoring!$B$4-N570)</f>
        <v>37</v>
      </c>
      <c r="P570" s="15" t="n">
        <f aca="false">IF(N570="","",N570+14)</f>
        <v>2003</v>
      </c>
      <c r="Q570" s="15" t="str">
        <f aca="false">IF(N570="","",IF(N570&lt;Scoring!$B$12,"n/a (pre-1990)",N570+Scoring!$B$13))</f>
        <v>n/a (pre-1990)</v>
      </c>
      <c r="R570" s="15" t="str">
        <f aca="false">IF(J570="","Unknown",IF(J570&gt;=5,"Yes","No (under 5 units)"))</f>
        <v>No (under 5 units)</v>
      </c>
      <c r="S570" s="15"/>
      <c r="T570" s="18"/>
      <c r="U570" s="19"/>
      <c r="V570" s="18"/>
      <c r="W570" s="18"/>
      <c r="X570" s="20"/>
      <c r="Y570" s="18"/>
      <c r="Z570" s="18"/>
      <c r="AA570" s="21" t="str">
        <f aca="false">IF(U570&lt;&gt;"",(U570-Scoring!$B$3)/365.25,IF(N570="","",IF(N570&lt;Scoring!$B$12,"",(DATE(N570+Scoring!$B$13,12,31)-Scoring!$B$3)/365.25)))</f>
        <v/>
      </c>
      <c r="AB570" s="22" t="n">
        <f aca="false">IF(T570="Y",0,IF(OR(D570="Expired (verified)",D570="Expiring: notice window (verified)",D570="Expiring: 10-yr horizon (verified)",D570="Past 30-yr mark (verify)",D570="30-yr mark: notice window (est.)",D570="Year-15 window"),1,0)+IF(ISNUMBER(O570),IF(O570&gt;=Scoring!$B$10,1,0),0)+IF(AND(ISNUMBER(L570),ISNUMBER(J570)),IF(J570&gt;0,IF(L570/J570&gt;=Scoring!$B$11,1,0),0),0)+IF(ISNUMBER(Z570),MIN(Z570,3),0))</f>
        <v>1</v>
      </c>
      <c r="AC570" s="22" t="n">
        <f aca="false">IF(AB570&gt;=3,Scoring!$C$24,IF(AB570=2,Scoring!$C$23,IF(AB570=1,Scoring!$C$22,0)))</f>
        <v>10</v>
      </c>
      <c r="AD570" s="22" t="n">
        <f aca="false">IF(T570="Y",0,IF(ISNUMBER(X570),IF(X570&gt;0.7,Scoring!$C$25,IF(X570&gt;=0.5,Scoring!$C$26,IF(X570&gt;=0.3,Scoring!$C$27,Scoring!$C$28))),Scoring!$C$29))</f>
        <v>10</v>
      </c>
      <c r="AE570" s="22" t="n">
        <f aca="false">IF(D570="Expiring: notice window (verified)",Scoring!$C$30,IF(OR(D570="Expired (verified)",D570="30-yr mark: notice window (est.)",D570="Year-15 window"),Scoring!$C$31,IF(D570="Expiring: 10-yr horizon (verified)",Scoring!$C$32,IF(D570="Past 30-yr mark (verify)",Scoring!$C$33,IF(OR(D570="Credit period",D570="Superseded record"),Scoring!$C$35,Scoring!$C$34)))))</f>
        <v>4</v>
      </c>
      <c r="AF570" s="22" t="n">
        <f aca="false">IF(T570="Y",0,IF(ISNUMBER(V570),IF(Scoring!$B$4-V570&gt;15,Scoring!$C$36,IF(Scoring!$B$4-V570&gt;=10,Scoring!$C$37,IF(Scoring!$B$4-V570&gt;=5,Scoring!$C$38,Scoring!$C$39))),IF(OR(N570="",D570="Out of program"),Scoring!$C$40,IF(O570&gt;15,Scoring!$C$36,IF(O570&gt;=10,Scoring!$C$37,IF(O570&gt;=5,Scoring!$C$38,Scoring!$C$39))))))</f>
        <v>8</v>
      </c>
      <c r="AG570" s="22" t="n">
        <f aca="false">IF(T570="Y",0,IF(Y570="Y",Scoring!$C$41,IF(ISNUMBER(O570),IF(O570&gt;=25,Scoring!$C$42,IF(O570&gt;=15,Scoring!$C$43,Scoring!$C$44)),Scoring!$C$44)))</f>
        <v>8</v>
      </c>
      <c r="AH570" s="22" t="n">
        <f aca="false">IF(T570="Y",0,IF(W570="",Scoring!$C$49,IFERROR(VLOOKUP(W570,Scoring!$B$45:$C$48,2,FALSE()),Scoring!$C$49)))</f>
        <v>5</v>
      </c>
      <c r="AI570" s="23" t="n">
        <f aca="false">C570+IF(ISNUMBER(J570),J570,0)/100000+(10000-ROW())/1000000000</f>
        <v>45.00001943</v>
      </c>
      <c r="AJ570" s="18"/>
      <c r="AK570" s="18"/>
      <c r="AL570" s="18"/>
      <c r="AM570" s="18"/>
    </row>
    <row r="571" customFormat="false" ht="15" hidden="false" customHeight="false" outlineLevel="0" collapsed="false">
      <c r="A571" s="15" t="n">
        <f aca="false">RANK(AI571,$AI$2:$AI$755)</f>
        <v>570</v>
      </c>
      <c r="B571" s="16" t="str">
        <f aca="false">IF(T571="Y","Superseded",IF(C571&gt;=Scoring!$B$16,"Immediate",IF(C571&gt;=Scoring!$B$17,"This week",IF(C571&gt;=Scoring!$B$18,"Nurture","Low"))))</f>
        <v>Nurture</v>
      </c>
      <c r="C571" s="3" t="n">
        <f aca="false">SUM(AC571:AH571)</f>
        <v>45</v>
      </c>
      <c r="D571" s="15" t="str">
        <f aca="false">IF(T571="Y","Superseded record",IF(AND(U571&lt;&gt;"",AA571&lt;0),"Expired (verified)",IF(AND(U571&lt;&gt;"",AA571&lt;=Scoring!$B$5),"Expiring: notice window (verified)",IF(AND(U571&lt;&gt;"",AA571&lt;=Scoring!$B$6),"Expiring: 10-yr horizon (verified)",IF(M571="No Longer Monitored","Out of program",IF(N571="","Unknown vintage",IF(N571&lt;Scoring!$B$12,"Pre-1990, still listed",IF(AND(U571="",AA571&lt;0),"Past 30-yr mark (verify)",IF(AND(U571="",AA571&lt;=Scoring!$B$5),"30-yr mark: notice window (est.)",IF(AND(O571&gt;=Scoring!$B$7,O571&lt;=Scoring!$B$8),"Year-15 window",IF(O571&gt;=Scoring!$B$9,"Recap window",IF(O571&gt;=11,"Late compliance","Credit period"))))))))))))</f>
        <v>Out of program</v>
      </c>
      <c r="E571" s="15" t="s">
        <v>2027</v>
      </c>
      <c r="F571" s="15" t="s">
        <v>2028</v>
      </c>
      <c r="G571" s="15" t="s">
        <v>2029</v>
      </c>
      <c r="H571" s="15" t="s">
        <v>97</v>
      </c>
      <c r="I571" s="15" t="s">
        <v>863</v>
      </c>
      <c r="J571" s="15" t="n">
        <v>1</v>
      </c>
      <c r="K571" s="15" t="n">
        <v>1</v>
      </c>
      <c r="L571" s="15" t="n">
        <f aca="false">IF(OR(J571="",K571=""),"",MAX(J571-K571,0))</f>
        <v>0</v>
      </c>
      <c r="M571" s="15" t="s">
        <v>1757</v>
      </c>
      <c r="N571" s="17" t="n">
        <v>1989</v>
      </c>
      <c r="O571" s="15" t="n">
        <f aca="false">IF(N571="","",Scoring!$B$4-N571)</f>
        <v>37</v>
      </c>
      <c r="P571" s="15" t="n">
        <f aca="false">IF(N571="","",N571+14)</f>
        <v>2003</v>
      </c>
      <c r="Q571" s="15" t="str">
        <f aca="false">IF(N571="","",IF(N571&lt;Scoring!$B$12,"n/a (pre-1990)",N571+Scoring!$B$13))</f>
        <v>n/a (pre-1990)</v>
      </c>
      <c r="R571" s="15" t="str">
        <f aca="false">IF(J571="","Unknown",IF(J571&gt;=5,"Yes","No (under 5 units)"))</f>
        <v>No (under 5 units)</v>
      </c>
      <c r="S571" s="15"/>
      <c r="T571" s="18"/>
      <c r="U571" s="19"/>
      <c r="V571" s="18"/>
      <c r="W571" s="18"/>
      <c r="X571" s="20"/>
      <c r="Y571" s="18"/>
      <c r="Z571" s="18"/>
      <c r="AA571" s="21" t="str">
        <f aca="false">IF(U571&lt;&gt;"",(U571-Scoring!$B$3)/365.25,IF(N571="","",IF(N571&lt;Scoring!$B$12,"",(DATE(N571+Scoring!$B$13,12,31)-Scoring!$B$3)/365.25)))</f>
        <v/>
      </c>
      <c r="AB571" s="22" t="n">
        <f aca="false">IF(T571="Y",0,IF(OR(D571="Expired (verified)",D571="Expiring: notice window (verified)",D571="Expiring: 10-yr horizon (verified)",D571="Past 30-yr mark (verify)",D571="30-yr mark: notice window (est.)",D571="Year-15 window"),1,0)+IF(ISNUMBER(O571),IF(O571&gt;=Scoring!$B$10,1,0),0)+IF(AND(ISNUMBER(L571),ISNUMBER(J571)),IF(J571&gt;0,IF(L571/J571&gt;=Scoring!$B$11,1,0),0),0)+IF(ISNUMBER(Z571),MIN(Z571,3),0))</f>
        <v>1</v>
      </c>
      <c r="AC571" s="22" t="n">
        <f aca="false">IF(AB571&gt;=3,Scoring!$C$24,IF(AB571=2,Scoring!$C$23,IF(AB571=1,Scoring!$C$22,0)))</f>
        <v>10</v>
      </c>
      <c r="AD571" s="22" t="n">
        <f aca="false">IF(T571="Y",0,IF(ISNUMBER(X571),IF(X571&gt;0.7,Scoring!$C$25,IF(X571&gt;=0.5,Scoring!$C$26,IF(X571&gt;=0.3,Scoring!$C$27,Scoring!$C$28))),Scoring!$C$29))</f>
        <v>10</v>
      </c>
      <c r="AE571" s="22" t="n">
        <f aca="false">IF(D571="Expiring: notice window (verified)",Scoring!$C$30,IF(OR(D571="Expired (verified)",D571="30-yr mark: notice window (est.)",D571="Year-15 window"),Scoring!$C$31,IF(D571="Expiring: 10-yr horizon (verified)",Scoring!$C$32,IF(D571="Past 30-yr mark (verify)",Scoring!$C$33,IF(OR(D571="Credit period",D571="Superseded record"),Scoring!$C$35,Scoring!$C$34)))))</f>
        <v>4</v>
      </c>
      <c r="AF571" s="22" t="n">
        <f aca="false">IF(T571="Y",0,IF(ISNUMBER(V571),IF(Scoring!$B$4-V571&gt;15,Scoring!$C$36,IF(Scoring!$B$4-V571&gt;=10,Scoring!$C$37,IF(Scoring!$B$4-V571&gt;=5,Scoring!$C$38,Scoring!$C$39))),IF(OR(N571="",D571="Out of program"),Scoring!$C$40,IF(O571&gt;15,Scoring!$C$36,IF(O571&gt;=10,Scoring!$C$37,IF(O571&gt;=5,Scoring!$C$38,Scoring!$C$39))))))</f>
        <v>8</v>
      </c>
      <c r="AG571" s="22" t="n">
        <f aca="false">IF(T571="Y",0,IF(Y571="Y",Scoring!$C$41,IF(ISNUMBER(O571),IF(O571&gt;=25,Scoring!$C$42,IF(O571&gt;=15,Scoring!$C$43,Scoring!$C$44)),Scoring!$C$44)))</f>
        <v>8</v>
      </c>
      <c r="AH571" s="22" t="n">
        <f aca="false">IF(T571="Y",0,IF(W571="",Scoring!$C$49,IFERROR(VLOOKUP(W571,Scoring!$B$45:$C$48,2,FALSE()),Scoring!$C$49)))</f>
        <v>5</v>
      </c>
      <c r="AI571" s="23" t="n">
        <f aca="false">C571+IF(ISNUMBER(J571),J571,0)/100000+(10000-ROW())/1000000000</f>
        <v>45.000019429</v>
      </c>
      <c r="AJ571" s="18"/>
      <c r="AK571" s="18"/>
      <c r="AL571" s="18"/>
      <c r="AM571" s="18"/>
    </row>
    <row r="572" customFormat="false" ht="15" hidden="false" customHeight="false" outlineLevel="0" collapsed="false">
      <c r="A572" s="15" t="n">
        <f aca="false">RANK(AI572,$AI$2:$AI$755)</f>
        <v>571</v>
      </c>
      <c r="B572" s="16" t="str">
        <f aca="false">IF(T572="Y","Superseded",IF(C572&gt;=Scoring!$B$16,"Immediate",IF(C572&gt;=Scoring!$B$17,"This week",IF(C572&gt;=Scoring!$B$18,"Nurture","Low"))))</f>
        <v>Nurture</v>
      </c>
      <c r="C572" s="3" t="n">
        <f aca="false">SUM(AC572:AH572)</f>
        <v>45</v>
      </c>
      <c r="D572" s="15" t="str">
        <f aca="false">IF(T572="Y","Superseded record",IF(AND(U572&lt;&gt;"",AA572&lt;0),"Expired (verified)",IF(AND(U572&lt;&gt;"",AA572&lt;=Scoring!$B$5),"Expiring: notice window (verified)",IF(AND(U572&lt;&gt;"",AA572&lt;=Scoring!$B$6),"Expiring: 10-yr horizon (verified)",IF(M572="No Longer Monitored","Out of program",IF(N572="","Unknown vintage",IF(N572&lt;Scoring!$B$12,"Pre-1990, still listed",IF(AND(U572="",AA572&lt;0),"Past 30-yr mark (verify)",IF(AND(U572="",AA572&lt;=Scoring!$B$5),"30-yr mark: notice window (est.)",IF(AND(O572&gt;=Scoring!$B$7,O572&lt;=Scoring!$B$8),"Year-15 window",IF(O572&gt;=Scoring!$B$9,"Recap window",IF(O572&gt;=11,"Late compliance","Credit period"))))))))))))</f>
        <v>Out of program</v>
      </c>
      <c r="E572" s="15" t="s">
        <v>2030</v>
      </c>
      <c r="F572" s="15" t="s">
        <v>1405</v>
      </c>
      <c r="G572" s="15" t="s">
        <v>2031</v>
      </c>
      <c r="H572" s="15" t="s">
        <v>2032</v>
      </c>
      <c r="I572" s="15" t="s">
        <v>2033</v>
      </c>
      <c r="J572" s="15" t="n">
        <v>1</v>
      </c>
      <c r="K572" s="15" t="n">
        <v>1</v>
      </c>
      <c r="L572" s="15" t="n">
        <f aca="false">IF(OR(J572="",K572=""),"",MAX(J572-K572,0))</f>
        <v>0</v>
      </c>
      <c r="M572" s="15" t="s">
        <v>1757</v>
      </c>
      <c r="N572" s="17" t="n">
        <v>1989</v>
      </c>
      <c r="O572" s="15" t="n">
        <f aca="false">IF(N572="","",Scoring!$B$4-N572)</f>
        <v>37</v>
      </c>
      <c r="P572" s="15" t="n">
        <f aca="false">IF(N572="","",N572+14)</f>
        <v>2003</v>
      </c>
      <c r="Q572" s="15" t="str">
        <f aca="false">IF(N572="","",IF(N572&lt;Scoring!$B$12,"n/a (pre-1990)",N572+Scoring!$B$13))</f>
        <v>n/a (pre-1990)</v>
      </c>
      <c r="R572" s="15" t="str">
        <f aca="false">IF(J572="","Unknown",IF(J572&gt;=5,"Yes","No (under 5 units)"))</f>
        <v>No (under 5 units)</v>
      </c>
      <c r="S572" s="15"/>
      <c r="T572" s="18"/>
      <c r="U572" s="19"/>
      <c r="V572" s="18"/>
      <c r="W572" s="18"/>
      <c r="X572" s="20"/>
      <c r="Y572" s="18"/>
      <c r="Z572" s="18"/>
      <c r="AA572" s="21" t="str">
        <f aca="false">IF(U572&lt;&gt;"",(U572-Scoring!$B$3)/365.25,IF(N572="","",IF(N572&lt;Scoring!$B$12,"",(DATE(N572+Scoring!$B$13,12,31)-Scoring!$B$3)/365.25)))</f>
        <v/>
      </c>
      <c r="AB572" s="22" t="n">
        <f aca="false">IF(T572="Y",0,IF(OR(D572="Expired (verified)",D572="Expiring: notice window (verified)",D572="Expiring: 10-yr horizon (verified)",D572="Past 30-yr mark (verify)",D572="30-yr mark: notice window (est.)",D572="Year-15 window"),1,0)+IF(ISNUMBER(O572),IF(O572&gt;=Scoring!$B$10,1,0),0)+IF(AND(ISNUMBER(L572),ISNUMBER(J572)),IF(J572&gt;0,IF(L572/J572&gt;=Scoring!$B$11,1,0),0),0)+IF(ISNUMBER(Z572),MIN(Z572,3),0))</f>
        <v>1</v>
      </c>
      <c r="AC572" s="22" t="n">
        <f aca="false">IF(AB572&gt;=3,Scoring!$C$24,IF(AB572=2,Scoring!$C$23,IF(AB572=1,Scoring!$C$22,0)))</f>
        <v>10</v>
      </c>
      <c r="AD572" s="22" t="n">
        <f aca="false">IF(T572="Y",0,IF(ISNUMBER(X572),IF(X572&gt;0.7,Scoring!$C$25,IF(X572&gt;=0.5,Scoring!$C$26,IF(X572&gt;=0.3,Scoring!$C$27,Scoring!$C$28))),Scoring!$C$29))</f>
        <v>10</v>
      </c>
      <c r="AE572" s="22" t="n">
        <f aca="false">IF(D572="Expiring: notice window (verified)",Scoring!$C$30,IF(OR(D572="Expired (verified)",D572="30-yr mark: notice window (est.)",D572="Year-15 window"),Scoring!$C$31,IF(D572="Expiring: 10-yr horizon (verified)",Scoring!$C$32,IF(D572="Past 30-yr mark (verify)",Scoring!$C$33,IF(OR(D572="Credit period",D572="Superseded record"),Scoring!$C$35,Scoring!$C$34)))))</f>
        <v>4</v>
      </c>
      <c r="AF572" s="22" t="n">
        <f aca="false">IF(T572="Y",0,IF(ISNUMBER(V572),IF(Scoring!$B$4-V572&gt;15,Scoring!$C$36,IF(Scoring!$B$4-V572&gt;=10,Scoring!$C$37,IF(Scoring!$B$4-V572&gt;=5,Scoring!$C$38,Scoring!$C$39))),IF(OR(N572="",D572="Out of program"),Scoring!$C$40,IF(O572&gt;15,Scoring!$C$36,IF(O572&gt;=10,Scoring!$C$37,IF(O572&gt;=5,Scoring!$C$38,Scoring!$C$39))))))</f>
        <v>8</v>
      </c>
      <c r="AG572" s="22" t="n">
        <f aca="false">IF(T572="Y",0,IF(Y572="Y",Scoring!$C$41,IF(ISNUMBER(O572),IF(O572&gt;=25,Scoring!$C$42,IF(O572&gt;=15,Scoring!$C$43,Scoring!$C$44)),Scoring!$C$44)))</f>
        <v>8</v>
      </c>
      <c r="AH572" s="22" t="n">
        <f aca="false">IF(T572="Y",0,IF(W572="",Scoring!$C$49,IFERROR(VLOOKUP(W572,Scoring!$B$45:$C$48,2,FALSE()),Scoring!$C$49)))</f>
        <v>5</v>
      </c>
      <c r="AI572" s="23" t="n">
        <f aca="false">C572+IF(ISNUMBER(J572),J572,0)/100000+(10000-ROW())/1000000000</f>
        <v>45.000019428</v>
      </c>
      <c r="AJ572" s="18"/>
      <c r="AK572" s="18"/>
      <c r="AL572" s="18"/>
      <c r="AM572" s="18"/>
    </row>
    <row r="573" customFormat="false" ht="15" hidden="false" customHeight="false" outlineLevel="0" collapsed="false">
      <c r="A573" s="15" t="n">
        <f aca="false">RANK(AI573,$AI$2:$AI$755)</f>
        <v>572</v>
      </c>
      <c r="B573" s="16" t="str">
        <f aca="false">IF(T573="Y","Superseded",IF(C573&gt;=Scoring!$B$16,"Immediate",IF(C573&gt;=Scoring!$B$17,"This week",IF(C573&gt;=Scoring!$B$18,"Nurture","Low"))))</f>
        <v>Nurture</v>
      </c>
      <c r="C573" s="3" t="n">
        <f aca="false">SUM(AC573:AH573)</f>
        <v>45</v>
      </c>
      <c r="D573" s="15" t="str">
        <f aca="false">IF(T573="Y","Superseded record",IF(AND(U573&lt;&gt;"",AA573&lt;0),"Expired (verified)",IF(AND(U573&lt;&gt;"",AA573&lt;=Scoring!$B$5),"Expiring: notice window (verified)",IF(AND(U573&lt;&gt;"",AA573&lt;=Scoring!$B$6),"Expiring: 10-yr horizon (verified)",IF(M573="No Longer Monitored","Out of program",IF(N573="","Unknown vintage",IF(N573&lt;Scoring!$B$12,"Pre-1990, still listed",IF(AND(U573="",AA573&lt;0),"Past 30-yr mark (verify)",IF(AND(U573="",AA573&lt;=Scoring!$B$5),"30-yr mark: notice window (est.)",IF(AND(O573&gt;=Scoring!$B$7,O573&lt;=Scoring!$B$8),"Year-15 window",IF(O573&gt;=Scoring!$B$9,"Recap window",IF(O573&gt;=11,"Late compliance","Credit period"))))))))))))</f>
        <v>Out of program</v>
      </c>
      <c r="E573" s="15" t="s">
        <v>2034</v>
      </c>
      <c r="F573" s="15" t="s">
        <v>1405</v>
      </c>
      <c r="G573" s="15" t="s">
        <v>2035</v>
      </c>
      <c r="H573" s="15" t="s">
        <v>97</v>
      </c>
      <c r="I573" s="15" t="s">
        <v>863</v>
      </c>
      <c r="J573" s="15" t="n">
        <v>1</v>
      </c>
      <c r="K573" s="15" t="n">
        <v>1</v>
      </c>
      <c r="L573" s="15" t="n">
        <f aca="false">IF(OR(J573="",K573=""),"",MAX(J573-K573,0))</f>
        <v>0</v>
      </c>
      <c r="M573" s="15" t="s">
        <v>1757</v>
      </c>
      <c r="N573" s="17" t="n">
        <v>1989</v>
      </c>
      <c r="O573" s="15" t="n">
        <f aca="false">IF(N573="","",Scoring!$B$4-N573)</f>
        <v>37</v>
      </c>
      <c r="P573" s="15" t="n">
        <f aca="false">IF(N573="","",N573+14)</f>
        <v>2003</v>
      </c>
      <c r="Q573" s="15" t="str">
        <f aca="false">IF(N573="","",IF(N573&lt;Scoring!$B$12,"n/a (pre-1990)",N573+Scoring!$B$13))</f>
        <v>n/a (pre-1990)</v>
      </c>
      <c r="R573" s="15" t="str">
        <f aca="false">IF(J573="","Unknown",IF(J573&gt;=5,"Yes","No (under 5 units)"))</f>
        <v>No (under 5 units)</v>
      </c>
      <c r="S573" s="15"/>
      <c r="T573" s="18"/>
      <c r="U573" s="19"/>
      <c r="V573" s="18"/>
      <c r="W573" s="18"/>
      <c r="X573" s="20"/>
      <c r="Y573" s="18"/>
      <c r="Z573" s="18"/>
      <c r="AA573" s="21" t="str">
        <f aca="false">IF(U573&lt;&gt;"",(U573-Scoring!$B$3)/365.25,IF(N573="","",IF(N573&lt;Scoring!$B$12,"",(DATE(N573+Scoring!$B$13,12,31)-Scoring!$B$3)/365.25)))</f>
        <v/>
      </c>
      <c r="AB573" s="22" t="n">
        <f aca="false">IF(T573="Y",0,IF(OR(D573="Expired (verified)",D573="Expiring: notice window (verified)",D573="Expiring: 10-yr horizon (verified)",D573="Past 30-yr mark (verify)",D573="30-yr mark: notice window (est.)",D573="Year-15 window"),1,0)+IF(ISNUMBER(O573),IF(O573&gt;=Scoring!$B$10,1,0),0)+IF(AND(ISNUMBER(L573),ISNUMBER(J573)),IF(J573&gt;0,IF(L573/J573&gt;=Scoring!$B$11,1,0),0),0)+IF(ISNUMBER(Z573),MIN(Z573,3),0))</f>
        <v>1</v>
      </c>
      <c r="AC573" s="22" t="n">
        <f aca="false">IF(AB573&gt;=3,Scoring!$C$24,IF(AB573=2,Scoring!$C$23,IF(AB573=1,Scoring!$C$22,0)))</f>
        <v>10</v>
      </c>
      <c r="AD573" s="22" t="n">
        <f aca="false">IF(T573="Y",0,IF(ISNUMBER(X573),IF(X573&gt;0.7,Scoring!$C$25,IF(X573&gt;=0.5,Scoring!$C$26,IF(X573&gt;=0.3,Scoring!$C$27,Scoring!$C$28))),Scoring!$C$29))</f>
        <v>10</v>
      </c>
      <c r="AE573" s="22" t="n">
        <f aca="false">IF(D573="Expiring: notice window (verified)",Scoring!$C$30,IF(OR(D573="Expired (verified)",D573="30-yr mark: notice window (est.)",D573="Year-15 window"),Scoring!$C$31,IF(D573="Expiring: 10-yr horizon (verified)",Scoring!$C$32,IF(D573="Past 30-yr mark (verify)",Scoring!$C$33,IF(OR(D573="Credit period",D573="Superseded record"),Scoring!$C$35,Scoring!$C$34)))))</f>
        <v>4</v>
      </c>
      <c r="AF573" s="22" t="n">
        <f aca="false">IF(T573="Y",0,IF(ISNUMBER(V573),IF(Scoring!$B$4-V573&gt;15,Scoring!$C$36,IF(Scoring!$B$4-V573&gt;=10,Scoring!$C$37,IF(Scoring!$B$4-V573&gt;=5,Scoring!$C$38,Scoring!$C$39))),IF(OR(N573="",D573="Out of program"),Scoring!$C$40,IF(O573&gt;15,Scoring!$C$36,IF(O573&gt;=10,Scoring!$C$37,IF(O573&gt;=5,Scoring!$C$38,Scoring!$C$39))))))</f>
        <v>8</v>
      </c>
      <c r="AG573" s="22" t="n">
        <f aca="false">IF(T573="Y",0,IF(Y573="Y",Scoring!$C$41,IF(ISNUMBER(O573),IF(O573&gt;=25,Scoring!$C$42,IF(O573&gt;=15,Scoring!$C$43,Scoring!$C$44)),Scoring!$C$44)))</f>
        <v>8</v>
      </c>
      <c r="AH573" s="22" t="n">
        <f aca="false">IF(T573="Y",0,IF(W573="",Scoring!$C$49,IFERROR(VLOOKUP(W573,Scoring!$B$45:$C$48,2,FALSE()),Scoring!$C$49)))</f>
        <v>5</v>
      </c>
      <c r="AI573" s="23" t="n">
        <f aca="false">C573+IF(ISNUMBER(J573),J573,0)/100000+(10000-ROW())/1000000000</f>
        <v>45.000019427</v>
      </c>
      <c r="AJ573" s="18"/>
      <c r="AK573" s="18"/>
      <c r="AL573" s="18"/>
      <c r="AM573" s="18"/>
    </row>
    <row r="574" customFormat="false" ht="15" hidden="false" customHeight="false" outlineLevel="0" collapsed="false">
      <c r="A574" s="15" t="n">
        <f aca="false">RANK(AI574,$AI$2:$AI$755)</f>
        <v>573</v>
      </c>
      <c r="B574" s="16" t="str">
        <f aca="false">IF(T574="Y","Superseded",IF(C574&gt;=Scoring!$B$16,"Immediate",IF(C574&gt;=Scoring!$B$17,"This week",IF(C574&gt;=Scoring!$B$18,"Nurture","Low"))))</f>
        <v>Nurture</v>
      </c>
      <c r="C574" s="3" t="n">
        <f aca="false">SUM(AC574:AH574)</f>
        <v>45</v>
      </c>
      <c r="D574" s="15" t="str">
        <f aca="false">IF(T574="Y","Superseded record",IF(AND(U574&lt;&gt;"",AA574&lt;0),"Expired (verified)",IF(AND(U574&lt;&gt;"",AA574&lt;=Scoring!$B$5),"Expiring: notice window (verified)",IF(AND(U574&lt;&gt;"",AA574&lt;=Scoring!$B$6),"Expiring: 10-yr horizon (verified)",IF(M574="No Longer Monitored","Out of program",IF(N574="","Unknown vintage",IF(N574&lt;Scoring!$B$12,"Pre-1990, still listed",IF(AND(U574="",AA574&lt;0),"Past 30-yr mark (verify)",IF(AND(U574="",AA574&lt;=Scoring!$B$5),"30-yr mark: notice window (est.)",IF(AND(O574&gt;=Scoring!$B$7,O574&lt;=Scoring!$B$8),"Year-15 window",IF(O574&gt;=Scoring!$B$9,"Recap window",IF(O574&gt;=11,"Late compliance","Credit period"))))))))))))</f>
        <v>Out of program</v>
      </c>
      <c r="E574" s="15" t="s">
        <v>2036</v>
      </c>
      <c r="F574" s="15" t="s">
        <v>2037</v>
      </c>
      <c r="G574" s="15" t="s">
        <v>2038</v>
      </c>
      <c r="H574" s="15" t="s">
        <v>536</v>
      </c>
      <c r="I574" s="15" t="s">
        <v>537</v>
      </c>
      <c r="J574" s="15" t="n">
        <v>1</v>
      </c>
      <c r="K574" s="15" t="n">
        <v>1</v>
      </c>
      <c r="L574" s="15" t="n">
        <f aca="false">IF(OR(J574="",K574=""),"",MAX(J574-K574,0))</f>
        <v>0</v>
      </c>
      <c r="M574" s="15" t="s">
        <v>1757</v>
      </c>
      <c r="N574" s="17" t="n">
        <v>1989</v>
      </c>
      <c r="O574" s="15" t="n">
        <f aca="false">IF(N574="","",Scoring!$B$4-N574)</f>
        <v>37</v>
      </c>
      <c r="P574" s="15" t="n">
        <f aca="false">IF(N574="","",N574+14)</f>
        <v>2003</v>
      </c>
      <c r="Q574" s="15" t="str">
        <f aca="false">IF(N574="","",IF(N574&lt;Scoring!$B$12,"n/a (pre-1990)",N574+Scoring!$B$13))</f>
        <v>n/a (pre-1990)</v>
      </c>
      <c r="R574" s="15" t="str">
        <f aca="false">IF(J574="","Unknown",IF(J574&gt;=5,"Yes","No (under 5 units)"))</f>
        <v>No (under 5 units)</v>
      </c>
      <c r="S574" s="15"/>
      <c r="T574" s="18"/>
      <c r="U574" s="19"/>
      <c r="V574" s="18"/>
      <c r="W574" s="18"/>
      <c r="X574" s="20"/>
      <c r="Y574" s="18"/>
      <c r="Z574" s="18"/>
      <c r="AA574" s="21" t="str">
        <f aca="false">IF(U574&lt;&gt;"",(U574-Scoring!$B$3)/365.25,IF(N574="","",IF(N574&lt;Scoring!$B$12,"",(DATE(N574+Scoring!$B$13,12,31)-Scoring!$B$3)/365.25)))</f>
        <v/>
      </c>
      <c r="AB574" s="22" t="n">
        <f aca="false">IF(T574="Y",0,IF(OR(D574="Expired (verified)",D574="Expiring: notice window (verified)",D574="Expiring: 10-yr horizon (verified)",D574="Past 30-yr mark (verify)",D574="30-yr mark: notice window (est.)",D574="Year-15 window"),1,0)+IF(ISNUMBER(O574),IF(O574&gt;=Scoring!$B$10,1,0),0)+IF(AND(ISNUMBER(L574),ISNUMBER(J574)),IF(J574&gt;0,IF(L574/J574&gt;=Scoring!$B$11,1,0),0),0)+IF(ISNUMBER(Z574),MIN(Z574,3),0))</f>
        <v>1</v>
      </c>
      <c r="AC574" s="22" t="n">
        <f aca="false">IF(AB574&gt;=3,Scoring!$C$24,IF(AB574=2,Scoring!$C$23,IF(AB574=1,Scoring!$C$22,0)))</f>
        <v>10</v>
      </c>
      <c r="AD574" s="22" t="n">
        <f aca="false">IF(T574="Y",0,IF(ISNUMBER(X574),IF(X574&gt;0.7,Scoring!$C$25,IF(X574&gt;=0.5,Scoring!$C$26,IF(X574&gt;=0.3,Scoring!$C$27,Scoring!$C$28))),Scoring!$C$29))</f>
        <v>10</v>
      </c>
      <c r="AE574" s="22" t="n">
        <f aca="false">IF(D574="Expiring: notice window (verified)",Scoring!$C$30,IF(OR(D574="Expired (verified)",D574="30-yr mark: notice window (est.)",D574="Year-15 window"),Scoring!$C$31,IF(D574="Expiring: 10-yr horizon (verified)",Scoring!$C$32,IF(D574="Past 30-yr mark (verify)",Scoring!$C$33,IF(OR(D574="Credit period",D574="Superseded record"),Scoring!$C$35,Scoring!$C$34)))))</f>
        <v>4</v>
      </c>
      <c r="AF574" s="22" t="n">
        <f aca="false">IF(T574="Y",0,IF(ISNUMBER(V574),IF(Scoring!$B$4-V574&gt;15,Scoring!$C$36,IF(Scoring!$B$4-V574&gt;=10,Scoring!$C$37,IF(Scoring!$B$4-V574&gt;=5,Scoring!$C$38,Scoring!$C$39))),IF(OR(N574="",D574="Out of program"),Scoring!$C$40,IF(O574&gt;15,Scoring!$C$36,IF(O574&gt;=10,Scoring!$C$37,IF(O574&gt;=5,Scoring!$C$38,Scoring!$C$39))))))</f>
        <v>8</v>
      </c>
      <c r="AG574" s="22" t="n">
        <f aca="false">IF(T574="Y",0,IF(Y574="Y",Scoring!$C$41,IF(ISNUMBER(O574),IF(O574&gt;=25,Scoring!$C$42,IF(O574&gt;=15,Scoring!$C$43,Scoring!$C$44)),Scoring!$C$44)))</f>
        <v>8</v>
      </c>
      <c r="AH574" s="22" t="n">
        <f aca="false">IF(T574="Y",0,IF(W574="",Scoring!$C$49,IFERROR(VLOOKUP(W574,Scoring!$B$45:$C$48,2,FALSE()),Scoring!$C$49)))</f>
        <v>5</v>
      </c>
      <c r="AI574" s="23" t="n">
        <f aca="false">C574+IF(ISNUMBER(J574),J574,0)/100000+(10000-ROW())/1000000000</f>
        <v>45.000019426</v>
      </c>
      <c r="AJ574" s="18"/>
      <c r="AK574" s="18"/>
      <c r="AL574" s="18"/>
      <c r="AM574" s="18"/>
    </row>
    <row r="575" customFormat="false" ht="15" hidden="false" customHeight="false" outlineLevel="0" collapsed="false">
      <c r="A575" s="15" t="n">
        <f aca="false">RANK(AI575,$AI$2:$AI$755)</f>
        <v>574</v>
      </c>
      <c r="B575" s="16" t="str">
        <f aca="false">IF(T575="Y","Superseded",IF(C575&gt;=Scoring!$B$16,"Immediate",IF(C575&gt;=Scoring!$B$17,"This week",IF(C575&gt;=Scoring!$B$18,"Nurture","Low"))))</f>
        <v>Nurture</v>
      </c>
      <c r="C575" s="3" t="n">
        <f aca="false">SUM(AC575:AH575)</f>
        <v>45</v>
      </c>
      <c r="D575" s="15" t="str">
        <f aca="false">IF(T575="Y","Superseded record",IF(AND(U575&lt;&gt;"",AA575&lt;0),"Expired (verified)",IF(AND(U575&lt;&gt;"",AA575&lt;=Scoring!$B$5),"Expiring: notice window (verified)",IF(AND(U575&lt;&gt;"",AA575&lt;=Scoring!$B$6),"Expiring: 10-yr horizon (verified)",IF(M575="No Longer Monitored","Out of program",IF(N575="","Unknown vintage",IF(N575&lt;Scoring!$B$12,"Pre-1990, still listed",IF(AND(U575="",AA575&lt;0),"Past 30-yr mark (verify)",IF(AND(U575="",AA575&lt;=Scoring!$B$5),"30-yr mark: notice window (est.)",IF(AND(O575&gt;=Scoring!$B$7,O575&lt;=Scoring!$B$8),"Year-15 window",IF(O575&gt;=Scoring!$B$9,"Recap window",IF(O575&gt;=11,"Late compliance","Credit period"))))))))))))</f>
        <v>Out of program</v>
      </c>
      <c r="E575" s="15" t="s">
        <v>2039</v>
      </c>
      <c r="F575" s="15" t="s">
        <v>1405</v>
      </c>
      <c r="G575" s="15" t="s">
        <v>2040</v>
      </c>
      <c r="H575" s="15" t="s">
        <v>353</v>
      </c>
      <c r="I575" s="15" t="s">
        <v>354</v>
      </c>
      <c r="J575" s="15" t="n">
        <v>1</v>
      </c>
      <c r="K575" s="15" t="n">
        <v>1</v>
      </c>
      <c r="L575" s="15" t="n">
        <f aca="false">IF(OR(J575="",K575=""),"",MAX(J575-K575,0))</f>
        <v>0</v>
      </c>
      <c r="M575" s="15" t="s">
        <v>1757</v>
      </c>
      <c r="N575" s="17" t="n">
        <v>1990</v>
      </c>
      <c r="O575" s="15" t="n">
        <f aca="false">IF(N575="","",Scoring!$B$4-N575)</f>
        <v>36</v>
      </c>
      <c r="P575" s="15" t="n">
        <f aca="false">IF(N575="","",N575+14)</f>
        <v>2004</v>
      </c>
      <c r="Q575" s="15" t="n">
        <f aca="false">IF(N575="","",IF(N575&lt;Scoring!$B$12,"n/a (pre-1990)",N575+Scoring!$B$13))</f>
        <v>2019</v>
      </c>
      <c r="R575" s="15" t="str">
        <f aca="false">IF(J575="","Unknown",IF(J575&gt;=5,"Yes","No (under 5 units)"))</f>
        <v>No (under 5 units)</v>
      </c>
      <c r="S575" s="15"/>
      <c r="T575" s="18"/>
      <c r="U575" s="19"/>
      <c r="V575" s="18"/>
      <c r="W575" s="18"/>
      <c r="X575" s="20"/>
      <c r="Y575" s="18"/>
      <c r="Z575" s="18"/>
      <c r="AA575" s="21" t="n">
        <f aca="false">IF(U575&lt;&gt;"",(U575-Scoring!$B$3)/365.25,IF(N575="","",IF(N575&lt;Scoring!$B$12,"",(DATE(N575+Scoring!$B$13,12,31)-Scoring!$B$3)/365.25)))</f>
        <v>-6.75427789185489</v>
      </c>
      <c r="AB575" s="22" t="n">
        <f aca="false">IF(T575="Y",0,IF(OR(D575="Expired (verified)",D575="Expiring: notice window (verified)",D575="Expiring: 10-yr horizon (verified)",D575="Past 30-yr mark (verify)",D575="30-yr mark: notice window (est.)",D575="Year-15 window"),1,0)+IF(ISNUMBER(O575),IF(O575&gt;=Scoring!$B$10,1,0),0)+IF(AND(ISNUMBER(L575),ISNUMBER(J575)),IF(J575&gt;0,IF(L575/J575&gt;=Scoring!$B$11,1,0),0),0)+IF(ISNUMBER(Z575),MIN(Z575,3),0))</f>
        <v>1</v>
      </c>
      <c r="AC575" s="22" t="n">
        <f aca="false">IF(AB575&gt;=3,Scoring!$C$24,IF(AB575=2,Scoring!$C$23,IF(AB575=1,Scoring!$C$22,0)))</f>
        <v>10</v>
      </c>
      <c r="AD575" s="22" t="n">
        <f aca="false">IF(T575="Y",0,IF(ISNUMBER(X575),IF(X575&gt;0.7,Scoring!$C$25,IF(X575&gt;=0.5,Scoring!$C$26,IF(X575&gt;=0.3,Scoring!$C$27,Scoring!$C$28))),Scoring!$C$29))</f>
        <v>10</v>
      </c>
      <c r="AE575" s="22" t="n">
        <f aca="false">IF(D575="Expiring: notice window (verified)",Scoring!$C$30,IF(OR(D575="Expired (verified)",D575="30-yr mark: notice window (est.)",D575="Year-15 window"),Scoring!$C$31,IF(D575="Expiring: 10-yr horizon (verified)",Scoring!$C$32,IF(D575="Past 30-yr mark (verify)",Scoring!$C$33,IF(OR(D575="Credit period",D575="Superseded record"),Scoring!$C$35,Scoring!$C$34)))))</f>
        <v>4</v>
      </c>
      <c r="AF575" s="22" t="n">
        <f aca="false">IF(T575="Y",0,IF(ISNUMBER(V575),IF(Scoring!$B$4-V575&gt;15,Scoring!$C$36,IF(Scoring!$B$4-V575&gt;=10,Scoring!$C$37,IF(Scoring!$B$4-V575&gt;=5,Scoring!$C$38,Scoring!$C$39))),IF(OR(N575="",D575="Out of program"),Scoring!$C$40,IF(O575&gt;15,Scoring!$C$36,IF(O575&gt;=10,Scoring!$C$37,IF(O575&gt;=5,Scoring!$C$38,Scoring!$C$39))))))</f>
        <v>8</v>
      </c>
      <c r="AG575" s="22" t="n">
        <f aca="false">IF(T575="Y",0,IF(Y575="Y",Scoring!$C$41,IF(ISNUMBER(O575),IF(O575&gt;=25,Scoring!$C$42,IF(O575&gt;=15,Scoring!$C$43,Scoring!$C$44)),Scoring!$C$44)))</f>
        <v>8</v>
      </c>
      <c r="AH575" s="22" t="n">
        <f aca="false">IF(T575="Y",0,IF(W575="",Scoring!$C$49,IFERROR(VLOOKUP(W575,Scoring!$B$45:$C$48,2,FALSE()),Scoring!$C$49)))</f>
        <v>5</v>
      </c>
      <c r="AI575" s="23" t="n">
        <f aca="false">C575+IF(ISNUMBER(J575),J575,0)/100000+(10000-ROW())/1000000000</f>
        <v>45.000019425</v>
      </c>
      <c r="AJ575" s="18"/>
      <c r="AK575" s="18"/>
      <c r="AL575" s="18"/>
      <c r="AM575" s="18"/>
    </row>
    <row r="576" customFormat="false" ht="15" hidden="false" customHeight="false" outlineLevel="0" collapsed="false">
      <c r="A576" s="15" t="n">
        <f aca="false">RANK(AI576,$AI$2:$AI$755)</f>
        <v>575</v>
      </c>
      <c r="B576" s="16" t="str">
        <f aca="false">IF(T576="Y","Superseded",IF(C576&gt;=Scoring!$B$16,"Immediate",IF(C576&gt;=Scoring!$B$17,"This week",IF(C576&gt;=Scoring!$B$18,"Nurture","Low"))))</f>
        <v>Nurture</v>
      </c>
      <c r="C576" s="3" t="n">
        <f aca="false">SUM(AC576:AH576)</f>
        <v>43</v>
      </c>
      <c r="D576" s="15" t="str">
        <f aca="false">IF(T576="Y","Superseded record",IF(AND(U576&lt;&gt;"",AA576&lt;0),"Expired (verified)",IF(AND(U576&lt;&gt;"",AA576&lt;=Scoring!$B$5),"Expiring: notice window (verified)",IF(AND(U576&lt;&gt;"",AA576&lt;=Scoring!$B$6),"Expiring: 10-yr horizon (verified)",IF(M576="No Longer Monitored","Out of program",IF(N576="","Unknown vintage",IF(N576&lt;Scoring!$B$12,"Pre-1990, still listed",IF(AND(U576="",AA576&lt;0),"Past 30-yr mark (verify)",IF(AND(U576="",AA576&lt;=Scoring!$B$5),"30-yr mark: notice window (est.)",IF(AND(O576&gt;=Scoring!$B$7,O576&lt;=Scoring!$B$8),"Year-15 window",IF(O576&gt;=Scoring!$B$9,"Recap window",IF(O576&gt;=11,"Late compliance","Credit period"))))))))))))</f>
        <v>Late compliance</v>
      </c>
      <c r="E576" s="15" t="s">
        <v>2041</v>
      </c>
      <c r="F576" s="15" t="s">
        <v>2042</v>
      </c>
      <c r="G576" s="15" t="s">
        <v>2043</v>
      </c>
      <c r="H576" s="15" t="s">
        <v>97</v>
      </c>
      <c r="I576" s="15" t="s">
        <v>160</v>
      </c>
      <c r="J576" s="15" t="n">
        <v>62</v>
      </c>
      <c r="K576" s="15" t="n">
        <v>52</v>
      </c>
      <c r="L576" s="15" t="n">
        <f aca="false">IF(OR(J576="",K576=""),"",MAX(J576-K576,0))</f>
        <v>10</v>
      </c>
      <c r="M576" s="15" t="s">
        <v>99</v>
      </c>
      <c r="N576" s="17" t="n">
        <v>2015</v>
      </c>
      <c r="O576" s="15" t="n">
        <f aca="false">IF(N576="","",Scoring!$B$4-N576)</f>
        <v>11</v>
      </c>
      <c r="P576" s="15" t="n">
        <f aca="false">IF(N576="","",N576+14)</f>
        <v>2029</v>
      </c>
      <c r="Q576" s="15" t="n">
        <f aca="false">IF(N576="","",IF(N576&lt;Scoring!$B$12,"n/a (pre-1990)",N576+Scoring!$B$13))</f>
        <v>2044</v>
      </c>
      <c r="R576" s="15" t="str">
        <f aca="false">IF(J576="","Unknown",IF(J576&gt;=5,"Yes","No (under 5 units)"))</f>
        <v>Yes</v>
      </c>
      <c r="S576" s="15"/>
      <c r="T576" s="18"/>
      <c r="U576" s="19"/>
      <c r="V576" s="18"/>
      <c r="W576" s="18"/>
      <c r="X576" s="20"/>
      <c r="Y576" s="18"/>
      <c r="Z576" s="18"/>
      <c r="AA576" s="21" t="n">
        <f aca="false">IF(U576&lt;&gt;"",(U576-Scoring!$B$3)/365.25,IF(N576="","",IF(N576&lt;Scoring!$B$12,"",(DATE(N576+Scoring!$B$13,12,31)-Scoring!$B$3)/365.25)))</f>
        <v>18.2477754962355</v>
      </c>
      <c r="AB576" s="22" t="n">
        <f aca="false">IF(T576="Y",0,IF(OR(D576="Expired (verified)",D576="Expiring: notice window (verified)",D576="Expiring: 10-yr horizon (verified)",D576="Past 30-yr mark (verify)",D576="30-yr mark: notice window (est.)",D576="Year-15 window"),1,0)+IF(ISNUMBER(O576),IF(O576&gt;=Scoring!$B$10,1,0),0)+IF(AND(ISNUMBER(L576),ISNUMBER(J576)),IF(J576&gt;0,IF(L576/J576&gt;=Scoring!$B$11,1,0),0),0)+IF(ISNUMBER(Z576),MIN(Z576,3),0))</f>
        <v>1</v>
      </c>
      <c r="AC576" s="22" t="n">
        <f aca="false">IF(AB576&gt;=3,Scoring!$C$24,IF(AB576=2,Scoring!$C$23,IF(AB576=1,Scoring!$C$22,0)))</f>
        <v>10</v>
      </c>
      <c r="AD576" s="22" t="n">
        <f aca="false">IF(T576="Y",0,IF(ISNUMBER(X576),IF(X576&gt;0.7,Scoring!$C$25,IF(X576&gt;=0.5,Scoring!$C$26,IF(X576&gt;=0.3,Scoring!$C$27,Scoring!$C$28))),Scoring!$C$29))</f>
        <v>10</v>
      </c>
      <c r="AE576" s="22" t="n">
        <f aca="false">IF(D576="Expiring: notice window (verified)",Scoring!$C$30,IF(OR(D576="Expired (verified)",D576="30-yr mark: notice window (est.)",D576="Year-15 window"),Scoring!$C$31,IF(D576="Expiring: 10-yr horizon (verified)",Scoring!$C$32,IF(D576="Past 30-yr mark (verify)",Scoring!$C$33,IF(OR(D576="Credit period",D576="Superseded record"),Scoring!$C$35,Scoring!$C$34)))))</f>
        <v>4</v>
      </c>
      <c r="AF576" s="22" t="n">
        <f aca="false">IF(T576="Y",0,IF(ISNUMBER(V576),IF(Scoring!$B$4-V576&gt;15,Scoring!$C$36,IF(Scoring!$B$4-V576&gt;=10,Scoring!$C$37,IF(Scoring!$B$4-V576&gt;=5,Scoring!$C$38,Scoring!$C$39))),IF(OR(N576="",D576="Out of program"),Scoring!$C$40,IF(O576&gt;15,Scoring!$C$36,IF(O576&gt;=10,Scoring!$C$37,IF(O576&gt;=5,Scoring!$C$38,Scoring!$C$39))))))</f>
        <v>12</v>
      </c>
      <c r="AG576" s="22" t="n">
        <f aca="false">IF(T576="Y",0,IF(Y576="Y",Scoring!$C$41,IF(ISNUMBER(O576),IF(O576&gt;=25,Scoring!$C$42,IF(O576&gt;=15,Scoring!$C$43,Scoring!$C$44)),Scoring!$C$44)))</f>
        <v>2</v>
      </c>
      <c r="AH576" s="22" t="n">
        <f aca="false">IF(T576="Y",0,IF(W576="",Scoring!$C$49,IFERROR(VLOOKUP(W576,Scoring!$B$45:$C$48,2,FALSE()),Scoring!$C$49)))</f>
        <v>5</v>
      </c>
      <c r="AI576" s="23" t="n">
        <f aca="false">C576+IF(ISNUMBER(J576),J576,0)/100000+(10000-ROW())/1000000000</f>
        <v>43.000629424</v>
      </c>
      <c r="AJ576" s="18"/>
      <c r="AK576" s="18"/>
      <c r="AL576" s="18"/>
      <c r="AM576" s="18"/>
    </row>
    <row r="577" customFormat="false" ht="15" hidden="false" customHeight="false" outlineLevel="0" collapsed="false">
      <c r="A577" s="15" t="n">
        <f aca="false">RANK(AI577,$AI$2:$AI$755)</f>
        <v>576</v>
      </c>
      <c r="B577" s="16" t="str">
        <f aca="false">IF(T577="Y","Superseded",IF(C577&gt;=Scoring!$B$16,"Immediate",IF(C577&gt;=Scoring!$B$17,"This week",IF(C577&gt;=Scoring!$B$18,"Nurture","Low"))))</f>
        <v>Nurture</v>
      </c>
      <c r="C577" s="3" t="n">
        <f aca="false">SUM(AC577:AH577)</f>
        <v>43</v>
      </c>
      <c r="D577" s="15" t="str">
        <f aca="false">IF(T577="Y","Superseded record",IF(AND(U577&lt;&gt;"",AA577&lt;0),"Expired (verified)",IF(AND(U577&lt;&gt;"",AA577&lt;=Scoring!$B$5),"Expiring: notice window (verified)",IF(AND(U577&lt;&gt;"",AA577&lt;=Scoring!$B$6),"Expiring: 10-yr horizon (verified)",IF(M577="No Longer Monitored","Out of program",IF(N577="","Unknown vintage",IF(N577&lt;Scoring!$B$12,"Pre-1990, still listed",IF(AND(U577="",AA577&lt;0),"Past 30-yr mark (verify)",IF(AND(U577="",AA577&lt;=Scoring!$B$5),"30-yr mark: notice window (est.)",IF(AND(O577&gt;=Scoring!$B$7,O577&lt;=Scoring!$B$8),"Year-15 window",IF(O577&gt;=Scoring!$B$9,"Recap window",IF(O577&gt;=11,"Late compliance","Credit period"))))))))))))</f>
        <v>Late compliance</v>
      </c>
      <c r="E577" s="15" t="s">
        <v>2044</v>
      </c>
      <c r="F577" s="15" t="s">
        <v>2045</v>
      </c>
      <c r="G577" s="15" t="s">
        <v>2046</v>
      </c>
      <c r="H577" s="15" t="s">
        <v>319</v>
      </c>
      <c r="I577" s="15" t="s">
        <v>320</v>
      </c>
      <c r="J577" s="15" t="n">
        <v>45</v>
      </c>
      <c r="K577" s="15" t="n">
        <v>38</v>
      </c>
      <c r="L577" s="15" t="n">
        <f aca="false">IF(OR(J577="",K577=""),"",MAX(J577-K577,0))</f>
        <v>7</v>
      </c>
      <c r="M577" s="15" t="s">
        <v>99</v>
      </c>
      <c r="N577" s="17" t="n">
        <v>2014</v>
      </c>
      <c r="O577" s="15" t="n">
        <f aca="false">IF(N577="","",Scoring!$B$4-N577)</f>
        <v>12</v>
      </c>
      <c r="P577" s="15" t="n">
        <f aca="false">IF(N577="","",N577+14)</f>
        <v>2028</v>
      </c>
      <c r="Q577" s="15" t="n">
        <f aca="false">IF(N577="","",IF(N577&lt;Scoring!$B$12,"n/a (pre-1990)",N577+Scoring!$B$13))</f>
        <v>2043</v>
      </c>
      <c r="R577" s="15" t="str">
        <f aca="false">IF(J577="","Unknown",IF(J577&gt;=5,"Yes","No (under 5 units)"))</f>
        <v>Yes</v>
      </c>
      <c r="S577" s="15"/>
      <c r="T577" s="18"/>
      <c r="U577" s="19"/>
      <c r="V577" s="18"/>
      <c r="W577" s="18"/>
      <c r="X577" s="20"/>
      <c r="Y577" s="18"/>
      <c r="Z577" s="18"/>
      <c r="AA577" s="21" t="n">
        <f aca="false">IF(U577&lt;&gt;"",(U577-Scoring!$B$3)/365.25,IF(N577="","",IF(N577&lt;Scoring!$B$12,"",(DATE(N577+Scoring!$B$13,12,31)-Scoring!$B$3)/365.25)))</f>
        <v>17.2457221081451</v>
      </c>
      <c r="AB577" s="22" t="n">
        <f aca="false">IF(T577="Y",0,IF(OR(D577="Expired (verified)",D577="Expiring: notice window (verified)",D577="Expiring: 10-yr horizon (verified)",D577="Past 30-yr mark (verify)",D577="30-yr mark: notice window (est.)",D577="Year-15 window"),1,0)+IF(ISNUMBER(O577),IF(O577&gt;=Scoring!$B$10,1,0),0)+IF(AND(ISNUMBER(L577),ISNUMBER(J577)),IF(J577&gt;0,IF(L577/J577&gt;=Scoring!$B$11,1,0),0),0)+IF(ISNUMBER(Z577),MIN(Z577,3),0))</f>
        <v>1</v>
      </c>
      <c r="AC577" s="22" t="n">
        <f aca="false">IF(AB577&gt;=3,Scoring!$C$24,IF(AB577=2,Scoring!$C$23,IF(AB577=1,Scoring!$C$22,0)))</f>
        <v>10</v>
      </c>
      <c r="AD577" s="22" t="n">
        <f aca="false">IF(T577="Y",0,IF(ISNUMBER(X577),IF(X577&gt;0.7,Scoring!$C$25,IF(X577&gt;=0.5,Scoring!$C$26,IF(X577&gt;=0.3,Scoring!$C$27,Scoring!$C$28))),Scoring!$C$29))</f>
        <v>10</v>
      </c>
      <c r="AE577" s="22" t="n">
        <f aca="false">IF(D577="Expiring: notice window (verified)",Scoring!$C$30,IF(OR(D577="Expired (verified)",D577="30-yr mark: notice window (est.)",D577="Year-15 window"),Scoring!$C$31,IF(D577="Expiring: 10-yr horizon (verified)",Scoring!$C$32,IF(D577="Past 30-yr mark (verify)",Scoring!$C$33,IF(OR(D577="Credit period",D577="Superseded record"),Scoring!$C$35,Scoring!$C$34)))))</f>
        <v>4</v>
      </c>
      <c r="AF577" s="22" t="n">
        <f aca="false">IF(T577="Y",0,IF(ISNUMBER(V577),IF(Scoring!$B$4-V577&gt;15,Scoring!$C$36,IF(Scoring!$B$4-V577&gt;=10,Scoring!$C$37,IF(Scoring!$B$4-V577&gt;=5,Scoring!$C$38,Scoring!$C$39))),IF(OR(N577="",D577="Out of program"),Scoring!$C$40,IF(O577&gt;15,Scoring!$C$36,IF(O577&gt;=10,Scoring!$C$37,IF(O577&gt;=5,Scoring!$C$38,Scoring!$C$39))))))</f>
        <v>12</v>
      </c>
      <c r="AG577" s="22" t="n">
        <f aca="false">IF(T577="Y",0,IF(Y577="Y",Scoring!$C$41,IF(ISNUMBER(O577),IF(O577&gt;=25,Scoring!$C$42,IF(O577&gt;=15,Scoring!$C$43,Scoring!$C$44)),Scoring!$C$44)))</f>
        <v>2</v>
      </c>
      <c r="AH577" s="22" t="n">
        <f aca="false">IF(T577="Y",0,IF(W577="",Scoring!$C$49,IFERROR(VLOOKUP(W577,Scoring!$B$45:$C$48,2,FALSE()),Scoring!$C$49)))</f>
        <v>5</v>
      </c>
      <c r="AI577" s="23" t="n">
        <f aca="false">C577+IF(ISNUMBER(J577),J577,0)/100000+(10000-ROW())/1000000000</f>
        <v>43.000459423</v>
      </c>
      <c r="AJ577" s="18"/>
      <c r="AK577" s="18"/>
      <c r="AL577" s="18"/>
      <c r="AM577" s="18"/>
    </row>
    <row r="578" customFormat="false" ht="15" hidden="false" customHeight="false" outlineLevel="0" collapsed="false">
      <c r="A578" s="15" t="n">
        <f aca="false">RANK(AI578,$AI$2:$AI$755)</f>
        <v>577</v>
      </c>
      <c r="B578" s="16" t="str">
        <f aca="false">IF(T578="Y","Superseded",IF(C578&gt;=Scoring!$B$16,"Immediate",IF(C578&gt;=Scoring!$B$17,"This week",IF(C578&gt;=Scoring!$B$18,"Nurture","Low"))))</f>
        <v>Nurture</v>
      </c>
      <c r="C578" s="3" t="n">
        <f aca="false">SUM(AC578:AH578)</f>
        <v>42</v>
      </c>
      <c r="D578" s="15" t="str">
        <f aca="false">IF(T578="Y","Superseded record",IF(AND(U578&lt;&gt;"",AA578&lt;0),"Expired (verified)",IF(AND(U578&lt;&gt;"",AA578&lt;=Scoring!$B$5),"Expiring: notice window (verified)",IF(AND(U578&lt;&gt;"",AA578&lt;=Scoring!$B$6),"Expiring: 10-yr horizon (verified)",IF(M578="No Longer Monitored","Out of program",IF(N578="","Unknown vintage",IF(N578&lt;Scoring!$B$12,"Pre-1990, still listed",IF(AND(U578="",AA578&lt;0),"Past 30-yr mark (verify)",IF(AND(U578="",AA578&lt;=Scoring!$B$5),"30-yr mark: notice window (est.)",IF(AND(O578&gt;=Scoring!$B$7,O578&lt;=Scoring!$B$8),"Year-15 window",IF(O578&gt;=Scoring!$B$9,"Recap window",IF(O578&gt;=11,"Late compliance","Credit period"))))))))))))</f>
        <v>Out of program</v>
      </c>
      <c r="E578" s="15" t="s">
        <v>2047</v>
      </c>
      <c r="F578" s="15" t="s">
        <v>2048</v>
      </c>
      <c r="G578" s="15" t="s">
        <v>2049</v>
      </c>
      <c r="H578" s="15" t="s">
        <v>851</v>
      </c>
      <c r="I578" s="15" t="s">
        <v>852</v>
      </c>
      <c r="J578" s="15" t="n">
        <v>144</v>
      </c>
      <c r="K578" s="15" t="n">
        <v>144</v>
      </c>
      <c r="L578" s="15" t="n">
        <f aca="false">IF(OR(J578="",K578=""),"",MAX(J578-K578,0))</f>
        <v>0</v>
      </c>
      <c r="M578" s="15" t="s">
        <v>1757</v>
      </c>
      <c r="N578" s="17" t="n">
        <v>2005</v>
      </c>
      <c r="O578" s="15" t="n">
        <f aca="false">IF(N578="","",Scoring!$B$4-N578)</f>
        <v>21</v>
      </c>
      <c r="P578" s="15" t="n">
        <f aca="false">IF(N578="","",N578+14)</f>
        <v>2019</v>
      </c>
      <c r="Q578" s="15" t="n">
        <f aca="false">IF(N578="","",IF(N578&lt;Scoring!$B$12,"n/a (pre-1990)",N578+Scoring!$B$13))</f>
        <v>2034</v>
      </c>
      <c r="R578" s="15" t="str">
        <f aca="false">IF(J578="","Unknown",IF(J578&gt;=5,"Yes","No (under 5 units)"))</f>
        <v>Yes</v>
      </c>
      <c r="S578" s="15"/>
      <c r="T578" s="18"/>
      <c r="U578" s="19"/>
      <c r="V578" s="18"/>
      <c r="W578" s="18"/>
      <c r="X578" s="20"/>
      <c r="Y578" s="18"/>
      <c r="Z578" s="18"/>
      <c r="AA578" s="21" t="n">
        <f aca="false">IF(U578&lt;&gt;"",(U578-Scoring!$B$3)/365.25,IF(N578="","",IF(N578&lt;Scoring!$B$12,"",(DATE(N578+Scoring!$B$13,12,31)-Scoring!$B$3)/365.25)))</f>
        <v>8.24640657084189</v>
      </c>
      <c r="AB578" s="22" t="n">
        <f aca="false">IF(T578="Y",0,IF(OR(D578="Expired (verified)",D578="Expiring: notice window (verified)",D578="Expiring: 10-yr horizon (verified)",D578="Past 30-yr mark (verify)",D578="30-yr mark: notice window (est.)",D578="Year-15 window"),1,0)+IF(ISNUMBER(O578),IF(O578&gt;=Scoring!$B$10,1,0),0)+IF(AND(ISNUMBER(L578),ISNUMBER(J578)),IF(J578&gt;0,IF(L578/J578&gt;=Scoring!$B$11,1,0),0),0)+IF(ISNUMBER(Z578),MIN(Z578,3),0))</f>
        <v>1</v>
      </c>
      <c r="AC578" s="22" t="n">
        <f aca="false">IF(AB578&gt;=3,Scoring!$C$24,IF(AB578=2,Scoring!$C$23,IF(AB578=1,Scoring!$C$22,0)))</f>
        <v>10</v>
      </c>
      <c r="AD578" s="22" t="n">
        <f aca="false">IF(T578="Y",0,IF(ISNUMBER(X578),IF(X578&gt;0.7,Scoring!$C$25,IF(X578&gt;=0.5,Scoring!$C$26,IF(X578&gt;=0.3,Scoring!$C$27,Scoring!$C$28))),Scoring!$C$29))</f>
        <v>10</v>
      </c>
      <c r="AE578" s="22" t="n">
        <f aca="false">IF(D578="Expiring: notice window (verified)",Scoring!$C$30,IF(OR(D578="Expired (verified)",D578="30-yr mark: notice window (est.)",D578="Year-15 window"),Scoring!$C$31,IF(D578="Expiring: 10-yr horizon (verified)",Scoring!$C$32,IF(D578="Past 30-yr mark (verify)",Scoring!$C$33,IF(OR(D578="Credit period",D578="Superseded record"),Scoring!$C$35,Scoring!$C$34)))))</f>
        <v>4</v>
      </c>
      <c r="AF578" s="22" t="n">
        <f aca="false">IF(T578="Y",0,IF(ISNUMBER(V578),IF(Scoring!$B$4-V578&gt;15,Scoring!$C$36,IF(Scoring!$B$4-V578&gt;=10,Scoring!$C$37,IF(Scoring!$B$4-V578&gt;=5,Scoring!$C$38,Scoring!$C$39))),IF(OR(N578="",D578="Out of program"),Scoring!$C$40,IF(O578&gt;15,Scoring!$C$36,IF(O578&gt;=10,Scoring!$C$37,IF(O578&gt;=5,Scoring!$C$38,Scoring!$C$39))))))</f>
        <v>8</v>
      </c>
      <c r="AG578" s="22" t="n">
        <f aca="false">IF(T578="Y",0,IF(Y578="Y",Scoring!$C$41,IF(ISNUMBER(O578),IF(O578&gt;=25,Scoring!$C$42,IF(O578&gt;=15,Scoring!$C$43,Scoring!$C$44)),Scoring!$C$44)))</f>
        <v>5</v>
      </c>
      <c r="AH578" s="22" t="n">
        <f aca="false">IF(T578="Y",0,IF(W578="",Scoring!$C$49,IFERROR(VLOOKUP(W578,Scoring!$B$45:$C$48,2,FALSE()),Scoring!$C$49)))</f>
        <v>5</v>
      </c>
      <c r="AI578" s="23" t="n">
        <f aca="false">C578+IF(ISNUMBER(J578),J578,0)/100000+(10000-ROW())/1000000000</f>
        <v>42.001449422</v>
      </c>
      <c r="AJ578" s="18"/>
      <c r="AK578" s="18"/>
      <c r="AL578" s="18"/>
      <c r="AM578" s="18"/>
    </row>
    <row r="579" customFormat="false" ht="15" hidden="false" customHeight="false" outlineLevel="0" collapsed="false">
      <c r="A579" s="15" t="n">
        <f aca="false">RANK(AI579,$AI$2:$AI$755)</f>
        <v>578</v>
      </c>
      <c r="B579" s="16" t="str">
        <f aca="false">IF(T579="Y","Superseded",IF(C579&gt;=Scoring!$B$16,"Immediate",IF(C579&gt;=Scoring!$B$17,"This week",IF(C579&gt;=Scoring!$B$18,"Nurture","Low"))))</f>
        <v>Nurture</v>
      </c>
      <c r="C579" s="3" t="n">
        <f aca="false">SUM(AC579:AH579)</f>
        <v>39</v>
      </c>
      <c r="D579" s="15" t="str">
        <f aca="false">IF(T579="Y","Superseded record",IF(AND(U579&lt;&gt;"",AA579&lt;0),"Expired (verified)",IF(AND(U579&lt;&gt;"",AA579&lt;=Scoring!$B$5),"Expiring: notice window (verified)",IF(AND(U579&lt;&gt;"",AA579&lt;=Scoring!$B$6),"Expiring: 10-yr horizon (verified)",IF(M579="No Longer Monitored","Out of program",IF(N579="","Unknown vintage",IF(N579&lt;Scoring!$B$12,"Pre-1990, still listed",IF(AND(U579="",AA579&lt;0),"Past 30-yr mark (verify)",IF(AND(U579="",AA579&lt;=Scoring!$B$5),"30-yr mark: notice window (est.)",IF(AND(O579&gt;=Scoring!$B$7,O579&lt;=Scoring!$B$8),"Year-15 window",IF(O579&gt;=Scoring!$B$9,"Recap window",IF(O579&gt;=11,"Late compliance","Credit period"))))))))))))</f>
        <v>Recap window</v>
      </c>
      <c r="E579" s="15" t="s">
        <v>2050</v>
      </c>
      <c r="F579" s="15" t="s">
        <v>2051</v>
      </c>
      <c r="G579" s="15" t="s">
        <v>2052</v>
      </c>
      <c r="H579" s="15" t="s">
        <v>232</v>
      </c>
      <c r="I579" s="15" t="s">
        <v>640</v>
      </c>
      <c r="J579" s="15" t="n">
        <v>240</v>
      </c>
      <c r="K579" s="15" t="n">
        <v>240</v>
      </c>
      <c r="L579" s="15" t="n">
        <f aca="false">IF(OR(J579="",K579=""),"",MAX(J579-K579,0))</f>
        <v>0</v>
      </c>
      <c r="M579" s="15" t="s">
        <v>99</v>
      </c>
      <c r="N579" s="17" t="n">
        <v>2007</v>
      </c>
      <c r="O579" s="15" t="n">
        <f aca="false">IF(N579="","",Scoring!$B$4-N579)</f>
        <v>19</v>
      </c>
      <c r="P579" s="15" t="n">
        <f aca="false">IF(N579="","",N579+14)</f>
        <v>2021</v>
      </c>
      <c r="Q579" s="15" t="n">
        <f aca="false">IF(N579="","",IF(N579&lt;Scoring!$B$12,"n/a (pre-1990)",N579+Scoring!$B$13))</f>
        <v>2036</v>
      </c>
      <c r="R579" s="15" t="str">
        <f aca="false">IF(J579="","Unknown",IF(J579&gt;=5,"Yes","No (under 5 units)"))</f>
        <v>Yes</v>
      </c>
      <c r="S579" s="15"/>
      <c r="T579" s="18"/>
      <c r="U579" s="19"/>
      <c r="V579" s="18"/>
      <c r="W579" s="18"/>
      <c r="X579" s="20"/>
      <c r="Y579" s="18"/>
      <c r="Z579" s="18"/>
      <c r="AA579" s="21" t="n">
        <f aca="false">IF(U579&lt;&gt;"",(U579-Scoring!$B$3)/365.25,IF(N579="","",IF(N579&lt;Scoring!$B$12,"",(DATE(N579+Scoring!$B$13,12,31)-Scoring!$B$3)/365.25)))</f>
        <v>10.2477754962355</v>
      </c>
      <c r="AB579" s="22" t="n">
        <f aca="false">IF(T579="Y",0,IF(OR(D579="Expired (verified)",D579="Expiring: notice window (verified)",D579="Expiring: 10-yr horizon (verified)",D579="Past 30-yr mark (verify)",D579="30-yr mark: notice window (est.)",D579="Year-15 window"),1,0)+IF(ISNUMBER(O579),IF(O579&gt;=Scoring!$B$10,1,0),0)+IF(AND(ISNUMBER(L579),ISNUMBER(J579)),IF(J579&gt;0,IF(L579/J579&gt;=Scoring!$B$11,1,0),0),0)+IF(ISNUMBER(Z579),MIN(Z579,3),0))</f>
        <v>0</v>
      </c>
      <c r="AC579" s="22" t="n">
        <f aca="false">IF(AB579&gt;=3,Scoring!$C$24,IF(AB579=2,Scoring!$C$23,IF(AB579=1,Scoring!$C$22,0)))</f>
        <v>0</v>
      </c>
      <c r="AD579" s="22" t="n">
        <f aca="false">IF(T579="Y",0,IF(ISNUMBER(X579),IF(X579&gt;0.7,Scoring!$C$25,IF(X579&gt;=0.5,Scoring!$C$26,IF(X579&gt;=0.3,Scoring!$C$27,Scoring!$C$28))),Scoring!$C$29))</f>
        <v>10</v>
      </c>
      <c r="AE579" s="22" t="n">
        <f aca="false">IF(D579="Expiring: notice window (verified)",Scoring!$C$30,IF(OR(D579="Expired (verified)",D579="30-yr mark: notice window (est.)",D579="Year-15 window"),Scoring!$C$31,IF(D579="Expiring: 10-yr horizon (verified)",Scoring!$C$32,IF(D579="Past 30-yr mark (verify)",Scoring!$C$33,IF(OR(D579="Credit period",D579="Superseded record"),Scoring!$C$35,Scoring!$C$34)))))</f>
        <v>4</v>
      </c>
      <c r="AF579" s="22" t="n">
        <f aca="false">IF(T579="Y",0,IF(ISNUMBER(V579),IF(Scoring!$B$4-V579&gt;15,Scoring!$C$36,IF(Scoring!$B$4-V579&gt;=10,Scoring!$C$37,IF(Scoring!$B$4-V579&gt;=5,Scoring!$C$38,Scoring!$C$39))),IF(OR(N579="",D579="Out of program"),Scoring!$C$40,IF(O579&gt;15,Scoring!$C$36,IF(O579&gt;=10,Scoring!$C$37,IF(O579&gt;=5,Scoring!$C$38,Scoring!$C$39))))))</f>
        <v>15</v>
      </c>
      <c r="AG579" s="22" t="n">
        <f aca="false">IF(T579="Y",0,IF(Y579="Y",Scoring!$C$41,IF(ISNUMBER(O579),IF(O579&gt;=25,Scoring!$C$42,IF(O579&gt;=15,Scoring!$C$43,Scoring!$C$44)),Scoring!$C$44)))</f>
        <v>5</v>
      </c>
      <c r="AH579" s="22" t="n">
        <f aca="false">IF(T579="Y",0,IF(W579="",Scoring!$C$49,IFERROR(VLOOKUP(W579,Scoring!$B$45:$C$48,2,FALSE()),Scoring!$C$49)))</f>
        <v>5</v>
      </c>
      <c r="AI579" s="23" t="n">
        <f aca="false">C579+IF(ISNUMBER(J579),J579,0)/100000+(10000-ROW())/1000000000</f>
        <v>39.002409421</v>
      </c>
      <c r="AJ579" s="18"/>
      <c r="AK579" s="18"/>
      <c r="AL579" s="18"/>
      <c r="AM579" s="18"/>
    </row>
    <row r="580" customFormat="false" ht="15" hidden="false" customHeight="false" outlineLevel="0" collapsed="false">
      <c r="A580" s="15" t="n">
        <f aca="false">RANK(AI580,$AI$2:$AI$755)</f>
        <v>579</v>
      </c>
      <c r="B580" s="16" t="str">
        <f aca="false">IF(T580="Y","Superseded",IF(C580&gt;=Scoring!$B$16,"Immediate",IF(C580&gt;=Scoring!$B$17,"This week",IF(C580&gt;=Scoring!$B$18,"Nurture","Low"))))</f>
        <v>Nurture</v>
      </c>
      <c r="C580" s="3" t="n">
        <f aca="false">SUM(AC580:AH580)</f>
        <v>39</v>
      </c>
      <c r="D580" s="15" t="str">
        <f aca="false">IF(T580="Y","Superseded record",IF(AND(U580&lt;&gt;"",AA580&lt;0),"Expired (verified)",IF(AND(U580&lt;&gt;"",AA580&lt;=Scoring!$B$5),"Expiring: notice window (verified)",IF(AND(U580&lt;&gt;"",AA580&lt;=Scoring!$B$6),"Expiring: 10-yr horizon (verified)",IF(M580="No Longer Monitored","Out of program",IF(N580="","Unknown vintage",IF(N580&lt;Scoring!$B$12,"Pre-1990, still listed",IF(AND(U580="",AA580&lt;0),"Past 30-yr mark (verify)",IF(AND(U580="",AA580&lt;=Scoring!$B$5),"30-yr mark: notice window (est.)",IF(AND(O580&gt;=Scoring!$B$7,O580&lt;=Scoring!$B$8),"Year-15 window",IF(O580&gt;=Scoring!$B$9,"Recap window",IF(O580&gt;=11,"Late compliance","Credit period"))))))))))))</f>
        <v>Recap window</v>
      </c>
      <c r="E580" s="15" t="s">
        <v>2053</v>
      </c>
      <c r="F580" s="15" t="s">
        <v>2054</v>
      </c>
      <c r="G580" s="15" t="s">
        <v>2055</v>
      </c>
      <c r="H580" s="15" t="s">
        <v>97</v>
      </c>
      <c r="I580" s="15" t="s">
        <v>195</v>
      </c>
      <c r="J580" s="15" t="n">
        <v>140</v>
      </c>
      <c r="K580" s="15" t="n">
        <v>140</v>
      </c>
      <c r="L580" s="15" t="n">
        <f aca="false">IF(OR(J580="",K580=""),"",MAX(J580-K580,0))</f>
        <v>0</v>
      </c>
      <c r="M580" s="15" t="s">
        <v>99</v>
      </c>
      <c r="N580" s="17" t="n">
        <v>2007</v>
      </c>
      <c r="O580" s="15" t="n">
        <f aca="false">IF(N580="","",Scoring!$B$4-N580)</f>
        <v>19</v>
      </c>
      <c r="P580" s="15" t="n">
        <f aca="false">IF(N580="","",N580+14)</f>
        <v>2021</v>
      </c>
      <c r="Q580" s="15" t="n">
        <f aca="false">IF(N580="","",IF(N580&lt;Scoring!$B$12,"n/a (pre-1990)",N580+Scoring!$B$13))</f>
        <v>2036</v>
      </c>
      <c r="R580" s="15" t="str">
        <f aca="false">IF(J580="","Unknown",IF(J580&gt;=5,"Yes","No (under 5 units)"))</f>
        <v>Yes</v>
      </c>
      <c r="S580" s="15"/>
      <c r="T580" s="18"/>
      <c r="U580" s="19"/>
      <c r="V580" s="18"/>
      <c r="W580" s="18"/>
      <c r="X580" s="20"/>
      <c r="Y580" s="18"/>
      <c r="Z580" s="18"/>
      <c r="AA580" s="21" t="n">
        <f aca="false">IF(U580&lt;&gt;"",(U580-Scoring!$B$3)/365.25,IF(N580="","",IF(N580&lt;Scoring!$B$12,"",(DATE(N580+Scoring!$B$13,12,31)-Scoring!$B$3)/365.25)))</f>
        <v>10.2477754962355</v>
      </c>
      <c r="AB580" s="22" t="n">
        <f aca="false">IF(T580="Y",0,IF(OR(D580="Expired (verified)",D580="Expiring: notice window (verified)",D580="Expiring: 10-yr horizon (verified)",D580="Past 30-yr mark (verify)",D580="30-yr mark: notice window (est.)",D580="Year-15 window"),1,0)+IF(ISNUMBER(O580),IF(O580&gt;=Scoring!$B$10,1,0),0)+IF(AND(ISNUMBER(L580),ISNUMBER(J580)),IF(J580&gt;0,IF(L580/J580&gt;=Scoring!$B$11,1,0),0),0)+IF(ISNUMBER(Z580),MIN(Z580,3),0))</f>
        <v>0</v>
      </c>
      <c r="AC580" s="22" t="n">
        <f aca="false">IF(AB580&gt;=3,Scoring!$C$24,IF(AB580=2,Scoring!$C$23,IF(AB580=1,Scoring!$C$22,0)))</f>
        <v>0</v>
      </c>
      <c r="AD580" s="22" t="n">
        <f aca="false">IF(T580="Y",0,IF(ISNUMBER(X580),IF(X580&gt;0.7,Scoring!$C$25,IF(X580&gt;=0.5,Scoring!$C$26,IF(X580&gt;=0.3,Scoring!$C$27,Scoring!$C$28))),Scoring!$C$29))</f>
        <v>10</v>
      </c>
      <c r="AE580" s="22" t="n">
        <f aca="false">IF(D580="Expiring: notice window (verified)",Scoring!$C$30,IF(OR(D580="Expired (verified)",D580="30-yr mark: notice window (est.)",D580="Year-15 window"),Scoring!$C$31,IF(D580="Expiring: 10-yr horizon (verified)",Scoring!$C$32,IF(D580="Past 30-yr mark (verify)",Scoring!$C$33,IF(OR(D580="Credit period",D580="Superseded record"),Scoring!$C$35,Scoring!$C$34)))))</f>
        <v>4</v>
      </c>
      <c r="AF580" s="22" t="n">
        <f aca="false">IF(T580="Y",0,IF(ISNUMBER(V580),IF(Scoring!$B$4-V580&gt;15,Scoring!$C$36,IF(Scoring!$B$4-V580&gt;=10,Scoring!$C$37,IF(Scoring!$B$4-V580&gt;=5,Scoring!$C$38,Scoring!$C$39))),IF(OR(N580="",D580="Out of program"),Scoring!$C$40,IF(O580&gt;15,Scoring!$C$36,IF(O580&gt;=10,Scoring!$C$37,IF(O580&gt;=5,Scoring!$C$38,Scoring!$C$39))))))</f>
        <v>15</v>
      </c>
      <c r="AG580" s="22" t="n">
        <f aca="false">IF(T580="Y",0,IF(Y580="Y",Scoring!$C$41,IF(ISNUMBER(O580),IF(O580&gt;=25,Scoring!$C$42,IF(O580&gt;=15,Scoring!$C$43,Scoring!$C$44)),Scoring!$C$44)))</f>
        <v>5</v>
      </c>
      <c r="AH580" s="22" t="n">
        <f aca="false">IF(T580="Y",0,IF(W580="",Scoring!$C$49,IFERROR(VLOOKUP(W580,Scoring!$B$45:$C$48,2,FALSE()),Scoring!$C$49)))</f>
        <v>5</v>
      </c>
      <c r="AI580" s="23" t="n">
        <f aca="false">C580+IF(ISNUMBER(J580),J580,0)/100000+(10000-ROW())/1000000000</f>
        <v>39.00140942</v>
      </c>
      <c r="AJ580" s="18"/>
      <c r="AK580" s="18"/>
      <c r="AL580" s="18"/>
      <c r="AM580" s="18"/>
    </row>
    <row r="581" customFormat="false" ht="15" hidden="false" customHeight="false" outlineLevel="0" collapsed="false">
      <c r="A581" s="15" t="n">
        <f aca="false">RANK(AI581,$AI$2:$AI$755)</f>
        <v>580</v>
      </c>
      <c r="B581" s="16" t="str">
        <f aca="false">IF(T581="Y","Superseded",IF(C581&gt;=Scoring!$B$16,"Immediate",IF(C581&gt;=Scoring!$B$17,"This week",IF(C581&gt;=Scoring!$B$18,"Nurture","Low"))))</f>
        <v>Nurture</v>
      </c>
      <c r="C581" s="3" t="n">
        <f aca="false">SUM(AC581:AH581)</f>
        <v>39</v>
      </c>
      <c r="D581" s="15" t="str">
        <f aca="false">IF(T581="Y","Superseded record",IF(AND(U581&lt;&gt;"",AA581&lt;0),"Expired (verified)",IF(AND(U581&lt;&gt;"",AA581&lt;=Scoring!$B$5),"Expiring: notice window (verified)",IF(AND(U581&lt;&gt;"",AA581&lt;=Scoring!$B$6),"Expiring: 10-yr horizon (verified)",IF(M581="No Longer Monitored","Out of program",IF(N581="","Unknown vintage",IF(N581&lt;Scoring!$B$12,"Pre-1990, still listed",IF(AND(U581="",AA581&lt;0),"Past 30-yr mark (verify)",IF(AND(U581="",AA581&lt;=Scoring!$B$5),"30-yr mark: notice window (est.)",IF(AND(O581&gt;=Scoring!$B$7,O581&lt;=Scoring!$B$8),"Year-15 window",IF(O581&gt;=Scoring!$B$9,"Recap window",IF(O581&gt;=11,"Late compliance","Credit period"))))))))))))</f>
        <v>Recap window</v>
      </c>
      <c r="E581" s="15" t="s">
        <v>2056</v>
      </c>
      <c r="F581" s="15" t="s">
        <v>2057</v>
      </c>
      <c r="G581" s="15" t="s">
        <v>2058</v>
      </c>
      <c r="H581" s="15" t="s">
        <v>97</v>
      </c>
      <c r="I581" s="15" t="s">
        <v>863</v>
      </c>
      <c r="J581" s="15" t="n">
        <v>130</v>
      </c>
      <c r="K581" s="15" t="n">
        <v>130</v>
      </c>
      <c r="L581" s="15" t="n">
        <f aca="false">IF(OR(J581="",K581=""),"",MAX(J581-K581,0))</f>
        <v>0</v>
      </c>
      <c r="M581" s="15" t="s">
        <v>99</v>
      </c>
      <c r="N581" s="17" t="n">
        <v>2008</v>
      </c>
      <c r="O581" s="15" t="n">
        <f aca="false">IF(N581="","",Scoring!$B$4-N581)</f>
        <v>18</v>
      </c>
      <c r="P581" s="15" t="n">
        <f aca="false">IF(N581="","",N581+14)</f>
        <v>2022</v>
      </c>
      <c r="Q581" s="15" t="n">
        <f aca="false">IF(N581="","",IF(N581&lt;Scoring!$B$12,"n/a (pre-1990)",N581+Scoring!$B$13))</f>
        <v>2037</v>
      </c>
      <c r="R581" s="15" t="str">
        <f aca="false">IF(J581="","Unknown",IF(J581&gt;=5,"Yes","No (under 5 units)"))</f>
        <v>Yes</v>
      </c>
      <c r="S581" s="15"/>
      <c r="T581" s="18"/>
      <c r="U581" s="19"/>
      <c r="V581" s="18"/>
      <c r="W581" s="18"/>
      <c r="X581" s="20"/>
      <c r="Y581" s="18"/>
      <c r="Z581" s="18"/>
      <c r="AA581" s="21" t="n">
        <f aca="false">IF(U581&lt;&gt;"",(U581-Scoring!$B$3)/365.25,IF(N581="","",IF(N581&lt;Scoring!$B$12,"",(DATE(N581+Scoring!$B$13,12,31)-Scoring!$B$3)/365.25)))</f>
        <v>11.2470910335387</v>
      </c>
      <c r="AB581" s="22" t="n">
        <f aca="false">IF(T581="Y",0,IF(OR(D581="Expired (verified)",D581="Expiring: notice window (verified)",D581="Expiring: 10-yr horizon (verified)",D581="Past 30-yr mark (verify)",D581="30-yr mark: notice window (est.)",D581="Year-15 window"),1,0)+IF(ISNUMBER(O581),IF(O581&gt;=Scoring!$B$10,1,0),0)+IF(AND(ISNUMBER(L581),ISNUMBER(J581)),IF(J581&gt;0,IF(L581/J581&gt;=Scoring!$B$11,1,0),0),0)+IF(ISNUMBER(Z581),MIN(Z581,3),0))</f>
        <v>0</v>
      </c>
      <c r="AC581" s="22" t="n">
        <f aca="false">IF(AB581&gt;=3,Scoring!$C$24,IF(AB581=2,Scoring!$C$23,IF(AB581=1,Scoring!$C$22,0)))</f>
        <v>0</v>
      </c>
      <c r="AD581" s="22" t="n">
        <f aca="false">IF(T581="Y",0,IF(ISNUMBER(X581),IF(X581&gt;0.7,Scoring!$C$25,IF(X581&gt;=0.5,Scoring!$C$26,IF(X581&gt;=0.3,Scoring!$C$27,Scoring!$C$28))),Scoring!$C$29))</f>
        <v>10</v>
      </c>
      <c r="AE581" s="22" t="n">
        <f aca="false">IF(D581="Expiring: notice window (verified)",Scoring!$C$30,IF(OR(D581="Expired (verified)",D581="30-yr mark: notice window (est.)",D581="Year-15 window"),Scoring!$C$31,IF(D581="Expiring: 10-yr horizon (verified)",Scoring!$C$32,IF(D581="Past 30-yr mark (verify)",Scoring!$C$33,IF(OR(D581="Credit period",D581="Superseded record"),Scoring!$C$35,Scoring!$C$34)))))</f>
        <v>4</v>
      </c>
      <c r="AF581" s="22" t="n">
        <f aca="false">IF(T581="Y",0,IF(ISNUMBER(V581),IF(Scoring!$B$4-V581&gt;15,Scoring!$C$36,IF(Scoring!$B$4-V581&gt;=10,Scoring!$C$37,IF(Scoring!$B$4-V581&gt;=5,Scoring!$C$38,Scoring!$C$39))),IF(OR(N581="",D581="Out of program"),Scoring!$C$40,IF(O581&gt;15,Scoring!$C$36,IF(O581&gt;=10,Scoring!$C$37,IF(O581&gt;=5,Scoring!$C$38,Scoring!$C$39))))))</f>
        <v>15</v>
      </c>
      <c r="AG581" s="22" t="n">
        <f aca="false">IF(T581="Y",0,IF(Y581="Y",Scoring!$C$41,IF(ISNUMBER(O581),IF(O581&gt;=25,Scoring!$C$42,IF(O581&gt;=15,Scoring!$C$43,Scoring!$C$44)),Scoring!$C$44)))</f>
        <v>5</v>
      </c>
      <c r="AH581" s="22" t="n">
        <f aca="false">IF(T581="Y",0,IF(W581="",Scoring!$C$49,IFERROR(VLOOKUP(W581,Scoring!$B$45:$C$48,2,FALSE()),Scoring!$C$49)))</f>
        <v>5</v>
      </c>
      <c r="AI581" s="23" t="n">
        <f aca="false">C581+IF(ISNUMBER(J581),J581,0)/100000+(10000-ROW())/1000000000</f>
        <v>39.001309419</v>
      </c>
      <c r="AJ581" s="18"/>
      <c r="AK581" s="18"/>
      <c r="AL581" s="18"/>
      <c r="AM581" s="18"/>
    </row>
    <row r="582" customFormat="false" ht="15" hidden="false" customHeight="false" outlineLevel="0" collapsed="false">
      <c r="A582" s="15" t="n">
        <f aca="false">RANK(AI582,$AI$2:$AI$755)</f>
        <v>581</v>
      </c>
      <c r="B582" s="16" t="str">
        <f aca="false">IF(T582="Y","Superseded",IF(C582&gt;=Scoring!$B$16,"Immediate",IF(C582&gt;=Scoring!$B$17,"This week",IF(C582&gt;=Scoring!$B$18,"Nurture","Low"))))</f>
        <v>Nurture</v>
      </c>
      <c r="C582" s="3" t="n">
        <f aca="false">SUM(AC582:AH582)</f>
        <v>39</v>
      </c>
      <c r="D582" s="15" t="str">
        <f aca="false">IF(T582="Y","Superseded record",IF(AND(U582&lt;&gt;"",AA582&lt;0),"Expired (verified)",IF(AND(U582&lt;&gt;"",AA582&lt;=Scoring!$B$5),"Expiring: notice window (verified)",IF(AND(U582&lt;&gt;"",AA582&lt;=Scoring!$B$6),"Expiring: 10-yr horizon (verified)",IF(M582="No Longer Monitored","Out of program",IF(N582="","Unknown vintage",IF(N582&lt;Scoring!$B$12,"Pre-1990, still listed",IF(AND(U582="",AA582&lt;0),"Past 30-yr mark (verify)",IF(AND(U582="",AA582&lt;=Scoring!$B$5),"30-yr mark: notice window (est.)",IF(AND(O582&gt;=Scoring!$B$7,O582&lt;=Scoring!$B$8),"Year-15 window",IF(O582&gt;=Scoring!$B$9,"Recap window",IF(O582&gt;=11,"Late compliance","Credit period"))))))))))))</f>
        <v>Recap window</v>
      </c>
      <c r="E582" s="15" t="s">
        <v>2059</v>
      </c>
      <c r="F582" s="15" t="s">
        <v>2060</v>
      </c>
      <c r="G582" s="15" t="s">
        <v>2061</v>
      </c>
      <c r="H582" s="15" t="s">
        <v>151</v>
      </c>
      <c r="I582" s="15" t="s">
        <v>280</v>
      </c>
      <c r="J582" s="15" t="n">
        <v>101</v>
      </c>
      <c r="K582" s="15" t="n">
        <v>100</v>
      </c>
      <c r="L582" s="15" t="n">
        <f aca="false">IF(OR(J582="",K582=""),"",MAX(J582-K582,0))</f>
        <v>1</v>
      </c>
      <c r="M582" s="15" t="s">
        <v>99</v>
      </c>
      <c r="N582" s="17" t="n">
        <v>2008</v>
      </c>
      <c r="O582" s="15" t="n">
        <f aca="false">IF(N582="","",Scoring!$B$4-N582)</f>
        <v>18</v>
      </c>
      <c r="P582" s="15" t="n">
        <f aca="false">IF(N582="","",N582+14)</f>
        <v>2022</v>
      </c>
      <c r="Q582" s="15" t="n">
        <f aca="false">IF(N582="","",IF(N582&lt;Scoring!$B$12,"n/a (pre-1990)",N582+Scoring!$B$13))</f>
        <v>2037</v>
      </c>
      <c r="R582" s="15" t="str">
        <f aca="false">IF(J582="","Unknown",IF(J582&gt;=5,"Yes","No (under 5 units)"))</f>
        <v>Yes</v>
      </c>
      <c r="S582" s="15"/>
      <c r="T582" s="18"/>
      <c r="U582" s="19"/>
      <c r="V582" s="18"/>
      <c r="W582" s="18"/>
      <c r="X582" s="20"/>
      <c r="Y582" s="18"/>
      <c r="Z582" s="18"/>
      <c r="AA582" s="21" t="n">
        <f aca="false">IF(U582&lt;&gt;"",(U582-Scoring!$B$3)/365.25,IF(N582="","",IF(N582&lt;Scoring!$B$12,"",(DATE(N582+Scoring!$B$13,12,31)-Scoring!$B$3)/365.25)))</f>
        <v>11.2470910335387</v>
      </c>
      <c r="AB582" s="22" t="n">
        <f aca="false">IF(T582="Y",0,IF(OR(D582="Expired (verified)",D582="Expiring: notice window (verified)",D582="Expiring: 10-yr horizon (verified)",D582="Past 30-yr mark (verify)",D582="30-yr mark: notice window (est.)",D582="Year-15 window"),1,0)+IF(ISNUMBER(O582),IF(O582&gt;=Scoring!$B$10,1,0),0)+IF(AND(ISNUMBER(L582),ISNUMBER(J582)),IF(J582&gt;0,IF(L582/J582&gt;=Scoring!$B$11,1,0),0),0)+IF(ISNUMBER(Z582),MIN(Z582,3),0))</f>
        <v>0</v>
      </c>
      <c r="AC582" s="22" t="n">
        <f aca="false">IF(AB582&gt;=3,Scoring!$C$24,IF(AB582=2,Scoring!$C$23,IF(AB582=1,Scoring!$C$22,0)))</f>
        <v>0</v>
      </c>
      <c r="AD582" s="22" t="n">
        <f aca="false">IF(T582="Y",0,IF(ISNUMBER(X582),IF(X582&gt;0.7,Scoring!$C$25,IF(X582&gt;=0.5,Scoring!$C$26,IF(X582&gt;=0.3,Scoring!$C$27,Scoring!$C$28))),Scoring!$C$29))</f>
        <v>10</v>
      </c>
      <c r="AE582" s="22" t="n">
        <f aca="false">IF(D582="Expiring: notice window (verified)",Scoring!$C$30,IF(OR(D582="Expired (verified)",D582="30-yr mark: notice window (est.)",D582="Year-15 window"),Scoring!$C$31,IF(D582="Expiring: 10-yr horizon (verified)",Scoring!$C$32,IF(D582="Past 30-yr mark (verify)",Scoring!$C$33,IF(OR(D582="Credit period",D582="Superseded record"),Scoring!$C$35,Scoring!$C$34)))))</f>
        <v>4</v>
      </c>
      <c r="AF582" s="22" t="n">
        <f aca="false">IF(T582="Y",0,IF(ISNUMBER(V582),IF(Scoring!$B$4-V582&gt;15,Scoring!$C$36,IF(Scoring!$B$4-V582&gt;=10,Scoring!$C$37,IF(Scoring!$B$4-V582&gt;=5,Scoring!$C$38,Scoring!$C$39))),IF(OR(N582="",D582="Out of program"),Scoring!$C$40,IF(O582&gt;15,Scoring!$C$36,IF(O582&gt;=10,Scoring!$C$37,IF(O582&gt;=5,Scoring!$C$38,Scoring!$C$39))))))</f>
        <v>15</v>
      </c>
      <c r="AG582" s="22" t="n">
        <f aca="false">IF(T582="Y",0,IF(Y582="Y",Scoring!$C$41,IF(ISNUMBER(O582),IF(O582&gt;=25,Scoring!$C$42,IF(O582&gt;=15,Scoring!$C$43,Scoring!$C$44)),Scoring!$C$44)))</f>
        <v>5</v>
      </c>
      <c r="AH582" s="22" t="n">
        <f aca="false">IF(T582="Y",0,IF(W582="",Scoring!$C$49,IFERROR(VLOOKUP(W582,Scoring!$B$45:$C$48,2,FALSE()),Scoring!$C$49)))</f>
        <v>5</v>
      </c>
      <c r="AI582" s="23" t="n">
        <f aca="false">C582+IF(ISNUMBER(J582),J582,0)/100000+(10000-ROW())/1000000000</f>
        <v>39.001019418</v>
      </c>
      <c r="AJ582" s="18"/>
      <c r="AK582" s="18"/>
      <c r="AL582" s="18"/>
      <c r="AM582" s="18"/>
    </row>
    <row r="583" customFormat="false" ht="15" hidden="false" customHeight="false" outlineLevel="0" collapsed="false">
      <c r="A583" s="15" t="n">
        <f aca="false">RANK(AI583,$AI$2:$AI$755)</f>
        <v>582</v>
      </c>
      <c r="B583" s="16" t="str">
        <f aca="false">IF(T583="Y","Superseded",IF(C583&gt;=Scoring!$B$16,"Immediate",IF(C583&gt;=Scoring!$B$17,"This week",IF(C583&gt;=Scoring!$B$18,"Nurture","Low"))))</f>
        <v>Nurture</v>
      </c>
      <c r="C583" s="3" t="n">
        <f aca="false">SUM(AC583:AH583)</f>
        <v>39</v>
      </c>
      <c r="D583" s="15" t="str">
        <f aca="false">IF(T583="Y","Superseded record",IF(AND(U583&lt;&gt;"",AA583&lt;0),"Expired (verified)",IF(AND(U583&lt;&gt;"",AA583&lt;=Scoring!$B$5),"Expiring: notice window (verified)",IF(AND(U583&lt;&gt;"",AA583&lt;=Scoring!$B$6),"Expiring: 10-yr horizon (verified)",IF(M583="No Longer Monitored","Out of program",IF(N583="","Unknown vintage",IF(N583&lt;Scoring!$B$12,"Pre-1990, still listed",IF(AND(U583="",AA583&lt;0),"Past 30-yr mark (verify)",IF(AND(U583="",AA583&lt;=Scoring!$B$5),"30-yr mark: notice window (est.)",IF(AND(O583&gt;=Scoring!$B$7,O583&lt;=Scoring!$B$8),"Year-15 window",IF(O583&gt;=Scoring!$B$9,"Recap window",IF(O583&gt;=11,"Late compliance","Credit period"))))))))))))</f>
        <v>Recap window</v>
      </c>
      <c r="E583" s="15" t="s">
        <v>2062</v>
      </c>
      <c r="F583" s="15" t="s">
        <v>2063</v>
      </c>
      <c r="G583" s="15" t="s">
        <v>2064</v>
      </c>
      <c r="H583" s="15" t="s">
        <v>1642</v>
      </c>
      <c r="I583" s="15" t="s">
        <v>1643</v>
      </c>
      <c r="J583" s="15" t="n">
        <v>98</v>
      </c>
      <c r="K583" s="15" t="n">
        <v>98</v>
      </c>
      <c r="L583" s="15" t="n">
        <f aca="false">IF(OR(J583="",K583=""),"",MAX(J583-K583,0))</f>
        <v>0</v>
      </c>
      <c r="M583" s="15" t="s">
        <v>99</v>
      </c>
      <c r="N583" s="17" t="n">
        <v>2008</v>
      </c>
      <c r="O583" s="15" t="n">
        <f aca="false">IF(N583="","",Scoring!$B$4-N583)</f>
        <v>18</v>
      </c>
      <c r="P583" s="15" t="n">
        <f aca="false">IF(N583="","",N583+14)</f>
        <v>2022</v>
      </c>
      <c r="Q583" s="15" t="n">
        <f aca="false">IF(N583="","",IF(N583&lt;Scoring!$B$12,"n/a (pre-1990)",N583+Scoring!$B$13))</f>
        <v>2037</v>
      </c>
      <c r="R583" s="15" t="str">
        <f aca="false">IF(J583="","Unknown",IF(J583&gt;=5,"Yes","No (under 5 units)"))</f>
        <v>Yes</v>
      </c>
      <c r="S583" s="15"/>
      <c r="T583" s="18"/>
      <c r="U583" s="19"/>
      <c r="V583" s="18"/>
      <c r="W583" s="18"/>
      <c r="X583" s="20"/>
      <c r="Y583" s="18"/>
      <c r="Z583" s="18"/>
      <c r="AA583" s="21" t="n">
        <f aca="false">IF(U583&lt;&gt;"",(U583-Scoring!$B$3)/365.25,IF(N583="","",IF(N583&lt;Scoring!$B$12,"",(DATE(N583+Scoring!$B$13,12,31)-Scoring!$B$3)/365.25)))</f>
        <v>11.2470910335387</v>
      </c>
      <c r="AB583" s="22" t="n">
        <f aca="false">IF(T583="Y",0,IF(OR(D583="Expired (verified)",D583="Expiring: notice window (verified)",D583="Expiring: 10-yr horizon (verified)",D583="Past 30-yr mark (verify)",D583="30-yr mark: notice window (est.)",D583="Year-15 window"),1,0)+IF(ISNUMBER(O583),IF(O583&gt;=Scoring!$B$10,1,0),0)+IF(AND(ISNUMBER(L583),ISNUMBER(J583)),IF(J583&gt;0,IF(L583/J583&gt;=Scoring!$B$11,1,0),0),0)+IF(ISNUMBER(Z583),MIN(Z583,3),0))</f>
        <v>0</v>
      </c>
      <c r="AC583" s="22" t="n">
        <f aca="false">IF(AB583&gt;=3,Scoring!$C$24,IF(AB583=2,Scoring!$C$23,IF(AB583=1,Scoring!$C$22,0)))</f>
        <v>0</v>
      </c>
      <c r="AD583" s="22" t="n">
        <f aca="false">IF(T583="Y",0,IF(ISNUMBER(X583),IF(X583&gt;0.7,Scoring!$C$25,IF(X583&gt;=0.5,Scoring!$C$26,IF(X583&gt;=0.3,Scoring!$C$27,Scoring!$C$28))),Scoring!$C$29))</f>
        <v>10</v>
      </c>
      <c r="AE583" s="22" t="n">
        <f aca="false">IF(D583="Expiring: notice window (verified)",Scoring!$C$30,IF(OR(D583="Expired (verified)",D583="30-yr mark: notice window (est.)",D583="Year-15 window"),Scoring!$C$31,IF(D583="Expiring: 10-yr horizon (verified)",Scoring!$C$32,IF(D583="Past 30-yr mark (verify)",Scoring!$C$33,IF(OR(D583="Credit period",D583="Superseded record"),Scoring!$C$35,Scoring!$C$34)))))</f>
        <v>4</v>
      </c>
      <c r="AF583" s="22" t="n">
        <f aca="false">IF(T583="Y",0,IF(ISNUMBER(V583),IF(Scoring!$B$4-V583&gt;15,Scoring!$C$36,IF(Scoring!$B$4-V583&gt;=10,Scoring!$C$37,IF(Scoring!$B$4-V583&gt;=5,Scoring!$C$38,Scoring!$C$39))),IF(OR(N583="",D583="Out of program"),Scoring!$C$40,IF(O583&gt;15,Scoring!$C$36,IF(O583&gt;=10,Scoring!$C$37,IF(O583&gt;=5,Scoring!$C$38,Scoring!$C$39))))))</f>
        <v>15</v>
      </c>
      <c r="AG583" s="22" t="n">
        <f aca="false">IF(T583="Y",0,IF(Y583="Y",Scoring!$C$41,IF(ISNUMBER(O583),IF(O583&gt;=25,Scoring!$C$42,IF(O583&gt;=15,Scoring!$C$43,Scoring!$C$44)),Scoring!$C$44)))</f>
        <v>5</v>
      </c>
      <c r="AH583" s="22" t="n">
        <f aca="false">IF(T583="Y",0,IF(W583="",Scoring!$C$49,IFERROR(VLOOKUP(W583,Scoring!$B$45:$C$48,2,FALSE()),Scoring!$C$49)))</f>
        <v>5</v>
      </c>
      <c r="AI583" s="23" t="n">
        <f aca="false">C583+IF(ISNUMBER(J583),J583,0)/100000+(10000-ROW())/1000000000</f>
        <v>39.000989417</v>
      </c>
      <c r="AJ583" s="18"/>
      <c r="AK583" s="18"/>
      <c r="AL583" s="18"/>
      <c r="AM583" s="18"/>
    </row>
    <row r="584" customFormat="false" ht="15" hidden="false" customHeight="false" outlineLevel="0" collapsed="false">
      <c r="A584" s="15" t="n">
        <f aca="false">RANK(AI584,$AI$2:$AI$755)</f>
        <v>583</v>
      </c>
      <c r="B584" s="16" t="str">
        <f aca="false">IF(T584="Y","Superseded",IF(C584&gt;=Scoring!$B$16,"Immediate",IF(C584&gt;=Scoring!$B$17,"This week",IF(C584&gt;=Scoring!$B$18,"Nurture","Low"))))</f>
        <v>Nurture</v>
      </c>
      <c r="C584" s="3" t="n">
        <f aca="false">SUM(AC584:AH584)</f>
        <v>39</v>
      </c>
      <c r="D584" s="15" t="str">
        <f aca="false">IF(T584="Y","Superseded record",IF(AND(U584&lt;&gt;"",AA584&lt;0),"Expired (verified)",IF(AND(U584&lt;&gt;"",AA584&lt;=Scoring!$B$5),"Expiring: notice window (verified)",IF(AND(U584&lt;&gt;"",AA584&lt;=Scoring!$B$6),"Expiring: 10-yr horizon (verified)",IF(M584="No Longer Monitored","Out of program",IF(N584="","Unknown vintage",IF(N584&lt;Scoring!$B$12,"Pre-1990, still listed",IF(AND(U584="",AA584&lt;0),"Past 30-yr mark (verify)",IF(AND(U584="",AA584&lt;=Scoring!$B$5),"30-yr mark: notice window (est.)",IF(AND(O584&gt;=Scoring!$B$7,O584&lt;=Scoring!$B$8),"Year-15 window",IF(O584&gt;=Scoring!$B$9,"Recap window",IF(O584&gt;=11,"Late compliance","Credit period"))))))))))))</f>
        <v>Recap window</v>
      </c>
      <c r="E584" s="15" t="s">
        <v>2065</v>
      </c>
      <c r="F584" s="15" t="s">
        <v>2066</v>
      </c>
      <c r="G584" s="15" t="s">
        <v>2067</v>
      </c>
      <c r="H584" s="15" t="s">
        <v>97</v>
      </c>
      <c r="I584" s="15" t="s">
        <v>160</v>
      </c>
      <c r="J584" s="15" t="n">
        <v>95</v>
      </c>
      <c r="K584" s="15" t="n">
        <v>95</v>
      </c>
      <c r="L584" s="15" t="n">
        <f aca="false">IF(OR(J584="",K584=""),"",MAX(J584-K584,0))</f>
        <v>0</v>
      </c>
      <c r="M584" s="15" t="s">
        <v>99</v>
      </c>
      <c r="N584" s="17" t="n">
        <v>2008</v>
      </c>
      <c r="O584" s="15" t="n">
        <f aca="false">IF(N584="","",Scoring!$B$4-N584)</f>
        <v>18</v>
      </c>
      <c r="P584" s="15" t="n">
        <f aca="false">IF(N584="","",N584+14)</f>
        <v>2022</v>
      </c>
      <c r="Q584" s="15" t="n">
        <f aca="false">IF(N584="","",IF(N584&lt;Scoring!$B$12,"n/a (pre-1990)",N584+Scoring!$B$13))</f>
        <v>2037</v>
      </c>
      <c r="R584" s="15" t="str">
        <f aca="false">IF(J584="","Unknown",IF(J584&gt;=5,"Yes","No (under 5 units)"))</f>
        <v>Yes</v>
      </c>
      <c r="S584" s="15"/>
      <c r="T584" s="18"/>
      <c r="U584" s="19"/>
      <c r="V584" s="18"/>
      <c r="W584" s="18"/>
      <c r="X584" s="20"/>
      <c r="Y584" s="18"/>
      <c r="Z584" s="18"/>
      <c r="AA584" s="21" t="n">
        <f aca="false">IF(U584&lt;&gt;"",(U584-Scoring!$B$3)/365.25,IF(N584="","",IF(N584&lt;Scoring!$B$12,"",(DATE(N584+Scoring!$B$13,12,31)-Scoring!$B$3)/365.25)))</f>
        <v>11.2470910335387</v>
      </c>
      <c r="AB584" s="22" t="n">
        <f aca="false">IF(T584="Y",0,IF(OR(D584="Expired (verified)",D584="Expiring: notice window (verified)",D584="Expiring: 10-yr horizon (verified)",D584="Past 30-yr mark (verify)",D584="30-yr mark: notice window (est.)",D584="Year-15 window"),1,0)+IF(ISNUMBER(O584),IF(O584&gt;=Scoring!$B$10,1,0),0)+IF(AND(ISNUMBER(L584),ISNUMBER(J584)),IF(J584&gt;0,IF(L584/J584&gt;=Scoring!$B$11,1,0),0),0)+IF(ISNUMBER(Z584),MIN(Z584,3),0))</f>
        <v>0</v>
      </c>
      <c r="AC584" s="22" t="n">
        <f aca="false">IF(AB584&gt;=3,Scoring!$C$24,IF(AB584=2,Scoring!$C$23,IF(AB584=1,Scoring!$C$22,0)))</f>
        <v>0</v>
      </c>
      <c r="AD584" s="22" t="n">
        <f aca="false">IF(T584="Y",0,IF(ISNUMBER(X584),IF(X584&gt;0.7,Scoring!$C$25,IF(X584&gt;=0.5,Scoring!$C$26,IF(X584&gt;=0.3,Scoring!$C$27,Scoring!$C$28))),Scoring!$C$29))</f>
        <v>10</v>
      </c>
      <c r="AE584" s="22" t="n">
        <f aca="false">IF(D584="Expiring: notice window (verified)",Scoring!$C$30,IF(OR(D584="Expired (verified)",D584="30-yr mark: notice window (est.)",D584="Year-15 window"),Scoring!$C$31,IF(D584="Expiring: 10-yr horizon (verified)",Scoring!$C$32,IF(D584="Past 30-yr mark (verify)",Scoring!$C$33,IF(OR(D584="Credit period",D584="Superseded record"),Scoring!$C$35,Scoring!$C$34)))))</f>
        <v>4</v>
      </c>
      <c r="AF584" s="22" t="n">
        <f aca="false">IF(T584="Y",0,IF(ISNUMBER(V584),IF(Scoring!$B$4-V584&gt;15,Scoring!$C$36,IF(Scoring!$B$4-V584&gt;=10,Scoring!$C$37,IF(Scoring!$B$4-V584&gt;=5,Scoring!$C$38,Scoring!$C$39))),IF(OR(N584="",D584="Out of program"),Scoring!$C$40,IF(O584&gt;15,Scoring!$C$36,IF(O584&gt;=10,Scoring!$C$37,IF(O584&gt;=5,Scoring!$C$38,Scoring!$C$39))))))</f>
        <v>15</v>
      </c>
      <c r="AG584" s="22" t="n">
        <f aca="false">IF(T584="Y",0,IF(Y584="Y",Scoring!$C$41,IF(ISNUMBER(O584),IF(O584&gt;=25,Scoring!$C$42,IF(O584&gt;=15,Scoring!$C$43,Scoring!$C$44)),Scoring!$C$44)))</f>
        <v>5</v>
      </c>
      <c r="AH584" s="22" t="n">
        <f aca="false">IF(T584="Y",0,IF(W584="",Scoring!$C$49,IFERROR(VLOOKUP(W584,Scoring!$B$45:$C$48,2,FALSE()),Scoring!$C$49)))</f>
        <v>5</v>
      </c>
      <c r="AI584" s="23" t="n">
        <f aca="false">C584+IF(ISNUMBER(J584),J584,0)/100000+(10000-ROW())/1000000000</f>
        <v>39.000959416</v>
      </c>
      <c r="AJ584" s="18"/>
      <c r="AK584" s="18"/>
      <c r="AL584" s="18"/>
      <c r="AM584" s="18"/>
    </row>
    <row r="585" customFormat="false" ht="15" hidden="false" customHeight="false" outlineLevel="0" collapsed="false">
      <c r="A585" s="15" t="n">
        <f aca="false">RANK(AI585,$AI$2:$AI$755)</f>
        <v>584</v>
      </c>
      <c r="B585" s="16" t="str">
        <f aca="false">IF(T585="Y","Superseded",IF(C585&gt;=Scoring!$B$16,"Immediate",IF(C585&gt;=Scoring!$B$17,"This week",IF(C585&gt;=Scoring!$B$18,"Nurture","Low"))))</f>
        <v>Nurture</v>
      </c>
      <c r="C585" s="3" t="n">
        <f aca="false">SUM(AC585:AH585)</f>
        <v>39</v>
      </c>
      <c r="D585" s="15" t="str">
        <f aca="false">IF(T585="Y","Superseded record",IF(AND(U585&lt;&gt;"",AA585&lt;0),"Expired (verified)",IF(AND(U585&lt;&gt;"",AA585&lt;=Scoring!$B$5),"Expiring: notice window (verified)",IF(AND(U585&lt;&gt;"",AA585&lt;=Scoring!$B$6),"Expiring: 10-yr horizon (verified)",IF(M585="No Longer Monitored","Out of program",IF(N585="","Unknown vintage",IF(N585&lt;Scoring!$B$12,"Pre-1990, still listed",IF(AND(U585="",AA585&lt;0),"Past 30-yr mark (verify)",IF(AND(U585="",AA585&lt;=Scoring!$B$5),"30-yr mark: notice window (est.)",IF(AND(O585&gt;=Scoring!$B$7,O585&lt;=Scoring!$B$8),"Year-15 window",IF(O585&gt;=Scoring!$B$9,"Recap window",IF(O585&gt;=11,"Late compliance","Credit period"))))))))))))</f>
        <v>Recap window</v>
      </c>
      <c r="E585" s="15" t="s">
        <v>2068</v>
      </c>
      <c r="F585" s="15" t="s">
        <v>2069</v>
      </c>
      <c r="G585" s="15" t="s">
        <v>2070</v>
      </c>
      <c r="H585" s="15" t="s">
        <v>536</v>
      </c>
      <c r="I585" s="15" t="s">
        <v>537</v>
      </c>
      <c r="J585" s="15" t="n">
        <v>94</v>
      </c>
      <c r="K585" s="15" t="n">
        <v>94</v>
      </c>
      <c r="L585" s="15" t="n">
        <f aca="false">IF(OR(J585="",K585=""),"",MAX(J585-K585,0))</f>
        <v>0</v>
      </c>
      <c r="M585" s="15" t="s">
        <v>99</v>
      </c>
      <c r="N585" s="17" t="n">
        <v>2008</v>
      </c>
      <c r="O585" s="15" t="n">
        <f aca="false">IF(N585="","",Scoring!$B$4-N585)</f>
        <v>18</v>
      </c>
      <c r="P585" s="15" t="n">
        <f aca="false">IF(N585="","",N585+14)</f>
        <v>2022</v>
      </c>
      <c r="Q585" s="15" t="n">
        <f aca="false">IF(N585="","",IF(N585&lt;Scoring!$B$12,"n/a (pre-1990)",N585+Scoring!$B$13))</f>
        <v>2037</v>
      </c>
      <c r="R585" s="15" t="str">
        <f aca="false">IF(J585="","Unknown",IF(J585&gt;=5,"Yes","No (under 5 units)"))</f>
        <v>Yes</v>
      </c>
      <c r="S585" s="15"/>
      <c r="T585" s="18"/>
      <c r="U585" s="19"/>
      <c r="V585" s="18"/>
      <c r="W585" s="18"/>
      <c r="X585" s="20"/>
      <c r="Y585" s="18"/>
      <c r="Z585" s="18"/>
      <c r="AA585" s="21" t="n">
        <f aca="false">IF(U585&lt;&gt;"",(U585-Scoring!$B$3)/365.25,IF(N585="","",IF(N585&lt;Scoring!$B$12,"",(DATE(N585+Scoring!$B$13,12,31)-Scoring!$B$3)/365.25)))</f>
        <v>11.2470910335387</v>
      </c>
      <c r="AB585" s="22" t="n">
        <f aca="false">IF(T585="Y",0,IF(OR(D585="Expired (verified)",D585="Expiring: notice window (verified)",D585="Expiring: 10-yr horizon (verified)",D585="Past 30-yr mark (verify)",D585="30-yr mark: notice window (est.)",D585="Year-15 window"),1,0)+IF(ISNUMBER(O585),IF(O585&gt;=Scoring!$B$10,1,0),0)+IF(AND(ISNUMBER(L585),ISNUMBER(J585)),IF(J585&gt;0,IF(L585/J585&gt;=Scoring!$B$11,1,0),0),0)+IF(ISNUMBER(Z585),MIN(Z585,3),0))</f>
        <v>0</v>
      </c>
      <c r="AC585" s="22" t="n">
        <f aca="false">IF(AB585&gt;=3,Scoring!$C$24,IF(AB585=2,Scoring!$C$23,IF(AB585=1,Scoring!$C$22,0)))</f>
        <v>0</v>
      </c>
      <c r="AD585" s="22" t="n">
        <f aca="false">IF(T585="Y",0,IF(ISNUMBER(X585),IF(X585&gt;0.7,Scoring!$C$25,IF(X585&gt;=0.5,Scoring!$C$26,IF(X585&gt;=0.3,Scoring!$C$27,Scoring!$C$28))),Scoring!$C$29))</f>
        <v>10</v>
      </c>
      <c r="AE585" s="22" t="n">
        <f aca="false">IF(D585="Expiring: notice window (verified)",Scoring!$C$30,IF(OR(D585="Expired (verified)",D585="30-yr mark: notice window (est.)",D585="Year-15 window"),Scoring!$C$31,IF(D585="Expiring: 10-yr horizon (verified)",Scoring!$C$32,IF(D585="Past 30-yr mark (verify)",Scoring!$C$33,IF(OR(D585="Credit period",D585="Superseded record"),Scoring!$C$35,Scoring!$C$34)))))</f>
        <v>4</v>
      </c>
      <c r="AF585" s="22" t="n">
        <f aca="false">IF(T585="Y",0,IF(ISNUMBER(V585),IF(Scoring!$B$4-V585&gt;15,Scoring!$C$36,IF(Scoring!$B$4-V585&gt;=10,Scoring!$C$37,IF(Scoring!$B$4-V585&gt;=5,Scoring!$C$38,Scoring!$C$39))),IF(OR(N585="",D585="Out of program"),Scoring!$C$40,IF(O585&gt;15,Scoring!$C$36,IF(O585&gt;=10,Scoring!$C$37,IF(O585&gt;=5,Scoring!$C$38,Scoring!$C$39))))))</f>
        <v>15</v>
      </c>
      <c r="AG585" s="22" t="n">
        <f aca="false">IF(T585="Y",0,IF(Y585="Y",Scoring!$C$41,IF(ISNUMBER(O585),IF(O585&gt;=25,Scoring!$C$42,IF(O585&gt;=15,Scoring!$C$43,Scoring!$C$44)),Scoring!$C$44)))</f>
        <v>5</v>
      </c>
      <c r="AH585" s="22" t="n">
        <f aca="false">IF(T585="Y",0,IF(W585="",Scoring!$C$49,IFERROR(VLOOKUP(W585,Scoring!$B$45:$C$48,2,FALSE()),Scoring!$C$49)))</f>
        <v>5</v>
      </c>
      <c r="AI585" s="23" t="n">
        <f aca="false">C585+IF(ISNUMBER(J585),J585,0)/100000+(10000-ROW())/1000000000</f>
        <v>39.000949415</v>
      </c>
      <c r="AJ585" s="18"/>
      <c r="AK585" s="18"/>
      <c r="AL585" s="18"/>
      <c r="AM585" s="18"/>
    </row>
    <row r="586" customFormat="false" ht="15" hidden="false" customHeight="false" outlineLevel="0" collapsed="false">
      <c r="A586" s="15" t="n">
        <f aca="false">RANK(AI586,$AI$2:$AI$755)</f>
        <v>585</v>
      </c>
      <c r="B586" s="16" t="str">
        <f aca="false">IF(T586="Y","Superseded",IF(C586&gt;=Scoring!$B$16,"Immediate",IF(C586&gt;=Scoring!$B$17,"This week",IF(C586&gt;=Scoring!$B$18,"Nurture","Low"))))</f>
        <v>Nurture</v>
      </c>
      <c r="C586" s="3" t="n">
        <f aca="false">SUM(AC586:AH586)</f>
        <v>39</v>
      </c>
      <c r="D586" s="15" t="str">
        <f aca="false">IF(T586="Y","Superseded record",IF(AND(U586&lt;&gt;"",AA586&lt;0),"Expired (verified)",IF(AND(U586&lt;&gt;"",AA586&lt;=Scoring!$B$5),"Expiring: notice window (verified)",IF(AND(U586&lt;&gt;"",AA586&lt;=Scoring!$B$6),"Expiring: 10-yr horizon (verified)",IF(M586="No Longer Monitored","Out of program",IF(N586="","Unknown vintage",IF(N586&lt;Scoring!$B$12,"Pre-1990, still listed",IF(AND(U586="",AA586&lt;0),"Past 30-yr mark (verify)",IF(AND(U586="",AA586&lt;=Scoring!$B$5),"30-yr mark: notice window (est.)",IF(AND(O586&gt;=Scoring!$B$7,O586&lt;=Scoring!$B$8),"Year-15 window",IF(O586&gt;=Scoring!$B$9,"Recap window",IF(O586&gt;=11,"Late compliance","Credit period"))))))))))))</f>
        <v>Recap window</v>
      </c>
      <c r="E586" s="15" t="s">
        <v>2071</v>
      </c>
      <c r="F586" s="15" t="s">
        <v>2072</v>
      </c>
      <c r="G586" s="15" t="s">
        <v>2073</v>
      </c>
      <c r="H586" s="15" t="s">
        <v>536</v>
      </c>
      <c r="I586" s="15" t="s">
        <v>549</v>
      </c>
      <c r="J586" s="15" t="n">
        <v>82</v>
      </c>
      <c r="K586" s="15" t="n">
        <v>81</v>
      </c>
      <c r="L586" s="15" t="n">
        <f aca="false">IF(OR(J586="",K586=""),"",MAX(J586-K586,0))</f>
        <v>1</v>
      </c>
      <c r="M586" s="15" t="s">
        <v>99</v>
      </c>
      <c r="N586" s="17" t="n">
        <v>2007</v>
      </c>
      <c r="O586" s="15" t="n">
        <f aca="false">IF(N586="","",Scoring!$B$4-N586)</f>
        <v>19</v>
      </c>
      <c r="P586" s="15" t="n">
        <f aca="false">IF(N586="","",N586+14)</f>
        <v>2021</v>
      </c>
      <c r="Q586" s="15" t="n">
        <f aca="false">IF(N586="","",IF(N586&lt;Scoring!$B$12,"n/a (pre-1990)",N586+Scoring!$B$13))</f>
        <v>2036</v>
      </c>
      <c r="R586" s="15" t="str">
        <f aca="false">IF(J586="","Unknown",IF(J586&gt;=5,"Yes","No (under 5 units)"))</f>
        <v>Yes</v>
      </c>
      <c r="S586" s="15"/>
      <c r="T586" s="18"/>
      <c r="U586" s="19"/>
      <c r="V586" s="18"/>
      <c r="W586" s="18"/>
      <c r="X586" s="20"/>
      <c r="Y586" s="18"/>
      <c r="Z586" s="18"/>
      <c r="AA586" s="21" t="n">
        <f aca="false">IF(U586&lt;&gt;"",(U586-Scoring!$B$3)/365.25,IF(N586="","",IF(N586&lt;Scoring!$B$12,"",(DATE(N586+Scoring!$B$13,12,31)-Scoring!$B$3)/365.25)))</f>
        <v>10.2477754962355</v>
      </c>
      <c r="AB586" s="22" t="n">
        <f aca="false">IF(T586="Y",0,IF(OR(D586="Expired (verified)",D586="Expiring: notice window (verified)",D586="Expiring: 10-yr horizon (verified)",D586="Past 30-yr mark (verify)",D586="30-yr mark: notice window (est.)",D586="Year-15 window"),1,0)+IF(ISNUMBER(O586),IF(O586&gt;=Scoring!$B$10,1,0),0)+IF(AND(ISNUMBER(L586),ISNUMBER(J586)),IF(J586&gt;0,IF(L586/J586&gt;=Scoring!$B$11,1,0),0),0)+IF(ISNUMBER(Z586),MIN(Z586,3),0))</f>
        <v>0</v>
      </c>
      <c r="AC586" s="22" t="n">
        <f aca="false">IF(AB586&gt;=3,Scoring!$C$24,IF(AB586=2,Scoring!$C$23,IF(AB586=1,Scoring!$C$22,0)))</f>
        <v>0</v>
      </c>
      <c r="AD586" s="22" t="n">
        <f aca="false">IF(T586="Y",0,IF(ISNUMBER(X586),IF(X586&gt;0.7,Scoring!$C$25,IF(X586&gt;=0.5,Scoring!$C$26,IF(X586&gt;=0.3,Scoring!$C$27,Scoring!$C$28))),Scoring!$C$29))</f>
        <v>10</v>
      </c>
      <c r="AE586" s="22" t="n">
        <f aca="false">IF(D586="Expiring: notice window (verified)",Scoring!$C$30,IF(OR(D586="Expired (verified)",D586="30-yr mark: notice window (est.)",D586="Year-15 window"),Scoring!$C$31,IF(D586="Expiring: 10-yr horizon (verified)",Scoring!$C$32,IF(D586="Past 30-yr mark (verify)",Scoring!$C$33,IF(OR(D586="Credit period",D586="Superseded record"),Scoring!$C$35,Scoring!$C$34)))))</f>
        <v>4</v>
      </c>
      <c r="AF586" s="22" t="n">
        <f aca="false">IF(T586="Y",0,IF(ISNUMBER(V586),IF(Scoring!$B$4-V586&gt;15,Scoring!$C$36,IF(Scoring!$B$4-V586&gt;=10,Scoring!$C$37,IF(Scoring!$B$4-V586&gt;=5,Scoring!$C$38,Scoring!$C$39))),IF(OR(N586="",D586="Out of program"),Scoring!$C$40,IF(O586&gt;15,Scoring!$C$36,IF(O586&gt;=10,Scoring!$C$37,IF(O586&gt;=5,Scoring!$C$38,Scoring!$C$39))))))</f>
        <v>15</v>
      </c>
      <c r="AG586" s="22" t="n">
        <f aca="false">IF(T586="Y",0,IF(Y586="Y",Scoring!$C$41,IF(ISNUMBER(O586),IF(O586&gt;=25,Scoring!$C$42,IF(O586&gt;=15,Scoring!$C$43,Scoring!$C$44)),Scoring!$C$44)))</f>
        <v>5</v>
      </c>
      <c r="AH586" s="22" t="n">
        <f aca="false">IF(T586="Y",0,IF(W586="",Scoring!$C$49,IFERROR(VLOOKUP(W586,Scoring!$B$45:$C$48,2,FALSE()),Scoring!$C$49)))</f>
        <v>5</v>
      </c>
      <c r="AI586" s="23" t="n">
        <f aca="false">C586+IF(ISNUMBER(J586),J586,0)/100000+(10000-ROW())/1000000000</f>
        <v>39.000829414</v>
      </c>
      <c r="AJ586" s="18"/>
      <c r="AK586" s="18"/>
      <c r="AL586" s="18"/>
      <c r="AM586" s="18"/>
    </row>
    <row r="587" customFormat="false" ht="15" hidden="false" customHeight="false" outlineLevel="0" collapsed="false">
      <c r="A587" s="15" t="n">
        <f aca="false">RANK(AI587,$AI$2:$AI$755)</f>
        <v>586</v>
      </c>
      <c r="B587" s="16" t="str">
        <f aca="false">IF(T587="Y","Superseded",IF(C587&gt;=Scoring!$B$16,"Immediate",IF(C587&gt;=Scoring!$B$17,"This week",IF(C587&gt;=Scoring!$B$18,"Nurture","Low"))))</f>
        <v>Nurture</v>
      </c>
      <c r="C587" s="3" t="n">
        <f aca="false">SUM(AC587:AH587)</f>
        <v>39</v>
      </c>
      <c r="D587" s="15" t="str">
        <f aca="false">IF(T587="Y","Superseded record",IF(AND(U587&lt;&gt;"",AA587&lt;0),"Expired (verified)",IF(AND(U587&lt;&gt;"",AA587&lt;=Scoring!$B$5),"Expiring: notice window (verified)",IF(AND(U587&lt;&gt;"",AA587&lt;=Scoring!$B$6),"Expiring: 10-yr horizon (verified)",IF(M587="No Longer Monitored","Out of program",IF(N587="","Unknown vintage",IF(N587&lt;Scoring!$B$12,"Pre-1990, still listed",IF(AND(U587="",AA587&lt;0),"Past 30-yr mark (verify)",IF(AND(U587="",AA587&lt;=Scoring!$B$5),"30-yr mark: notice window (est.)",IF(AND(O587&gt;=Scoring!$B$7,O587&lt;=Scoring!$B$8),"Year-15 window",IF(O587&gt;=Scoring!$B$9,"Recap window",IF(O587&gt;=11,"Late compliance","Credit period"))))))))))))</f>
        <v>Recap window</v>
      </c>
      <c r="E587" s="15" t="s">
        <v>2074</v>
      </c>
      <c r="F587" s="15" t="s">
        <v>2075</v>
      </c>
      <c r="G587" s="15" t="s">
        <v>2076</v>
      </c>
      <c r="H587" s="15" t="s">
        <v>97</v>
      </c>
      <c r="I587" s="15" t="s">
        <v>195</v>
      </c>
      <c r="J587" s="15" t="n">
        <v>80</v>
      </c>
      <c r="K587" s="15" t="n">
        <v>80</v>
      </c>
      <c r="L587" s="15" t="n">
        <f aca="false">IF(OR(J587="",K587=""),"",MAX(J587-K587,0))</f>
        <v>0</v>
      </c>
      <c r="M587" s="15" t="s">
        <v>99</v>
      </c>
      <c r="N587" s="17" t="n">
        <v>2008</v>
      </c>
      <c r="O587" s="15" t="n">
        <f aca="false">IF(N587="","",Scoring!$B$4-N587)</f>
        <v>18</v>
      </c>
      <c r="P587" s="15" t="n">
        <f aca="false">IF(N587="","",N587+14)</f>
        <v>2022</v>
      </c>
      <c r="Q587" s="15" t="n">
        <f aca="false">IF(N587="","",IF(N587&lt;Scoring!$B$12,"n/a (pre-1990)",N587+Scoring!$B$13))</f>
        <v>2037</v>
      </c>
      <c r="R587" s="15" t="str">
        <f aca="false">IF(J587="","Unknown",IF(J587&gt;=5,"Yes","No (under 5 units)"))</f>
        <v>Yes</v>
      </c>
      <c r="S587" s="15"/>
      <c r="T587" s="18"/>
      <c r="U587" s="19"/>
      <c r="V587" s="18"/>
      <c r="W587" s="18"/>
      <c r="X587" s="20"/>
      <c r="Y587" s="18"/>
      <c r="Z587" s="18"/>
      <c r="AA587" s="21" t="n">
        <f aca="false">IF(U587&lt;&gt;"",(U587-Scoring!$B$3)/365.25,IF(N587="","",IF(N587&lt;Scoring!$B$12,"",(DATE(N587+Scoring!$B$13,12,31)-Scoring!$B$3)/365.25)))</f>
        <v>11.2470910335387</v>
      </c>
      <c r="AB587" s="22" t="n">
        <f aca="false">IF(T587="Y",0,IF(OR(D587="Expired (verified)",D587="Expiring: notice window (verified)",D587="Expiring: 10-yr horizon (verified)",D587="Past 30-yr mark (verify)",D587="30-yr mark: notice window (est.)",D587="Year-15 window"),1,0)+IF(ISNUMBER(O587),IF(O587&gt;=Scoring!$B$10,1,0),0)+IF(AND(ISNUMBER(L587),ISNUMBER(J587)),IF(J587&gt;0,IF(L587/J587&gt;=Scoring!$B$11,1,0),0),0)+IF(ISNUMBER(Z587),MIN(Z587,3),0))</f>
        <v>0</v>
      </c>
      <c r="AC587" s="22" t="n">
        <f aca="false">IF(AB587&gt;=3,Scoring!$C$24,IF(AB587=2,Scoring!$C$23,IF(AB587=1,Scoring!$C$22,0)))</f>
        <v>0</v>
      </c>
      <c r="AD587" s="22" t="n">
        <f aca="false">IF(T587="Y",0,IF(ISNUMBER(X587),IF(X587&gt;0.7,Scoring!$C$25,IF(X587&gt;=0.5,Scoring!$C$26,IF(X587&gt;=0.3,Scoring!$C$27,Scoring!$C$28))),Scoring!$C$29))</f>
        <v>10</v>
      </c>
      <c r="AE587" s="22" t="n">
        <f aca="false">IF(D587="Expiring: notice window (verified)",Scoring!$C$30,IF(OR(D587="Expired (verified)",D587="30-yr mark: notice window (est.)",D587="Year-15 window"),Scoring!$C$31,IF(D587="Expiring: 10-yr horizon (verified)",Scoring!$C$32,IF(D587="Past 30-yr mark (verify)",Scoring!$C$33,IF(OR(D587="Credit period",D587="Superseded record"),Scoring!$C$35,Scoring!$C$34)))))</f>
        <v>4</v>
      </c>
      <c r="AF587" s="22" t="n">
        <f aca="false">IF(T587="Y",0,IF(ISNUMBER(V587),IF(Scoring!$B$4-V587&gt;15,Scoring!$C$36,IF(Scoring!$B$4-V587&gt;=10,Scoring!$C$37,IF(Scoring!$B$4-V587&gt;=5,Scoring!$C$38,Scoring!$C$39))),IF(OR(N587="",D587="Out of program"),Scoring!$C$40,IF(O587&gt;15,Scoring!$C$36,IF(O587&gt;=10,Scoring!$C$37,IF(O587&gt;=5,Scoring!$C$38,Scoring!$C$39))))))</f>
        <v>15</v>
      </c>
      <c r="AG587" s="22" t="n">
        <f aca="false">IF(T587="Y",0,IF(Y587="Y",Scoring!$C$41,IF(ISNUMBER(O587),IF(O587&gt;=25,Scoring!$C$42,IF(O587&gt;=15,Scoring!$C$43,Scoring!$C$44)),Scoring!$C$44)))</f>
        <v>5</v>
      </c>
      <c r="AH587" s="22" t="n">
        <f aca="false">IF(T587="Y",0,IF(W587="",Scoring!$C$49,IFERROR(VLOOKUP(W587,Scoring!$B$45:$C$48,2,FALSE()),Scoring!$C$49)))</f>
        <v>5</v>
      </c>
      <c r="AI587" s="23" t="n">
        <f aca="false">C587+IF(ISNUMBER(J587),J587,0)/100000+(10000-ROW())/1000000000</f>
        <v>39.000809413</v>
      </c>
      <c r="AJ587" s="18"/>
      <c r="AK587" s="18"/>
      <c r="AL587" s="18"/>
      <c r="AM587" s="18"/>
    </row>
    <row r="588" customFormat="false" ht="15" hidden="false" customHeight="false" outlineLevel="0" collapsed="false">
      <c r="A588" s="15" t="n">
        <f aca="false">RANK(AI588,$AI$2:$AI$755)</f>
        <v>587</v>
      </c>
      <c r="B588" s="16" t="str">
        <f aca="false">IF(T588="Y","Superseded",IF(C588&gt;=Scoring!$B$16,"Immediate",IF(C588&gt;=Scoring!$B$17,"This week",IF(C588&gt;=Scoring!$B$18,"Nurture","Low"))))</f>
        <v>Nurture</v>
      </c>
      <c r="C588" s="3" t="n">
        <f aca="false">SUM(AC588:AH588)</f>
        <v>39</v>
      </c>
      <c r="D588" s="15" t="str">
        <f aca="false">IF(T588="Y","Superseded record",IF(AND(U588&lt;&gt;"",AA588&lt;0),"Expired (verified)",IF(AND(U588&lt;&gt;"",AA588&lt;=Scoring!$B$5),"Expiring: notice window (verified)",IF(AND(U588&lt;&gt;"",AA588&lt;=Scoring!$B$6),"Expiring: 10-yr horizon (verified)",IF(M588="No Longer Monitored","Out of program",IF(N588="","Unknown vintage",IF(N588&lt;Scoring!$B$12,"Pre-1990, still listed",IF(AND(U588="",AA588&lt;0),"Past 30-yr mark (verify)",IF(AND(U588="",AA588&lt;=Scoring!$B$5),"30-yr mark: notice window (est.)",IF(AND(O588&gt;=Scoring!$B$7,O588&lt;=Scoring!$B$8),"Year-15 window",IF(O588&gt;=Scoring!$B$9,"Recap window",IF(O588&gt;=11,"Late compliance","Credit period"))))))))))))</f>
        <v>Recap window</v>
      </c>
      <c r="E588" s="15" t="s">
        <v>2077</v>
      </c>
      <c r="F588" s="15" t="s">
        <v>2078</v>
      </c>
      <c r="G588" s="15" t="s">
        <v>2079</v>
      </c>
      <c r="H588" s="15" t="s">
        <v>455</v>
      </c>
      <c r="I588" s="15" t="s">
        <v>191</v>
      </c>
      <c r="J588" s="15" t="n">
        <v>80</v>
      </c>
      <c r="K588" s="15" t="n">
        <v>80</v>
      </c>
      <c r="L588" s="15" t="n">
        <f aca="false">IF(OR(J588="",K588=""),"",MAX(J588-K588,0))</f>
        <v>0</v>
      </c>
      <c r="M588" s="15" t="s">
        <v>99</v>
      </c>
      <c r="N588" s="17" t="n">
        <v>2008</v>
      </c>
      <c r="O588" s="15" t="n">
        <f aca="false">IF(N588="","",Scoring!$B$4-N588)</f>
        <v>18</v>
      </c>
      <c r="P588" s="15" t="n">
        <f aca="false">IF(N588="","",N588+14)</f>
        <v>2022</v>
      </c>
      <c r="Q588" s="15" t="n">
        <f aca="false">IF(N588="","",IF(N588&lt;Scoring!$B$12,"n/a (pre-1990)",N588+Scoring!$B$13))</f>
        <v>2037</v>
      </c>
      <c r="R588" s="15" t="str">
        <f aca="false">IF(J588="","Unknown",IF(J588&gt;=5,"Yes","No (under 5 units)"))</f>
        <v>Yes</v>
      </c>
      <c r="S588" s="15"/>
      <c r="T588" s="18"/>
      <c r="U588" s="19"/>
      <c r="V588" s="18"/>
      <c r="W588" s="18"/>
      <c r="X588" s="20"/>
      <c r="Y588" s="18"/>
      <c r="Z588" s="18"/>
      <c r="AA588" s="21" t="n">
        <f aca="false">IF(U588&lt;&gt;"",(U588-Scoring!$B$3)/365.25,IF(N588="","",IF(N588&lt;Scoring!$B$12,"",(DATE(N588+Scoring!$B$13,12,31)-Scoring!$B$3)/365.25)))</f>
        <v>11.2470910335387</v>
      </c>
      <c r="AB588" s="22" t="n">
        <f aca="false">IF(T588="Y",0,IF(OR(D588="Expired (verified)",D588="Expiring: notice window (verified)",D588="Expiring: 10-yr horizon (verified)",D588="Past 30-yr mark (verify)",D588="30-yr mark: notice window (est.)",D588="Year-15 window"),1,0)+IF(ISNUMBER(O588),IF(O588&gt;=Scoring!$B$10,1,0),0)+IF(AND(ISNUMBER(L588),ISNUMBER(J588)),IF(J588&gt;0,IF(L588/J588&gt;=Scoring!$B$11,1,0),0),0)+IF(ISNUMBER(Z588),MIN(Z588,3),0))</f>
        <v>0</v>
      </c>
      <c r="AC588" s="22" t="n">
        <f aca="false">IF(AB588&gt;=3,Scoring!$C$24,IF(AB588=2,Scoring!$C$23,IF(AB588=1,Scoring!$C$22,0)))</f>
        <v>0</v>
      </c>
      <c r="AD588" s="22" t="n">
        <f aca="false">IF(T588="Y",0,IF(ISNUMBER(X588),IF(X588&gt;0.7,Scoring!$C$25,IF(X588&gt;=0.5,Scoring!$C$26,IF(X588&gt;=0.3,Scoring!$C$27,Scoring!$C$28))),Scoring!$C$29))</f>
        <v>10</v>
      </c>
      <c r="AE588" s="22" t="n">
        <f aca="false">IF(D588="Expiring: notice window (verified)",Scoring!$C$30,IF(OR(D588="Expired (verified)",D588="30-yr mark: notice window (est.)",D588="Year-15 window"),Scoring!$C$31,IF(D588="Expiring: 10-yr horizon (verified)",Scoring!$C$32,IF(D588="Past 30-yr mark (verify)",Scoring!$C$33,IF(OR(D588="Credit period",D588="Superseded record"),Scoring!$C$35,Scoring!$C$34)))))</f>
        <v>4</v>
      </c>
      <c r="AF588" s="22" t="n">
        <f aca="false">IF(T588="Y",0,IF(ISNUMBER(V588),IF(Scoring!$B$4-V588&gt;15,Scoring!$C$36,IF(Scoring!$B$4-V588&gt;=10,Scoring!$C$37,IF(Scoring!$B$4-V588&gt;=5,Scoring!$C$38,Scoring!$C$39))),IF(OR(N588="",D588="Out of program"),Scoring!$C$40,IF(O588&gt;15,Scoring!$C$36,IF(O588&gt;=10,Scoring!$C$37,IF(O588&gt;=5,Scoring!$C$38,Scoring!$C$39))))))</f>
        <v>15</v>
      </c>
      <c r="AG588" s="22" t="n">
        <f aca="false">IF(T588="Y",0,IF(Y588="Y",Scoring!$C$41,IF(ISNUMBER(O588),IF(O588&gt;=25,Scoring!$C$42,IF(O588&gt;=15,Scoring!$C$43,Scoring!$C$44)),Scoring!$C$44)))</f>
        <v>5</v>
      </c>
      <c r="AH588" s="22" t="n">
        <f aca="false">IF(T588="Y",0,IF(W588="",Scoring!$C$49,IFERROR(VLOOKUP(W588,Scoring!$B$45:$C$48,2,FALSE()),Scoring!$C$49)))</f>
        <v>5</v>
      </c>
      <c r="AI588" s="23" t="n">
        <f aca="false">C588+IF(ISNUMBER(J588),J588,0)/100000+(10000-ROW())/1000000000</f>
        <v>39.000809412</v>
      </c>
      <c r="AJ588" s="18"/>
      <c r="AK588" s="18"/>
      <c r="AL588" s="18"/>
      <c r="AM588" s="18"/>
    </row>
    <row r="589" customFormat="false" ht="15" hidden="false" customHeight="false" outlineLevel="0" collapsed="false">
      <c r="A589" s="15" t="n">
        <f aca="false">RANK(AI589,$AI$2:$AI$755)</f>
        <v>588</v>
      </c>
      <c r="B589" s="16" t="str">
        <f aca="false">IF(T589="Y","Superseded",IF(C589&gt;=Scoring!$B$16,"Immediate",IF(C589&gt;=Scoring!$B$17,"This week",IF(C589&gt;=Scoring!$B$18,"Nurture","Low"))))</f>
        <v>Nurture</v>
      </c>
      <c r="C589" s="3" t="n">
        <f aca="false">SUM(AC589:AH589)</f>
        <v>39</v>
      </c>
      <c r="D589" s="15" t="str">
        <f aca="false">IF(T589="Y","Superseded record",IF(AND(U589&lt;&gt;"",AA589&lt;0),"Expired (verified)",IF(AND(U589&lt;&gt;"",AA589&lt;=Scoring!$B$5),"Expiring: notice window (verified)",IF(AND(U589&lt;&gt;"",AA589&lt;=Scoring!$B$6),"Expiring: 10-yr horizon (verified)",IF(M589="No Longer Monitored","Out of program",IF(N589="","Unknown vintage",IF(N589&lt;Scoring!$B$12,"Pre-1990, still listed",IF(AND(U589="",AA589&lt;0),"Past 30-yr mark (verify)",IF(AND(U589="",AA589&lt;=Scoring!$B$5),"30-yr mark: notice window (est.)",IF(AND(O589&gt;=Scoring!$B$7,O589&lt;=Scoring!$B$8),"Year-15 window",IF(O589&gt;=Scoring!$B$9,"Recap window",IF(O589&gt;=11,"Late compliance","Credit period"))))))))))))</f>
        <v>Recap window</v>
      </c>
      <c r="E589" s="15" t="s">
        <v>2080</v>
      </c>
      <c r="F589" s="15" t="s">
        <v>2081</v>
      </c>
      <c r="G589" s="15" t="s">
        <v>2082</v>
      </c>
      <c r="H589" s="15" t="s">
        <v>97</v>
      </c>
      <c r="I589" s="15" t="s">
        <v>1309</v>
      </c>
      <c r="J589" s="15" t="n">
        <v>70</v>
      </c>
      <c r="K589" s="15" t="n">
        <v>70</v>
      </c>
      <c r="L589" s="15" t="n">
        <f aca="false">IF(OR(J589="",K589=""),"",MAX(J589-K589,0))</f>
        <v>0</v>
      </c>
      <c r="M589" s="15" t="s">
        <v>99</v>
      </c>
      <c r="N589" s="17" t="n">
        <v>2008</v>
      </c>
      <c r="O589" s="15" t="n">
        <f aca="false">IF(N589="","",Scoring!$B$4-N589)</f>
        <v>18</v>
      </c>
      <c r="P589" s="15" t="n">
        <f aca="false">IF(N589="","",N589+14)</f>
        <v>2022</v>
      </c>
      <c r="Q589" s="15" t="n">
        <f aca="false">IF(N589="","",IF(N589&lt;Scoring!$B$12,"n/a (pre-1990)",N589+Scoring!$B$13))</f>
        <v>2037</v>
      </c>
      <c r="R589" s="15" t="str">
        <f aca="false">IF(J589="","Unknown",IF(J589&gt;=5,"Yes","No (under 5 units)"))</f>
        <v>Yes</v>
      </c>
      <c r="S589" s="15"/>
      <c r="T589" s="18"/>
      <c r="U589" s="19"/>
      <c r="V589" s="18"/>
      <c r="W589" s="18"/>
      <c r="X589" s="20"/>
      <c r="Y589" s="18"/>
      <c r="Z589" s="18"/>
      <c r="AA589" s="21" t="n">
        <f aca="false">IF(U589&lt;&gt;"",(U589-Scoring!$B$3)/365.25,IF(N589="","",IF(N589&lt;Scoring!$B$12,"",(DATE(N589+Scoring!$B$13,12,31)-Scoring!$B$3)/365.25)))</f>
        <v>11.2470910335387</v>
      </c>
      <c r="AB589" s="22" t="n">
        <f aca="false">IF(T589="Y",0,IF(OR(D589="Expired (verified)",D589="Expiring: notice window (verified)",D589="Expiring: 10-yr horizon (verified)",D589="Past 30-yr mark (verify)",D589="30-yr mark: notice window (est.)",D589="Year-15 window"),1,0)+IF(ISNUMBER(O589),IF(O589&gt;=Scoring!$B$10,1,0),0)+IF(AND(ISNUMBER(L589),ISNUMBER(J589)),IF(J589&gt;0,IF(L589/J589&gt;=Scoring!$B$11,1,0),0),0)+IF(ISNUMBER(Z589),MIN(Z589,3),0))</f>
        <v>0</v>
      </c>
      <c r="AC589" s="22" t="n">
        <f aca="false">IF(AB589&gt;=3,Scoring!$C$24,IF(AB589=2,Scoring!$C$23,IF(AB589=1,Scoring!$C$22,0)))</f>
        <v>0</v>
      </c>
      <c r="AD589" s="22" t="n">
        <f aca="false">IF(T589="Y",0,IF(ISNUMBER(X589),IF(X589&gt;0.7,Scoring!$C$25,IF(X589&gt;=0.5,Scoring!$C$26,IF(X589&gt;=0.3,Scoring!$C$27,Scoring!$C$28))),Scoring!$C$29))</f>
        <v>10</v>
      </c>
      <c r="AE589" s="22" t="n">
        <f aca="false">IF(D589="Expiring: notice window (verified)",Scoring!$C$30,IF(OR(D589="Expired (verified)",D589="30-yr mark: notice window (est.)",D589="Year-15 window"),Scoring!$C$31,IF(D589="Expiring: 10-yr horizon (verified)",Scoring!$C$32,IF(D589="Past 30-yr mark (verify)",Scoring!$C$33,IF(OR(D589="Credit period",D589="Superseded record"),Scoring!$C$35,Scoring!$C$34)))))</f>
        <v>4</v>
      </c>
      <c r="AF589" s="22" t="n">
        <f aca="false">IF(T589="Y",0,IF(ISNUMBER(V589),IF(Scoring!$B$4-V589&gt;15,Scoring!$C$36,IF(Scoring!$B$4-V589&gt;=10,Scoring!$C$37,IF(Scoring!$B$4-V589&gt;=5,Scoring!$C$38,Scoring!$C$39))),IF(OR(N589="",D589="Out of program"),Scoring!$C$40,IF(O589&gt;15,Scoring!$C$36,IF(O589&gt;=10,Scoring!$C$37,IF(O589&gt;=5,Scoring!$C$38,Scoring!$C$39))))))</f>
        <v>15</v>
      </c>
      <c r="AG589" s="22" t="n">
        <f aca="false">IF(T589="Y",0,IF(Y589="Y",Scoring!$C$41,IF(ISNUMBER(O589),IF(O589&gt;=25,Scoring!$C$42,IF(O589&gt;=15,Scoring!$C$43,Scoring!$C$44)),Scoring!$C$44)))</f>
        <v>5</v>
      </c>
      <c r="AH589" s="22" t="n">
        <f aca="false">IF(T589="Y",0,IF(W589="",Scoring!$C$49,IFERROR(VLOOKUP(W589,Scoring!$B$45:$C$48,2,FALSE()),Scoring!$C$49)))</f>
        <v>5</v>
      </c>
      <c r="AI589" s="23" t="n">
        <f aca="false">C589+IF(ISNUMBER(J589),J589,0)/100000+(10000-ROW())/1000000000</f>
        <v>39.000709411</v>
      </c>
      <c r="AJ589" s="18"/>
      <c r="AK589" s="18"/>
      <c r="AL589" s="18"/>
      <c r="AM589" s="18"/>
    </row>
    <row r="590" customFormat="false" ht="15" hidden="false" customHeight="false" outlineLevel="0" collapsed="false">
      <c r="A590" s="15" t="n">
        <f aca="false">RANK(AI590,$AI$2:$AI$755)</f>
        <v>589</v>
      </c>
      <c r="B590" s="16" t="str">
        <f aca="false">IF(T590="Y","Superseded",IF(C590&gt;=Scoring!$B$16,"Immediate",IF(C590&gt;=Scoring!$B$17,"This week",IF(C590&gt;=Scoring!$B$18,"Nurture","Low"))))</f>
        <v>Nurture</v>
      </c>
      <c r="C590" s="3" t="n">
        <f aca="false">SUM(AC590:AH590)</f>
        <v>39</v>
      </c>
      <c r="D590" s="15" t="str">
        <f aca="false">IF(T590="Y","Superseded record",IF(AND(U590&lt;&gt;"",AA590&lt;0),"Expired (verified)",IF(AND(U590&lt;&gt;"",AA590&lt;=Scoring!$B$5),"Expiring: notice window (verified)",IF(AND(U590&lt;&gt;"",AA590&lt;=Scoring!$B$6),"Expiring: 10-yr horizon (verified)",IF(M590="No Longer Monitored","Out of program",IF(N590="","Unknown vintage",IF(N590&lt;Scoring!$B$12,"Pre-1990, still listed",IF(AND(U590="",AA590&lt;0),"Past 30-yr mark (verify)",IF(AND(U590="",AA590&lt;=Scoring!$B$5),"30-yr mark: notice window (est.)",IF(AND(O590&gt;=Scoring!$B$7,O590&lt;=Scoring!$B$8),"Year-15 window",IF(O590&gt;=Scoring!$B$9,"Recap window",IF(O590&gt;=11,"Late compliance","Credit period"))))))))))))</f>
        <v>Recap window</v>
      </c>
      <c r="E590" s="15" t="s">
        <v>2083</v>
      </c>
      <c r="F590" s="15" t="s">
        <v>2084</v>
      </c>
      <c r="G590" s="15" t="s">
        <v>2085</v>
      </c>
      <c r="H590" s="15" t="s">
        <v>97</v>
      </c>
      <c r="I590" s="15" t="s">
        <v>164</v>
      </c>
      <c r="J590" s="15" t="n">
        <v>66</v>
      </c>
      <c r="K590" s="15" t="n">
        <v>65</v>
      </c>
      <c r="L590" s="15" t="n">
        <f aca="false">IF(OR(J590="",K590=""),"",MAX(J590-K590,0))</f>
        <v>1</v>
      </c>
      <c r="M590" s="15" t="s">
        <v>99</v>
      </c>
      <c r="N590" s="17" t="n">
        <v>2007</v>
      </c>
      <c r="O590" s="15" t="n">
        <f aca="false">IF(N590="","",Scoring!$B$4-N590)</f>
        <v>19</v>
      </c>
      <c r="P590" s="15" t="n">
        <f aca="false">IF(N590="","",N590+14)</f>
        <v>2021</v>
      </c>
      <c r="Q590" s="15" t="n">
        <f aca="false">IF(N590="","",IF(N590&lt;Scoring!$B$12,"n/a (pre-1990)",N590+Scoring!$B$13))</f>
        <v>2036</v>
      </c>
      <c r="R590" s="15" t="str">
        <f aca="false">IF(J590="","Unknown",IF(J590&gt;=5,"Yes","No (under 5 units)"))</f>
        <v>Yes</v>
      </c>
      <c r="S590" s="15"/>
      <c r="T590" s="18"/>
      <c r="U590" s="19"/>
      <c r="V590" s="18"/>
      <c r="W590" s="18"/>
      <c r="X590" s="20"/>
      <c r="Y590" s="18"/>
      <c r="Z590" s="18"/>
      <c r="AA590" s="21" t="n">
        <f aca="false">IF(U590&lt;&gt;"",(U590-Scoring!$B$3)/365.25,IF(N590="","",IF(N590&lt;Scoring!$B$12,"",(DATE(N590+Scoring!$B$13,12,31)-Scoring!$B$3)/365.25)))</f>
        <v>10.2477754962355</v>
      </c>
      <c r="AB590" s="22" t="n">
        <f aca="false">IF(T590="Y",0,IF(OR(D590="Expired (verified)",D590="Expiring: notice window (verified)",D590="Expiring: 10-yr horizon (verified)",D590="Past 30-yr mark (verify)",D590="30-yr mark: notice window (est.)",D590="Year-15 window"),1,0)+IF(ISNUMBER(O590),IF(O590&gt;=Scoring!$B$10,1,0),0)+IF(AND(ISNUMBER(L590),ISNUMBER(J590)),IF(J590&gt;0,IF(L590/J590&gt;=Scoring!$B$11,1,0),0),0)+IF(ISNUMBER(Z590),MIN(Z590,3),0))</f>
        <v>0</v>
      </c>
      <c r="AC590" s="22" t="n">
        <f aca="false">IF(AB590&gt;=3,Scoring!$C$24,IF(AB590=2,Scoring!$C$23,IF(AB590=1,Scoring!$C$22,0)))</f>
        <v>0</v>
      </c>
      <c r="AD590" s="22" t="n">
        <f aca="false">IF(T590="Y",0,IF(ISNUMBER(X590),IF(X590&gt;0.7,Scoring!$C$25,IF(X590&gt;=0.5,Scoring!$C$26,IF(X590&gt;=0.3,Scoring!$C$27,Scoring!$C$28))),Scoring!$C$29))</f>
        <v>10</v>
      </c>
      <c r="AE590" s="22" t="n">
        <f aca="false">IF(D590="Expiring: notice window (verified)",Scoring!$C$30,IF(OR(D590="Expired (verified)",D590="30-yr mark: notice window (est.)",D590="Year-15 window"),Scoring!$C$31,IF(D590="Expiring: 10-yr horizon (verified)",Scoring!$C$32,IF(D590="Past 30-yr mark (verify)",Scoring!$C$33,IF(OR(D590="Credit period",D590="Superseded record"),Scoring!$C$35,Scoring!$C$34)))))</f>
        <v>4</v>
      </c>
      <c r="AF590" s="22" t="n">
        <f aca="false">IF(T590="Y",0,IF(ISNUMBER(V590),IF(Scoring!$B$4-V590&gt;15,Scoring!$C$36,IF(Scoring!$B$4-V590&gt;=10,Scoring!$C$37,IF(Scoring!$B$4-V590&gt;=5,Scoring!$C$38,Scoring!$C$39))),IF(OR(N590="",D590="Out of program"),Scoring!$C$40,IF(O590&gt;15,Scoring!$C$36,IF(O590&gt;=10,Scoring!$C$37,IF(O590&gt;=5,Scoring!$C$38,Scoring!$C$39))))))</f>
        <v>15</v>
      </c>
      <c r="AG590" s="22" t="n">
        <f aca="false">IF(T590="Y",0,IF(Y590="Y",Scoring!$C$41,IF(ISNUMBER(O590),IF(O590&gt;=25,Scoring!$C$42,IF(O590&gt;=15,Scoring!$C$43,Scoring!$C$44)),Scoring!$C$44)))</f>
        <v>5</v>
      </c>
      <c r="AH590" s="22" t="n">
        <f aca="false">IF(T590="Y",0,IF(W590="",Scoring!$C$49,IFERROR(VLOOKUP(W590,Scoring!$B$45:$C$48,2,FALSE()),Scoring!$C$49)))</f>
        <v>5</v>
      </c>
      <c r="AI590" s="23" t="n">
        <f aca="false">C590+IF(ISNUMBER(J590),J590,0)/100000+(10000-ROW())/1000000000</f>
        <v>39.00066941</v>
      </c>
      <c r="AJ590" s="18"/>
      <c r="AK590" s="18"/>
      <c r="AL590" s="18"/>
      <c r="AM590" s="18"/>
    </row>
    <row r="591" customFormat="false" ht="15" hidden="false" customHeight="false" outlineLevel="0" collapsed="false">
      <c r="A591" s="15" t="n">
        <f aca="false">RANK(AI591,$AI$2:$AI$755)</f>
        <v>590</v>
      </c>
      <c r="B591" s="16" t="str">
        <f aca="false">IF(T591="Y","Superseded",IF(C591&gt;=Scoring!$B$16,"Immediate",IF(C591&gt;=Scoring!$B$17,"This week",IF(C591&gt;=Scoring!$B$18,"Nurture","Low"))))</f>
        <v>Nurture</v>
      </c>
      <c r="C591" s="3" t="n">
        <f aca="false">SUM(AC591:AH591)</f>
        <v>39</v>
      </c>
      <c r="D591" s="15" t="str">
        <f aca="false">IF(T591="Y","Superseded record",IF(AND(U591&lt;&gt;"",AA591&lt;0),"Expired (verified)",IF(AND(U591&lt;&gt;"",AA591&lt;=Scoring!$B$5),"Expiring: notice window (verified)",IF(AND(U591&lt;&gt;"",AA591&lt;=Scoring!$B$6),"Expiring: 10-yr horizon (verified)",IF(M591="No Longer Monitored","Out of program",IF(N591="","Unknown vintage",IF(N591&lt;Scoring!$B$12,"Pre-1990, still listed",IF(AND(U591="",AA591&lt;0),"Past 30-yr mark (verify)",IF(AND(U591="",AA591&lt;=Scoring!$B$5),"30-yr mark: notice window (est.)",IF(AND(O591&gt;=Scoring!$B$7,O591&lt;=Scoring!$B$8),"Year-15 window",IF(O591&gt;=Scoring!$B$9,"Recap window",IF(O591&gt;=11,"Late compliance","Credit period"))))))))))))</f>
        <v>Recap window</v>
      </c>
      <c r="E591" s="15" t="s">
        <v>2086</v>
      </c>
      <c r="F591" s="15" t="s">
        <v>2087</v>
      </c>
      <c r="G591" s="15" t="s">
        <v>2088</v>
      </c>
      <c r="H591" s="15" t="s">
        <v>956</v>
      </c>
      <c r="I591" s="15" t="s">
        <v>957</v>
      </c>
      <c r="J591" s="15" t="n">
        <v>64</v>
      </c>
      <c r="K591" s="15" t="n">
        <v>64</v>
      </c>
      <c r="L591" s="15" t="n">
        <f aca="false">IF(OR(J591="",K591=""),"",MAX(J591-K591,0))</f>
        <v>0</v>
      </c>
      <c r="M591" s="15" t="s">
        <v>99</v>
      </c>
      <c r="N591" s="17" t="n">
        <v>2007</v>
      </c>
      <c r="O591" s="15" t="n">
        <f aca="false">IF(N591="","",Scoring!$B$4-N591)</f>
        <v>19</v>
      </c>
      <c r="P591" s="15" t="n">
        <f aca="false">IF(N591="","",N591+14)</f>
        <v>2021</v>
      </c>
      <c r="Q591" s="15" t="n">
        <f aca="false">IF(N591="","",IF(N591&lt;Scoring!$B$12,"n/a (pre-1990)",N591+Scoring!$B$13))</f>
        <v>2036</v>
      </c>
      <c r="R591" s="15" t="str">
        <f aca="false">IF(J591="","Unknown",IF(J591&gt;=5,"Yes","No (under 5 units)"))</f>
        <v>Yes</v>
      </c>
      <c r="S591" s="15"/>
      <c r="T591" s="18"/>
      <c r="U591" s="19"/>
      <c r="V591" s="18"/>
      <c r="W591" s="18"/>
      <c r="X591" s="20"/>
      <c r="Y591" s="18"/>
      <c r="Z591" s="18"/>
      <c r="AA591" s="21" t="n">
        <f aca="false">IF(U591&lt;&gt;"",(U591-Scoring!$B$3)/365.25,IF(N591="","",IF(N591&lt;Scoring!$B$12,"",(DATE(N591+Scoring!$B$13,12,31)-Scoring!$B$3)/365.25)))</f>
        <v>10.2477754962355</v>
      </c>
      <c r="AB591" s="22" t="n">
        <f aca="false">IF(T591="Y",0,IF(OR(D591="Expired (verified)",D591="Expiring: notice window (verified)",D591="Expiring: 10-yr horizon (verified)",D591="Past 30-yr mark (verify)",D591="30-yr mark: notice window (est.)",D591="Year-15 window"),1,0)+IF(ISNUMBER(O591),IF(O591&gt;=Scoring!$B$10,1,0),0)+IF(AND(ISNUMBER(L591),ISNUMBER(J591)),IF(J591&gt;0,IF(L591/J591&gt;=Scoring!$B$11,1,0),0),0)+IF(ISNUMBER(Z591),MIN(Z591,3),0))</f>
        <v>0</v>
      </c>
      <c r="AC591" s="22" t="n">
        <f aca="false">IF(AB591&gt;=3,Scoring!$C$24,IF(AB591=2,Scoring!$C$23,IF(AB591=1,Scoring!$C$22,0)))</f>
        <v>0</v>
      </c>
      <c r="AD591" s="22" t="n">
        <f aca="false">IF(T591="Y",0,IF(ISNUMBER(X591),IF(X591&gt;0.7,Scoring!$C$25,IF(X591&gt;=0.5,Scoring!$C$26,IF(X591&gt;=0.3,Scoring!$C$27,Scoring!$C$28))),Scoring!$C$29))</f>
        <v>10</v>
      </c>
      <c r="AE591" s="22" t="n">
        <f aca="false">IF(D591="Expiring: notice window (verified)",Scoring!$C$30,IF(OR(D591="Expired (verified)",D591="30-yr mark: notice window (est.)",D591="Year-15 window"),Scoring!$C$31,IF(D591="Expiring: 10-yr horizon (verified)",Scoring!$C$32,IF(D591="Past 30-yr mark (verify)",Scoring!$C$33,IF(OR(D591="Credit period",D591="Superseded record"),Scoring!$C$35,Scoring!$C$34)))))</f>
        <v>4</v>
      </c>
      <c r="AF591" s="22" t="n">
        <f aca="false">IF(T591="Y",0,IF(ISNUMBER(V591),IF(Scoring!$B$4-V591&gt;15,Scoring!$C$36,IF(Scoring!$B$4-V591&gt;=10,Scoring!$C$37,IF(Scoring!$B$4-V591&gt;=5,Scoring!$C$38,Scoring!$C$39))),IF(OR(N591="",D591="Out of program"),Scoring!$C$40,IF(O591&gt;15,Scoring!$C$36,IF(O591&gt;=10,Scoring!$C$37,IF(O591&gt;=5,Scoring!$C$38,Scoring!$C$39))))))</f>
        <v>15</v>
      </c>
      <c r="AG591" s="22" t="n">
        <f aca="false">IF(T591="Y",0,IF(Y591="Y",Scoring!$C$41,IF(ISNUMBER(O591),IF(O591&gt;=25,Scoring!$C$42,IF(O591&gt;=15,Scoring!$C$43,Scoring!$C$44)),Scoring!$C$44)))</f>
        <v>5</v>
      </c>
      <c r="AH591" s="22" t="n">
        <f aca="false">IF(T591="Y",0,IF(W591="",Scoring!$C$49,IFERROR(VLOOKUP(W591,Scoring!$B$45:$C$48,2,FALSE()),Scoring!$C$49)))</f>
        <v>5</v>
      </c>
      <c r="AI591" s="23" t="n">
        <f aca="false">C591+IF(ISNUMBER(J591),J591,0)/100000+(10000-ROW())/1000000000</f>
        <v>39.000649409</v>
      </c>
      <c r="AJ591" s="18"/>
      <c r="AK591" s="18"/>
      <c r="AL591" s="18"/>
      <c r="AM591" s="18"/>
    </row>
    <row r="592" customFormat="false" ht="15" hidden="false" customHeight="false" outlineLevel="0" collapsed="false">
      <c r="A592" s="15" t="n">
        <f aca="false">RANK(AI592,$AI$2:$AI$755)</f>
        <v>591</v>
      </c>
      <c r="B592" s="16" t="str">
        <f aca="false">IF(T592="Y","Superseded",IF(C592&gt;=Scoring!$B$16,"Immediate",IF(C592&gt;=Scoring!$B$17,"This week",IF(C592&gt;=Scoring!$B$18,"Nurture","Low"))))</f>
        <v>Nurture</v>
      </c>
      <c r="C592" s="3" t="n">
        <f aca="false">SUM(AC592:AH592)</f>
        <v>39</v>
      </c>
      <c r="D592" s="15" t="str">
        <f aca="false">IF(T592="Y","Superseded record",IF(AND(U592&lt;&gt;"",AA592&lt;0),"Expired (verified)",IF(AND(U592&lt;&gt;"",AA592&lt;=Scoring!$B$5),"Expiring: notice window (verified)",IF(AND(U592&lt;&gt;"",AA592&lt;=Scoring!$B$6),"Expiring: 10-yr horizon (verified)",IF(M592="No Longer Monitored","Out of program",IF(N592="","Unknown vintage",IF(N592&lt;Scoring!$B$12,"Pre-1990, still listed",IF(AND(U592="",AA592&lt;0),"Past 30-yr mark (verify)",IF(AND(U592="",AA592&lt;=Scoring!$B$5),"30-yr mark: notice window (est.)",IF(AND(O592&gt;=Scoring!$B$7,O592&lt;=Scoring!$B$8),"Year-15 window",IF(O592&gt;=Scoring!$B$9,"Recap window",IF(O592&gt;=11,"Late compliance","Credit period"))))))))))))</f>
        <v>Recap window</v>
      </c>
      <c r="E592" s="15" t="s">
        <v>2089</v>
      </c>
      <c r="F592" s="15" t="s">
        <v>2090</v>
      </c>
      <c r="G592" s="15" t="s">
        <v>2091</v>
      </c>
      <c r="H592" s="15" t="s">
        <v>97</v>
      </c>
      <c r="I592" s="15" t="s">
        <v>859</v>
      </c>
      <c r="J592" s="15" t="n">
        <v>58</v>
      </c>
      <c r="K592" s="15" t="n">
        <v>58</v>
      </c>
      <c r="L592" s="15" t="n">
        <f aca="false">IF(OR(J592="",K592=""),"",MAX(J592-K592,0))</f>
        <v>0</v>
      </c>
      <c r="M592" s="15" t="s">
        <v>99</v>
      </c>
      <c r="N592" s="17" t="n">
        <v>2008</v>
      </c>
      <c r="O592" s="15" t="n">
        <f aca="false">IF(N592="","",Scoring!$B$4-N592)</f>
        <v>18</v>
      </c>
      <c r="P592" s="15" t="n">
        <f aca="false">IF(N592="","",N592+14)</f>
        <v>2022</v>
      </c>
      <c r="Q592" s="15" t="n">
        <f aca="false">IF(N592="","",IF(N592&lt;Scoring!$B$12,"n/a (pre-1990)",N592+Scoring!$B$13))</f>
        <v>2037</v>
      </c>
      <c r="R592" s="15" t="str">
        <f aca="false">IF(J592="","Unknown",IF(J592&gt;=5,"Yes","No (under 5 units)"))</f>
        <v>Yes</v>
      </c>
      <c r="S592" s="15"/>
      <c r="T592" s="18"/>
      <c r="U592" s="19"/>
      <c r="V592" s="18"/>
      <c r="W592" s="18"/>
      <c r="X592" s="20"/>
      <c r="Y592" s="18"/>
      <c r="Z592" s="18"/>
      <c r="AA592" s="21" t="n">
        <f aca="false">IF(U592&lt;&gt;"",(U592-Scoring!$B$3)/365.25,IF(N592="","",IF(N592&lt;Scoring!$B$12,"",(DATE(N592+Scoring!$B$13,12,31)-Scoring!$B$3)/365.25)))</f>
        <v>11.2470910335387</v>
      </c>
      <c r="AB592" s="22" t="n">
        <f aca="false">IF(T592="Y",0,IF(OR(D592="Expired (verified)",D592="Expiring: notice window (verified)",D592="Expiring: 10-yr horizon (verified)",D592="Past 30-yr mark (verify)",D592="30-yr mark: notice window (est.)",D592="Year-15 window"),1,0)+IF(ISNUMBER(O592),IF(O592&gt;=Scoring!$B$10,1,0),0)+IF(AND(ISNUMBER(L592),ISNUMBER(J592)),IF(J592&gt;0,IF(L592/J592&gt;=Scoring!$B$11,1,0),0),0)+IF(ISNUMBER(Z592),MIN(Z592,3),0))</f>
        <v>0</v>
      </c>
      <c r="AC592" s="22" t="n">
        <f aca="false">IF(AB592&gt;=3,Scoring!$C$24,IF(AB592=2,Scoring!$C$23,IF(AB592=1,Scoring!$C$22,0)))</f>
        <v>0</v>
      </c>
      <c r="AD592" s="22" t="n">
        <f aca="false">IF(T592="Y",0,IF(ISNUMBER(X592),IF(X592&gt;0.7,Scoring!$C$25,IF(X592&gt;=0.5,Scoring!$C$26,IF(X592&gt;=0.3,Scoring!$C$27,Scoring!$C$28))),Scoring!$C$29))</f>
        <v>10</v>
      </c>
      <c r="AE592" s="22" t="n">
        <f aca="false">IF(D592="Expiring: notice window (verified)",Scoring!$C$30,IF(OR(D592="Expired (verified)",D592="30-yr mark: notice window (est.)",D592="Year-15 window"),Scoring!$C$31,IF(D592="Expiring: 10-yr horizon (verified)",Scoring!$C$32,IF(D592="Past 30-yr mark (verify)",Scoring!$C$33,IF(OR(D592="Credit period",D592="Superseded record"),Scoring!$C$35,Scoring!$C$34)))))</f>
        <v>4</v>
      </c>
      <c r="AF592" s="22" t="n">
        <f aca="false">IF(T592="Y",0,IF(ISNUMBER(V592),IF(Scoring!$B$4-V592&gt;15,Scoring!$C$36,IF(Scoring!$B$4-V592&gt;=10,Scoring!$C$37,IF(Scoring!$B$4-V592&gt;=5,Scoring!$C$38,Scoring!$C$39))),IF(OR(N592="",D592="Out of program"),Scoring!$C$40,IF(O592&gt;15,Scoring!$C$36,IF(O592&gt;=10,Scoring!$C$37,IF(O592&gt;=5,Scoring!$C$38,Scoring!$C$39))))))</f>
        <v>15</v>
      </c>
      <c r="AG592" s="22" t="n">
        <f aca="false">IF(T592="Y",0,IF(Y592="Y",Scoring!$C$41,IF(ISNUMBER(O592),IF(O592&gt;=25,Scoring!$C$42,IF(O592&gt;=15,Scoring!$C$43,Scoring!$C$44)),Scoring!$C$44)))</f>
        <v>5</v>
      </c>
      <c r="AH592" s="22" t="n">
        <f aca="false">IF(T592="Y",0,IF(W592="",Scoring!$C$49,IFERROR(VLOOKUP(W592,Scoring!$B$45:$C$48,2,FALSE()),Scoring!$C$49)))</f>
        <v>5</v>
      </c>
      <c r="AI592" s="23" t="n">
        <f aca="false">C592+IF(ISNUMBER(J592),J592,0)/100000+(10000-ROW())/1000000000</f>
        <v>39.000589408</v>
      </c>
      <c r="AJ592" s="18"/>
      <c r="AK592" s="18"/>
      <c r="AL592" s="18"/>
      <c r="AM592" s="18"/>
    </row>
    <row r="593" customFormat="false" ht="15" hidden="false" customHeight="false" outlineLevel="0" collapsed="false">
      <c r="A593" s="15" t="n">
        <f aca="false">RANK(AI593,$AI$2:$AI$755)</f>
        <v>592</v>
      </c>
      <c r="B593" s="16" t="str">
        <f aca="false">IF(T593="Y","Superseded",IF(C593&gt;=Scoring!$B$16,"Immediate",IF(C593&gt;=Scoring!$B$17,"This week",IF(C593&gt;=Scoring!$B$18,"Nurture","Low"))))</f>
        <v>Nurture</v>
      </c>
      <c r="C593" s="3" t="n">
        <f aca="false">SUM(AC593:AH593)</f>
        <v>39</v>
      </c>
      <c r="D593" s="15" t="str">
        <f aca="false">IF(T593="Y","Superseded record",IF(AND(U593&lt;&gt;"",AA593&lt;0),"Expired (verified)",IF(AND(U593&lt;&gt;"",AA593&lt;=Scoring!$B$5),"Expiring: notice window (verified)",IF(AND(U593&lt;&gt;"",AA593&lt;=Scoring!$B$6),"Expiring: 10-yr horizon (verified)",IF(M593="No Longer Monitored","Out of program",IF(N593="","Unknown vintage",IF(N593&lt;Scoring!$B$12,"Pre-1990, still listed",IF(AND(U593="",AA593&lt;0),"Past 30-yr mark (verify)",IF(AND(U593="",AA593&lt;=Scoring!$B$5),"30-yr mark: notice window (est.)",IF(AND(O593&gt;=Scoring!$B$7,O593&lt;=Scoring!$B$8),"Year-15 window",IF(O593&gt;=Scoring!$B$9,"Recap window",IF(O593&gt;=11,"Late compliance","Credit period"))))))))))))</f>
        <v>Recap window</v>
      </c>
      <c r="E593" s="15" t="s">
        <v>2092</v>
      </c>
      <c r="F593" s="15" t="s">
        <v>2093</v>
      </c>
      <c r="G593" s="15" t="s">
        <v>2094</v>
      </c>
      <c r="H593" s="15" t="s">
        <v>151</v>
      </c>
      <c r="I593" s="15" t="s">
        <v>280</v>
      </c>
      <c r="J593" s="15" t="n">
        <v>57</v>
      </c>
      <c r="K593" s="15" t="n">
        <v>57</v>
      </c>
      <c r="L593" s="15" t="n">
        <f aca="false">IF(OR(J593="",K593=""),"",MAX(J593-K593,0))</f>
        <v>0</v>
      </c>
      <c r="M593" s="15" t="s">
        <v>99</v>
      </c>
      <c r="N593" s="17" t="n">
        <v>2008</v>
      </c>
      <c r="O593" s="15" t="n">
        <f aca="false">IF(N593="","",Scoring!$B$4-N593)</f>
        <v>18</v>
      </c>
      <c r="P593" s="15" t="n">
        <f aca="false">IF(N593="","",N593+14)</f>
        <v>2022</v>
      </c>
      <c r="Q593" s="15" t="n">
        <f aca="false">IF(N593="","",IF(N593&lt;Scoring!$B$12,"n/a (pre-1990)",N593+Scoring!$B$13))</f>
        <v>2037</v>
      </c>
      <c r="R593" s="15" t="str">
        <f aca="false">IF(J593="","Unknown",IF(J593&gt;=5,"Yes","No (under 5 units)"))</f>
        <v>Yes</v>
      </c>
      <c r="S593" s="15"/>
      <c r="T593" s="18"/>
      <c r="U593" s="19"/>
      <c r="V593" s="18"/>
      <c r="W593" s="18"/>
      <c r="X593" s="20"/>
      <c r="Y593" s="18"/>
      <c r="Z593" s="18"/>
      <c r="AA593" s="21" t="n">
        <f aca="false">IF(U593&lt;&gt;"",(U593-Scoring!$B$3)/365.25,IF(N593="","",IF(N593&lt;Scoring!$B$12,"",(DATE(N593+Scoring!$B$13,12,31)-Scoring!$B$3)/365.25)))</f>
        <v>11.2470910335387</v>
      </c>
      <c r="AB593" s="22" t="n">
        <f aca="false">IF(T593="Y",0,IF(OR(D593="Expired (verified)",D593="Expiring: notice window (verified)",D593="Expiring: 10-yr horizon (verified)",D593="Past 30-yr mark (verify)",D593="30-yr mark: notice window (est.)",D593="Year-15 window"),1,0)+IF(ISNUMBER(O593),IF(O593&gt;=Scoring!$B$10,1,0),0)+IF(AND(ISNUMBER(L593),ISNUMBER(J593)),IF(J593&gt;0,IF(L593/J593&gt;=Scoring!$B$11,1,0),0),0)+IF(ISNUMBER(Z593),MIN(Z593,3),0))</f>
        <v>0</v>
      </c>
      <c r="AC593" s="22" t="n">
        <f aca="false">IF(AB593&gt;=3,Scoring!$C$24,IF(AB593=2,Scoring!$C$23,IF(AB593=1,Scoring!$C$22,0)))</f>
        <v>0</v>
      </c>
      <c r="AD593" s="22" t="n">
        <f aca="false">IF(T593="Y",0,IF(ISNUMBER(X593),IF(X593&gt;0.7,Scoring!$C$25,IF(X593&gt;=0.5,Scoring!$C$26,IF(X593&gt;=0.3,Scoring!$C$27,Scoring!$C$28))),Scoring!$C$29))</f>
        <v>10</v>
      </c>
      <c r="AE593" s="22" t="n">
        <f aca="false">IF(D593="Expiring: notice window (verified)",Scoring!$C$30,IF(OR(D593="Expired (verified)",D593="30-yr mark: notice window (est.)",D593="Year-15 window"),Scoring!$C$31,IF(D593="Expiring: 10-yr horizon (verified)",Scoring!$C$32,IF(D593="Past 30-yr mark (verify)",Scoring!$C$33,IF(OR(D593="Credit period",D593="Superseded record"),Scoring!$C$35,Scoring!$C$34)))))</f>
        <v>4</v>
      </c>
      <c r="AF593" s="22" t="n">
        <f aca="false">IF(T593="Y",0,IF(ISNUMBER(V593),IF(Scoring!$B$4-V593&gt;15,Scoring!$C$36,IF(Scoring!$B$4-V593&gt;=10,Scoring!$C$37,IF(Scoring!$B$4-V593&gt;=5,Scoring!$C$38,Scoring!$C$39))),IF(OR(N593="",D593="Out of program"),Scoring!$C$40,IF(O593&gt;15,Scoring!$C$36,IF(O593&gt;=10,Scoring!$C$37,IF(O593&gt;=5,Scoring!$C$38,Scoring!$C$39))))))</f>
        <v>15</v>
      </c>
      <c r="AG593" s="22" t="n">
        <f aca="false">IF(T593="Y",0,IF(Y593="Y",Scoring!$C$41,IF(ISNUMBER(O593),IF(O593&gt;=25,Scoring!$C$42,IF(O593&gt;=15,Scoring!$C$43,Scoring!$C$44)),Scoring!$C$44)))</f>
        <v>5</v>
      </c>
      <c r="AH593" s="22" t="n">
        <f aca="false">IF(T593="Y",0,IF(W593="",Scoring!$C$49,IFERROR(VLOOKUP(W593,Scoring!$B$45:$C$48,2,FALSE()),Scoring!$C$49)))</f>
        <v>5</v>
      </c>
      <c r="AI593" s="23" t="n">
        <f aca="false">C593+IF(ISNUMBER(J593),J593,0)/100000+(10000-ROW())/1000000000</f>
        <v>39.000579407</v>
      </c>
      <c r="AJ593" s="18"/>
      <c r="AK593" s="18"/>
      <c r="AL593" s="18"/>
      <c r="AM593" s="18"/>
    </row>
    <row r="594" customFormat="false" ht="15" hidden="false" customHeight="false" outlineLevel="0" collapsed="false">
      <c r="A594" s="15" t="n">
        <f aca="false">RANK(AI594,$AI$2:$AI$755)</f>
        <v>593</v>
      </c>
      <c r="B594" s="16" t="str">
        <f aca="false">IF(T594="Y","Superseded",IF(C594&gt;=Scoring!$B$16,"Immediate",IF(C594&gt;=Scoring!$B$17,"This week",IF(C594&gt;=Scoring!$B$18,"Nurture","Low"))))</f>
        <v>Nurture</v>
      </c>
      <c r="C594" s="3" t="n">
        <f aca="false">SUM(AC594:AH594)</f>
        <v>39</v>
      </c>
      <c r="D594" s="15" t="str">
        <f aca="false">IF(T594="Y","Superseded record",IF(AND(U594&lt;&gt;"",AA594&lt;0),"Expired (verified)",IF(AND(U594&lt;&gt;"",AA594&lt;=Scoring!$B$5),"Expiring: notice window (verified)",IF(AND(U594&lt;&gt;"",AA594&lt;=Scoring!$B$6),"Expiring: 10-yr horizon (verified)",IF(M594="No Longer Monitored","Out of program",IF(N594="","Unknown vintage",IF(N594&lt;Scoring!$B$12,"Pre-1990, still listed",IF(AND(U594="",AA594&lt;0),"Past 30-yr mark (verify)",IF(AND(U594="",AA594&lt;=Scoring!$B$5),"30-yr mark: notice window (est.)",IF(AND(O594&gt;=Scoring!$B$7,O594&lt;=Scoring!$B$8),"Year-15 window",IF(O594&gt;=Scoring!$B$9,"Recap window",IF(O594&gt;=11,"Late compliance","Credit period"))))))))))))</f>
        <v>Recap window</v>
      </c>
      <c r="E594" s="15" t="s">
        <v>2095</v>
      </c>
      <c r="F594" s="15" t="s">
        <v>2096</v>
      </c>
      <c r="G594" s="15" t="s">
        <v>2097</v>
      </c>
      <c r="H594" s="15" t="s">
        <v>97</v>
      </c>
      <c r="I594" s="15" t="s">
        <v>160</v>
      </c>
      <c r="J594" s="15" t="n">
        <v>54</v>
      </c>
      <c r="K594" s="15" t="n">
        <v>54</v>
      </c>
      <c r="L594" s="15" t="n">
        <f aca="false">IF(OR(J594="",K594=""),"",MAX(J594-K594,0))</f>
        <v>0</v>
      </c>
      <c r="M594" s="15" t="s">
        <v>99</v>
      </c>
      <c r="N594" s="17" t="n">
        <v>2007</v>
      </c>
      <c r="O594" s="15" t="n">
        <f aca="false">IF(N594="","",Scoring!$B$4-N594)</f>
        <v>19</v>
      </c>
      <c r="P594" s="15" t="n">
        <f aca="false">IF(N594="","",N594+14)</f>
        <v>2021</v>
      </c>
      <c r="Q594" s="15" t="n">
        <f aca="false">IF(N594="","",IF(N594&lt;Scoring!$B$12,"n/a (pre-1990)",N594+Scoring!$B$13))</f>
        <v>2036</v>
      </c>
      <c r="R594" s="15" t="str">
        <f aca="false">IF(J594="","Unknown",IF(J594&gt;=5,"Yes","No (under 5 units)"))</f>
        <v>Yes</v>
      </c>
      <c r="S594" s="15"/>
      <c r="T594" s="18"/>
      <c r="U594" s="19"/>
      <c r="V594" s="18"/>
      <c r="W594" s="18"/>
      <c r="X594" s="20"/>
      <c r="Y594" s="18"/>
      <c r="Z594" s="18"/>
      <c r="AA594" s="21" t="n">
        <f aca="false">IF(U594&lt;&gt;"",(U594-Scoring!$B$3)/365.25,IF(N594="","",IF(N594&lt;Scoring!$B$12,"",(DATE(N594+Scoring!$B$13,12,31)-Scoring!$B$3)/365.25)))</f>
        <v>10.2477754962355</v>
      </c>
      <c r="AB594" s="22" t="n">
        <f aca="false">IF(T594="Y",0,IF(OR(D594="Expired (verified)",D594="Expiring: notice window (verified)",D594="Expiring: 10-yr horizon (verified)",D594="Past 30-yr mark (verify)",D594="30-yr mark: notice window (est.)",D594="Year-15 window"),1,0)+IF(ISNUMBER(O594),IF(O594&gt;=Scoring!$B$10,1,0),0)+IF(AND(ISNUMBER(L594),ISNUMBER(J594)),IF(J594&gt;0,IF(L594/J594&gt;=Scoring!$B$11,1,0),0),0)+IF(ISNUMBER(Z594),MIN(Z594,3),0))</f>
        <v>0</v>
      </c>
      <c r="AC594" s="22" t="n">
        <f aca="false">IF(AB594&gt;=3,Scoring!$C$24,IF(AB594=2,Scoring!$C$23,IF(AB594=1,Scoring!$C$22,0)))</f>
        <v>0</v>
      </c>
      <c r="AD594" s="22" t="n">
        <f aca="false">IF(T594="Y",0,IF(ISNUMBER(X594),IF(X594&gt;0.7,Scoring!$C$25,IF(X594&gt;=0.5,Scoring!$C$26,IF(X594&gt;=0.3,Scoring!$C$27,Scoring!$C$28))),Scoring!$C$29))</f>
        <v>10</v>
      </c>
      <c r="AE594" s="22" t="n">
        <f aca="false">IF(D594="Expiring: notice window (verified)",Scoring!$C$30,IF(OR(D594="Expired (verified)",D594="30-yr mark: notice window (est.)",D594="Year-15 window"),Scoring!$C$31,IF(D594="Expiring: 10-yr horizon (verified)",Scoring!$C$32,IF(D594="Past 30-yr mark (verify)",Scoring!$C$33,IF(OR(D594="Credit period",D594="Superseded record"),Scoring!$C$35,Scoring!$C$34)))))</f>
        <v>4</v>
      </c>
      <c r="AF594" s="22" t="n">
        <f aca="false">IF(T594="Y",0,IF(ISNUMBER(V594),IF(Scoring!$B$4-V594&gt;15,Scoring!$C$36,IF(Scoring!$B$4-V594&gt;=10,Scoring!$C$37,IF(Scoring!$B$4-V594&gt;=5,Scoring!$C$38,Scoring!$C$39))),IF(OR(N594="",D594="Out of program"),Scoring!$C$40,IF(O594&gt;15,Scoring!$C$36,IF(O594&gt;=10,Scoring!$C$37,IF(O594&gt;=5,Scoring!$C$38,Scoring!$C$39))))))</f>
        <v>15</v>
      </c>
      <c r="AG594" s="22" t="n">
        <f aca="false">IF(T594="Y",0,IF(Y594="Y",Scoring!$C$41,IF(ISNUMBER(O594),IF(O594&gt;=25,Scoring!$C$42,IF(O594&gt;=15,Scoring!$C$43,Scoring!$C$44)),Scoring!$C$44)))</f>
        <v>5</v>
      </c>
      <c r="AH594" s="22" t="n">
        <f aca="false">IF(T594="Y",0,IF(W594="",Scoring!$C$49,IFERROR(VLOOKUP(W594,Scoring!$B$45:$C$48,2,FALSE()),Scoring!$C$49)))</f>
        <v>5</v>
      </c>
      <c r="AI594" s="23" t="n">
        <f aca="false">C594+IF(ISNUMBER(J594),J594,0)/100000+(10000-ROW())/1000000000</f>
        <v>39.000549406</v>
      </c>
      <c r="AJ594" s="18"/>
      <c r="AK594" s="18"/>
      <c r="AL594" s="18"/>
      <c r="AM594" s="18"/>
    </row>
    <row r="595" customFormat="false" ht="15" hidden="false" customHeight="false" outlineLevel="0" collapsed="false">
      <c r="A595" s="15" t="n">
        <f aca="false">RANK(AI595,$AI$2:$AI$755)</f>
        <v>594</v>
      </c>
      <c r="B595" s="16" t="str">
        <f aca="false">IF(T595="Y","Superseded",IF(C595&gt;=Scoring!$B$16,"Immediate",IF(C595&gt;=Scoring!$B$17,"This week",IF(C595&gt;=Scoring!$B$18,"Nurture","Low"))))</f>
        <v>Nurture</v>
      </c>
      <c r="C595" s="3" t="n">
        <f aca="false">SUM(AC595:AH595)</f>
        <v>39</v>
      </c>
      <c r="D595" s="15" t="str">
        <f aca="false">IF(T595="Y","Superseded record",IF(AND(U595&lt;&gt;"",AA595&lt;0),"Expired (verified)",IF(AND(U595&lt;&gt;"",AA595&lt;=Scoring!$B$5),"Expiring: notice window (verified)",IF(AND(U595&lt;&gt;"",AA595&lt;=Scoring!$B$6),"Expiring: 10-yr horizon (verified)",IF(M595="No Longer Monitored","Out of program",IF(N595="","Unknown vintage",IF(N595&lt;Scoring!$B$12,"Pre-1990, still listed",IF(AND(U595="",AA595&lt;0),"Past 30-yr mark (verify)",IF(AND(U595="",AA595&lt;=Scoring!$B$5),"30-yr mark: notice window (est.)",IF(AND(O595&gt;=Scoring!$B$7,O595&lt;=Scoring!$B$8),"Year-15 window",IF(O595&gt;=Scoring!$B$9,"Recap window",IF(O595&gt;=11,"Late compliance","Credit period"))))))))))))</f>
        <v>Recap window</v>
      </c>
      <c r="E595" s="15" t="s">
        <v>2098</v>
      </c>
      <c r="F595" s="15" t="s">
        <v>2099</v>
      </c>
      <c r="G595" s="15" t="s">
        <v>2100</v>
      </c>
      <c r="H595" s="15" t="s">
        <v>536</v>
      </c>
      <c r="I595" s="15" t="s">
        <v>537</v>
      </c>
      <c r="J595" s="15" t="n">
        <v>52</v>
      </c>
      <c r="K595" s="15" t="n">
        <v>52</v>
      </c>
      <c r="L595" s="15" t="n">
        <f aca="false">IF(OR(J595="",K595=""),"",MAX(J595-K595,0))</f>
        <v>0</v>
      </c>
      <c r="M595" s="15" t="s">
        <v>99</v>
      </c>
      <c r="N595" s="17" t="n">
        <v>2008</v>
      </c>
      <c r="O595" s="15" t="n">
        <f aca="false">IF(N595="","",Scoring!$B$4-N595)</f>
        <v>18</v>
      </c>
      <c r="P595" s="15" t="n">
        <f aca="false">IF(N595="","",N595+14)</f>
        <v>2022</v>
      </c>
      <c r="Q595" s="15" t="n">
        <f aca="false">IF(N595="","",IF(N595&lt;Scoring!$B$12,"n/a (pre-1990)",N595+Scoring!$B$13))</f>
        <v>2037</v>
      </c>
      <c r="R595" s="15" t="str">
        <f aca="false">IF(J595="","Unknown",IF(J595&gt;=5,"Yes","No (under 5 units)"))</f>
        <v>Yes</v>
      </c>
      <c r="S595" s="15"/>
      <c r="T595" s="18"/>
      <c r="U595" s="19"/>
      <c r="V595" s="18"/>
      <c r="W595" s="18"/>
      <c r="X595" s="20"/>
      <c r="Y595" s="18"/>
      <c r="Z595" s="18"/>
      <c r="AA595" s="21" t="n">
        <f aca="false">IF(U595&lt;&gt;"",(U595-Scoring!$B$3)/365.25,IF(N595="","",IF(N595&lt;Scoring!$B$12,"",(DATE(N595+Scoring!$B$13,12,31)-Scoring!$B$3)/365.25)))</f>
        <v>11.2470910335387</v>
      </c>
      <c r="AB595" s="22" t="n">
        <f aca="false">IF(T595="Y",0,IF(OR(D595="Expired (verified)",D595="Expiring: notice window (verified)",D595="Expiring: 10-yr horizon (verified)",D595="Past 30-yr mark (verify)",D595="30-yr mark: notice window (est.)",D595="Year-15 window"),1,0)+IF(ISNUMBER(O595),IF(O595&gt;=Scoring!$B$10,1,0),0)+IF(AND(ISNUMBER(L595),ISNUMBER(J595)),IF(J595&gt;0,IF(L595/J595&gt;=Scoring!$B$11,1,0),0),0)+IF(ISNUMBER(Z595),MIN(Z595,3),0))</f>
        <v>0</v>
      </c>
      <c r="AC595" s="22" t="n">
        <f aca="false">IF(AB595&gt;=3,Scoring!$C$24,IF(AB595=2,Scoring!$C$23,IF(AB595=1,Scoring!$C$22,0)))</f>
        <v>0</v>
      </c>
      <c r="AD595" s="22" t="n">
        <f aca="false">IF(T595="Y",0,IF(ISNUMBER(X595),IF(X595&gt;0.7,Scoring!$C$25,IF(X595&gt;=0.5,Scoring!$C$26,IF(X595&gt;=0.3,Scoring!$C$27,Scoring!$C$28))),Scoring!$C$29))</f>
        <v>10</v>
      </c>
      <c r="AE595" s="22" t="n">
        <f aca="false">IF(D595="Expiring: notice window (verified)",Scoring!$C$30,IF(OR(D595="Expired (verified)",D595="30-yr mark: notice window (est.)",D595="Year-15 window"),Scoring!$C$31,IF(D595="Expiring: 10-yr horizon (verified)",Scoring!$C$32,IF(D595="Past 30-yr mark (verify)",Scoring!$C$33,IF(OR(D595="Credit period",D595="Superseded record"),Scoring!$C$35,Scoring!$C$34)))))</f>
        <v>4</v>
      </c>
      <c r="AF595" s="22" t="n">
        <f aca="false">IF(T595="Y",0,IF(ISNUMBER(V595),IF(Scoring!$B$4-V595&gt;15,Scoring!$C$36,IF(Scoring!$B$4-V595&gt;=10,Scoring!$C$37,IF(Scoring!$B$4-V595&gt;=5,Scoring!$C$38,Scoring!$C$39))),IF(OR(N595="",D595="Out of program"),Scoring!$C$40,IF(O595&gt;15,Scoring!$C$36,IF(O595&gt;=10,Scoring!$C$37,IF(O595&gt;=5,Scoring!$C$38,Scoring!$C$39))))))</f>
        <v>15</v>
      </c>
      <c r="AG595" s="22" t="n">
        <f aca="false">IF(T595="Y",0,IF(Y595="Y",Scoring!$C$41,IF(ISNUMBER(O595),IF(O595&gt;=25,Scoring!$C$42,IF(O595&gt;=15,Scoring!$C$43,Scoring!$C$44)),Scoring!$C$44)))</f>
        <v>5</v>
      </c>
      <c r="AH595" s="22" t="n">
        <f aca="false">IF(T595="Y",0,IF(W595="",Scoring!$C$49,IFERROR(VLOOKUP(W595,Scoring!$B$45:$C$48,2,FALSE()),Scoring!$C$49)))</f>
        <v>5</v>
      </c>
      <c r="AI595" s="23" t="n">
        <f aca="false">C595+IF(ISNUMBER(J595),J595,0)/100000+(10000-ROW())/1000000000</f>
        <v>39.000529405</v>
      </c>
      <c r="AJ595" s="18"/>
      <c r="AK595" s="18"/>
      <c r="AL595" s="18"/>
      <c r="AM595" s="18"/>
    </row>
    <row r="596" customFormat="false" ht="15" hidden="false" customHeight="false" outlineLevel="0" collapsed="false">
      <c r="A596" s="15" t="n">
        <f aca="false">RANK(AI596,$AI$2:$AI$755)</f>
        <v>595</v>
      </c>
      <c r="B596" s="16" t="str">
        <f aca="false">IF(T596="Y","Superseded",IF(C596&gt;=Scoring!$B$16,"Immediate",IF(C596&gt;=Scoring!$B$17,"This week",IF(C596&gt;=Scoring!$B$18,"Nurture","Low"))))</f>
        <v>Nurture</v>
      </c>
      <c r="C596" s="3" t="n">
        <f aca="false">SUM(AC596:AH596)</f>
        <v>39</v>
      </c>
      <c r="D596" s="15" t="str">
        <f aca="false">IF(T596="Y","Superseded record",IF(AND(U596&lt;&gt;"",AA596&lt;0),"Expired (verified)",IF(AND(U596&lt;&gt;"",AA596&lt;=Scoring!$B$5),"Expiring: notice window (verified)",IF(AND(U596&lt;&gt;"",AA596&lt;=Scoring!$B$6),"Expiring: 10-yr horizon (verified)",IF(M596="No Longer Monitored","Out of program",IF(N596="","Unknown vintage",IF(N596&lt;Scoring!$B$12,"Pre-1990, still listed",IF(AND(U596="",AA596&lt;0),"Past 30-yr mark (verify)",IF(AND(U596="",AA596&lt;=Scoring!$B$5),"30-yr mark: notice window (est.)",IF(AND(O596&gt;=Scoring!$B$7,O596&lt;=Scoring!$B$8),"Year-15 window",IF(O596&gt;=Scoring!$B$9,"Recap window",IF(O596&gt;=11,"Late compliance","Credit period"))))))))))))</f>
        <v>Recap window</v>
      </c>
      <c r="E596" s="15" t="s">
        <v>2101</v>
      </c>
      <c r="F596" s="15" t="s">
        <v>2102</v>
      </c>
      <c r="G596" s="15" t="s">
        <v>2103</v>
      </c>
      <c r="H596" s="15" t="s">
        <v>97</v>
      </c>
      <c r="I596" s="15" t="s">
        <v>1090</v>
      </c>
      <c r="J596" s="15" t="n">
        <v>51</v>
      </c>
      <c r="K596" s="15" t="n">
        <v>51</v>
      </c>
      <c r="L596" s="15" t="n">
        <f aca="false">IF(OR(J596="",K596=""),"",MAX(J596-K596,0))</f>
        <v>0</v>
      </c>
      <c r="M596" s="15" t="s">
        <v>99</v>
      </c>
      <c r="N596" s="17" t="n">
        <v>2007</v>
      </c>
      <c r="O596" s="15" t="n">
        <f aca="false">IF(N596="","",Scoring!$B$4-N596)</f>
        <v>19</v>
      </c>
      <c r="P596" s="15" t="n">
        <f aca="false">IF(N596="","",N596+14)</f>
        <v>2021</v>
      </c>
      <c r="Q596" s="15" t="n">
        <f aca="false">IF(N596="","",IF(N596&lt;Scoring!$B$12,"n/a (pre-1990)",N596+Scoring!$B$13))</f>
        <v>2036</v>
      </c>
      <c r="R596" s="15" t="str">
        <f aca="false">IF(J596="","Unknown",IF(J596&gt;=5,"Yes","No (under 5 units)"))</f>
        <v>Yes</v>
      </c>
      <c r="S596" s="15"/>
      <c r="T596" s="18"/>
      <c r="U596" s="19"/>
      <c r="V596" s="18"/>
      <c r="W596" s="18"/>
      <c r="X596" s="20"/>
      <c r="Y596" s="18"/>
      <c r="Z596" s="18"/>
      <c r="AA596" s="21" t="n">
        <f aca="false">IF(U596&lt;&gt;"",(U596-Scoring!$B$3)/365.25,IF(N596="","",IF(N596&lt;Scoring!$B$12,"",(DATE(N596+Scoring!$B$13,12,31)-Scoring!$B$3)/365.25)))</f>
        <v>10.2477754962355</v>
      </c>
      <c r="AB596" s="22" t="n">
        <f aca="false">IF(T596="Y",0,IF(OR(D596="Expired (verified)",D596="Expiring: notice window (verified)",D596="Expiring: 10-yr horizon (verified)",D596="Past 30-yr mark (verify)",D596="30-yr mark: notice window (est.)",D596="Year-15 window"),1,0)+IF(ISNUMBER(O596),IF(O596&gt;=Scoring!$B$10,1,0),0)+IF(AND(ISNUMBER(L596),ISNUMBER(J596)),IF(J596&gt;0,IF(L596/J596&gt;=Scoring!$B$11,1,0),0),0)+IF(ISNUMBER(Z596),MIN(Z596,3),0))</f>
        <v>0</v>
      </c>
      <c r="AC596" s="22" t="n">
        <f aca="false">IF(AB596&gt;=3,Scoring!$C$24,IF(AB596=2,Scoring!$C$23,IF(AB596=1,Scoring!$C$22,0)))</f>
        <v>0</v>
      </c>
      <c r="AD596" s="22" t="n">
        <f aca="false">IF(T596="Y",0,IF(ISNUMBER(X596),IF(X596&gt;0.7,Scoring!$C$25,IF(X596&gt;=0.5,Scoring!$C$26,IF(X596&gt;=0.3,Scoring!$C$27,Scoring!$C$28))),Scoring!$C$29))</f>
        <v>10</v>
      </c>
      <c r="AE596" s="22" t="n">
        <f aca="false">IF(D596="Expiring: notice window (verified)",Scoring!$C$30,IF(OR(D596="Expired (verified)",D596="30-yr mark: notice window (est.)",D596="Year-15 window"),Scoring!$C$31,IF(D596="Expiring: 10-yr horizon (verified)",Scoring!$C$32,IF(D596="Past 30-yr mark (verify)",Scoring!$C$33,IF(OR(D596="Credit period",D596="Superseded record"),Scoring!$C$35,Scoring!$C$34)))))</f>
        <v>4</v>
      </c>
      <c r="AF596" s="22" t="n">
        <f aca="false">IF(T596="Y",0,IF(ISNUMBER(V596),IF(Scoring!$B$4-V596&gt;15,Scoring!$C$36,IF(Scoring!$B$4-V596&gt;=10,Scoring!$C$37,IF(Scoring!$B$4-V596&gt;=5,Scoring!$C$38,Scoring!$C$39))),IF(OR(N596="",D596="Out of program"),Scoring!$C$40,IF(O596&gt;15,Scoring!$C$36,IF(O596&gt;=10,Scoring!$C$37,IF(O596&gt;=5,Scoring!$C$38,Scoring!$C$39))))))</f>
        <v>15</v>
      </c>
      <c r="AG596" s="22" t="n">
        <f aca="false">IF(T596="Y",0,IF(Y596="Y",Scoring!$C$41,IF(ISNUMBER(O596),IF(O596&gt;=25,Scoring!$C$42,IF(O596&gt;=15,Scoring!$C$43,Scoring!$C$44)),Scoring!$C$44)))</f>
        <v>5</v>
      </c>
      <c r="AH596" s="22" t="n">
        <f aca="false">IF(T596="Y",0,IF(W596="",Scoring!$C$49,IFERROR(VLOOKUP(W596,Scoring!$B$45:$C$48,2,FALSE()),Scoring!$C$49)))</f>
        <v>5</v>
      </c>
      <c r="AI596" s="23" t="n">
        <f aca="false">C596+IF(ISNUMBER(J596),J596,0)/100000+(10000-ROW())/1000000000</f>
        <v>39.000519404</v>
      </c>
      <c r="AJ596" s="18"/>
      <c r="AK596" s="18"/>
      <c r="AL596" s="18"/>
      <c r="AM596" s="18"/>
    </row>
    <row r="597" customFormat="false" ht="15" hidden="false" customHeight="false" outlineLevel="0" collapsed="false">
      <c r="A597" s="15" t="n">
        <f aca="false">RANK(AI597,$AI$2:$AI$755)</f>
        <v>596</v>
      </c>
      <c r="B597" s="16" t="str">
        <f aca="false">IF(T597="Y","Superseded",IF(C597&gt;=Scoring!$B$16,"Immediate",IF(C597&gt;=Scoring!$B$17,"This week",IF(C597&gt;=Scoring!$B$18,"Nurture","Low"))))</f>
        <v>Nurture</v>
      </c>
      <c r="C597" s="3" t="n">
        <f aca="false">SUM(AC597:AH597)</f>
        <v>39</v>
      </c>
      <c r="D597" s="15" t="str">
        <f aca="false">IF(T597="Y","Superseded record",IF(AND(U597&lt;&gt;"",AA597&lt;0),"Expired (verified)",IF(AND(U597&lt;&gt;"",AA597&lt;=Scoring!$B$5),"Expiring: notice window (verified)",IF(AND(U597&lt;&gt;"",AA597&lt;=Scoring!$B$6),"Expiring: 10-yr horizon (verified)",IF(M597="No Longer Monitored","Out of program",IF(N597="","Unknown vintage",IF(N597&lt;Scoring!$B$12,"Pre-1990, still listed",IF(AND(U597="",AA597&lt;0),"Past 30-yr mark (verify)",IF(AND(U597="",AA597&lt;=Scoring!$B$5),"30-yr mark: notice window (est.)",IF(AND(O597&gt;=Scoring!$B$7,O597&lt;=Scoring!$B$8),"Year-15 window",IF(O597&gt;=Scoring!$B$9,"Recap window",IF(O597&gt;=11,"Late compliance","Credit period"))))))))))))</f>
        <v>Recap window</v>
      </c>
      <c r="E597" s="15" t="s">
        <v>2104</v>
      </c>
      <c r="F597" s="15" t="s">
        <v>2105</v>
      </c>
      <c r="G597" s="15" t="s">
        <v>2106</v>
      </c>
      <c r="H597" s="15" t="s">
        <v>700</v>
      </c>
      <c r="I597" s="15" t="s">
        <v>701</v>
      </c>
      <c r="J597" s="15" t="n">
        <v>50</v>
      </c>
      <c r="K597" s="15" t="n">
        <v>50</v>
      </c>
      <c r="L597" s="15" t="n">
        <f aca="false">IF(OR(J597="",K597=""),"",MAX(J597-K597,0))</f>
        <v>0</v>
      </c>
      <c r="M597" s="15" t="s">
        <v>99</v>
      </c>
      <c r="N597" s="17" t="n">
        <v>2008</v>
      </c>
      <c r="O597" s="15" t="n">
        <f aca="false">IF(N597="","",Scoring!$B$4-N597)</f>
        <v>18</v>
      </c>
      <c r="P597" s="15" t="n">
        <f aca="false">IF(N597="","",N597+14)</f>
        <v>2022</v>
      </c>
      <c r="Q597" s="15" t="n">
        <f aca="false">IF(N597="","",IF(N597&lt;Scoring!$B$12,"n/a (pre-1990)",N597+Scoring!$B$13))</f>
        <v>2037</v>
      </c>
      <c r="R597" s="15" t="str">
        <f aca="false">IF(J597="","Unknown",IF(J597&gt;=5,"Yes","No (under 5 units)"))</f>
        <v>Yes</v>
      </c>
      <c r="S597" s="15"/>
      <c r="T597" s="18"/>
      <c r="U597" s="19"/>
      <c r="V597" s="18"/>
      <c r="W597" s="18"/>
      <c r="X597" s="20"/>
      <c r="Y597" s="18"/>
      <c r="Z597" s="18"/>
      <c r="AA597" s="21" t="n">
        <f aca="false">IF(U597&lt;&gt;"",(U597-Scoring!$B$3)/365.25,IF(N597="","",IF(N597&lt;Scoring!$B$12,"",(DATE(N597+Scoring!$B$13,12,31)-Scoring!$B$3)/365.25)))</f>
        <v>11.2470910335387</v>
      </c>
      <c r="AB597" s="22" t="n">
        <f aca="false">IF(T597="Y",0,IF(OR(D597="Expired (verified)",D597="Expiring: notice window (verified)",D597="Expiring: 10-yr horizon (verified)",D597="Past 30-yr mark (verify)",D597="30-yr mark: notice window (est.)",D597="Year-15 window"),1,0)+IF(ISNUMBER(O597),IF(O597&gt;=Scoring!$B$10,1,0),0)+IF(AND(ISNUMBER(L597),ISNUMBER(J597)),IF(J597&gt;0,IF(L597/J597&gt;=Scoring!$B$11,1,0),0),0)+IF(ISNUMBER(Z597),MIN(Z597,3),0))</f>
        <v>0</v>
      </c>
      <c r="AC597" s="22" t="n">
        <f aca="false">IF(AB597&gt;=3,Scoring!$C$24,IF(AB597=2,Scoring!$C$23,IF(AB597=1,Scoring!$C$22,0)))</f>
        <v>0</v>
      </c>
      <c r="AD597" s="22" t="n">
        <f aca="false">IF(T597="Y",0,IF(ISNUMBER(X597),IF(X597&gt;0.7,Scoring!$C$25,IF(X597&gt;=0.5,Scoring!$C$26,IF(X597&gt;=0.3,Scoring!$C$27,Scoring!$C$28))),Scoring!$C$29))</f>
        <v>10</v>
      </c>
      <c r="AE597" s="22" t="n">
        <f aca="false">IF(D597="Expiring: notice window (verified)",Scoring!$C$30,IF(OR(D597="Expired (verified)",D597="30-yr mark: notice window (est.)",D597="Year-15 window"),Scoring!$C$31,IF(D597="Expiring: 10-yr horizon (verified)",Scoring!$C$32,IF(D597="Past 30-yr mark (verify)",Scoring!$C$33,IF(OR(D597="Credit period",D597="Superseded record"),Scoring!$C$35,Scoring!$C$34)))))</f>
        <v>4</v>
      </c>
      <c r="AF597" s="22" t="n">
        <f aca="false">IF(T597="Y",0,IF(ISNUMBER(V597),IF(Scoring!$B$4-V597&gt;15,Scoring!$C$36,IF(Scoring!$B$4-V597&gt;=10,Scoring!$C$37,IF(Scoring!$B$4-V597&gt;=5,Scoring!$C$38,Scoring!$C$39))),IF(OR(N597="",D597="Out of program"),Scoring!$C$40,IF(O597&gt;15,Scoring!$C$36,IF(O597&gt;=10,Scoring!$C$37,IF(O597&gt;=5,Scoring!$C$38,Scoring!$C$39))))))</f>
        <v>15</v>
      </c>
      <c r="AG597" s="22" t="n">
        <f aca="false">IF(T597="Y",0,IF(Y597="Y",Scoring!$C$41,IF(ISNUMBER(O597),IF(O597&gt;=25,Scoring!$C$42,IF(O597&gt;=15,Scoring!$C$43,Scoring!$C$44)),Scoring!$C$44)))</f>
        <v>5</v>
      </c>
      <c r="AH597" s="22" t="n">
        <f aca="false">IF(T597="Y",0,IF(W597="",Scoring!$C$49,IFERROR(VLOOKUP(W597,Scoring!$B$45:$C$48,2,FALSE()),Scoring!$C$49)))</f>
        <v>5</v>
      </c>
      <c r="AI597" s="23" t="n">
        <f aca="false">C597+IF(ISNUMBER(J597),J597,0)/100000+(10000-ROW())/1000000000</f>
        <v>39.000509403</v>
      </c>
      <c r="AJ597" s="18"/>
      <c r="AK597" s="18"/>
      <c r="AL597" s="18"/>
      <c r="AM597" s="18"/>
    </row>
    <row r="598" customFormat="false" ht="15" hidden="false" customHeight="false" outlineLevel="0" collapsed="false">
      <c r="A598" s="15" t="n">
        <f aca="false">RANK(AI598,$AI$2:$AI$755)</f>
        <v>597</v>
      </c>
      <c r="B598" s="16" t="str">
        <f aca="false">IF(T598="Y","Superseded",IF(C598&gt;=Scoring!$B$16,"Immediate",IF(C598&gt;=Scoring!$B$17,"This week",IF(C598&gt;=Scoring!$B$18,"Nurture","Low"))))</f>
        <v>Nurture</v>
      </c>
      <c r="C598" s="3" t="n">
        <f aca="false">SUM(AC598:AH598)</f>
        <v>39</v>
      </c>
      <c r="D598" s="15" t="str">
        <f aca="false">IF(T598="Y","Superseded record",IF(AND(U598&lt;&gt;"",AA598&lt;0),"Expired (verified)",IF(AND(U598&lt;&gt;"",AA598&lt;=Scoring!$B$5),"Expiring: notice window (verified)",IF(AND(U598&lt;&gt;"",AA598&lt;=Scoring!$B$6),"Expiring: 10-yr horizon (verified)",IF(M598="No Longer Monitored","Out of program",IF(N598="","Unknown vintage",IF(N598&lt;Scoring!$B$12,"Pre-1990, still listed",IF(AND(U598="",AA598&lt;0),"Past 30-yr mark (verify)",IF(AND(U598="",AA598&lt;=Scoring!$B$5),"30-yr mark: notice window (est.)",IF(AND(O598&gt;=Scoring!$B$7,O598&lt;=Scoring!$B$8),"Year-15 window",IF(O598&gt;=Scoring!$B$9,"Recap window",IF(O598&gt;=11,"Late compliance","Credit period"))))))))))))</f>
        <v>Recap window</v>
      </c>
      <c r="E598" s="15" t="s">
        <v>2107</v>
      </c>
      <c r="F598" s="15" t="s">
        <v>2108</v>
      </c>
      <c r="G598" s="15" t="s">
        <v>2109</v>
      </c>
      <c r="H598" s="15" t="s">
        <v>565</v>
      </c>
      <c r="I598" s="15" t="s">
        <v>566</v>
      </c>
      <c r="J598" s="15" t="n">
        <v>50</v>
      </c>
      <c r="K598" s="15" t="n">
        <v>50</v>
      </c>
      <c r="L598" s="15" t="n">
        <f aca="false">IF(OR(J598="",K598=""),"",MAX(J598-K598,0))</f>
        <v>0</v>
      </c>
      <c r="M598" s="15" t="s">
        <v>99</v>
      </c>
      <c r="N598" s="17" t="n">
        <v>2008</v>
      </c>
      <c r="O598" s="15" t="n">
        <f aca="false">IF(N598="","",Scoring!$B$4-N598)</f>
        <v>18</v>
      </c>
      <c r="P598" s="15" t="n">
        <f aca="false">IF(N598="","",N598+14)</f>
        <v>2022</v>
      </c>
      <c r="Q598" s="15" t="n">
        <f aca="false">IF(N598="","",IF(N598&lt;Scoring!$B$12,"n/a (pre-1990)",N598+Scoring!$B$13))</f>
        <v>2037</v>
      </c>
      <c r="R598" s="15" t="str">
        <f aca="false">IF(J598="","Unknown",IF(J598&gt;=5,"Yes","No (under 5 units)"))</f>
        <v>Yes</v>
      </c>
      <c r="S598" s="15"/>
      <c r="T598" s="18"/>
      <c r="U598" s="19"/>
      <c r="V598" s="18"/>
      <c r="W598" s="18"/>
      <c r="X598" s="20"/>
      <c r="Y598" s="18"/>
      <c r="Z598" s="18"/>
      <c r="AA598" s="21" t="n">
        <f aca="false">IF(U598&lt;&gt;"",(U598-Scoring!$B$3)/365.25,IF(N598="","",IF(N598&lt;Scoring!$B$12,"",(DATE(N598+Scoring!$B$13,12,31)-Scoring!$B$3)/365.25)))</f>
        <v>11.2470910335387</v>
      </c>
      <c r="AB598" s="22" t="n">
        <f aca="false">IF(T598="Y",0,IF(OR(D598="Expired (verified)",D598="Expiring: notice window (verified)",D598="Expiring: 10-yr horizon (verified)",D598="Past 30-yr mark (verify)",D598="30-yr mark: notice window (est.)",D598="Year-15 window"),1,0)+IF(ISNUMBER(O598),IF(O598&gt;=Scoring!$B$10,1,0),0)+IF(AND(ISNUMBER(L598),ISNUMBER(J598)),IF(J598&gt;0,IF(L598/J598&gt;=Scoring!$B$11,1,0),0),0)+IF(ISNUMBER(Z598),MIN(Z598,3),0))</f>
        <v>0</v>
      </c>
      <c r="AC598" s="22" t="n">
        <f aca="false">IF(AB598&gt;=3,Scoring!$C$24,IF(AB598=2,Scoring!$C$23,IF(AB598=1,Scoring!$C$22,0)))</f>
        <v>0</v>
      </c>
      <c r="AD598" s="22" t="n">
        <f aca="false">IF(T598="Y",0,IF(ISNUMBER(X598),IF(X598&gt;0.7,Scoring!$C$25,IF(X598&gt;=0.5,Scoring!$C$26,IF(X598&gt;=0.3,Scoring!$C$27,Scoring!$C$28))),Scoring!$C$29))</f>
        <v>10</v>
      </c>
      <c r="AE598" s="22" t="n">
        <f aca="false">IF(D598="Expiring: notice window (verified)",Scoring!$C$30,IF(OR(D598="Expired (verified)",D598="30-yr mark: notice window (est.)",D598="Year-15 window"),Scoring!$C$31,IF(D598="Expiring: 10-yr horizon (verified)",Scoring!$C$32,IF(D598="Past 30-yr mark (verify)",Scoring!$C$33,IF(OR(D598="Credit period",D598="Superseded record"),Scoring!$C$35,Scoring!$C$34)))))</f>
        <v>4</v>
      </c>
      <c r="AF598" s="22" t="n">
        <f aca="false">IF(T598="Y",0,IF(ISNUMBER(V598),IF(Scoring!$B$4-V598&gt;15,Scoring!$C$36,IF(Scoring!$B$4-V598&gt;=10,Scoring!$C$37,IF(Scoring!$B$4-V598&gt;=5,Scoring!$C$38,Scoring!$C$39))),IF(OR(N598="",D598="Out of program"),Scoring!$C$40,IF(O598&gt;15,Scoring!$C$36,IF(O598&gt;=10,Scoring!$C$37,IF(O598&gt;=5,Scoring!$C$38,Scoring!$C$39))))))</f>
        <v>15</v>
      </c>
      <c r="AG598" s="22" t="n">
        <f aca="false">IF(T598="Y",0,IF(Y598="Y",Scoring!$C$41,IF(ISNUMBER(O598),IF(O598&gt;=25,Scoring!$C$42,IF(O598&gt;=15,Scoring!$C$43,Scoring!$C$44)),Scoring!$C$44)))</f>
        <v>5</v>
      </c>
      <c r="AH598" s="22" t="n">
        <f aca="false">IF(T598="Y",0,IF(W598="",Scoring!$C$49,IFERROR(VLOOKUP(W598,Scoring!$B$45:$C$48,2,FALSE()),Scoring!$C$49)))</f>
        <v>5</v>
      </c>
      <c r="AI598" s="23" t="n">
        <f aca="false">C598+IF(ISNUMBER(J598),J598,0)/100000+(10000-ROW())/1000000000</f>
        <v>39.000509402</v>
      </c>
      <c r="AJ598" s="18"/>
      <c r="AK598" s="18"/>
      <c r="AL598" s="18"/>
      <c r="AM598" s="18"/>
    </row>
    <row r="599" customFormat="false" ht="15" hidden="false" customHeight="false" outlineLevel="0" collapsed="false">
      <c r="A599" s="15" t="n">
        <f aca="false">RANK(AI599,$AI$2:$AI$755)</f>
        <v>598</v>
      </c>
      <c r="B599" s="16" t="str">
        <f aca="false">IF(T599="Y","Superseded",IF(C599&gt;=Scoring!$B$16,"Immediate",IF(C599&gt;=Scoring!$B$17,"This week",IF(C599&gt;=Scoring!$B$18,"Nurture","Low"))))</f>
        <v>Nurture</v>
      </c>
      <c r="C599" s="3" t="n">
        <f aca="false">SUM(AC599:AH599)</f>
        <v>39</v>
      </c>
      <c r="D599" s="15" t="str">
        <f aca="false">IF(T599="Y","Superseded record",IF(AND(U599&lt;&gt;"",AA599&lt;0),"Expired (verified)",IF(AND(U599&lt;&gt;"",AA599&lt;=Scoring!$B$5),"Expiring: notice window (verified)",IF(AND(U599&lt;&gt;"",AA599&lt;=Scoring!$B$6),"Expiring: 10-yr horizon (verified)",IF(M599="No Longer Monitored","Out of program",IF(N599="","Unknown vintage",IF(N599&lt;Scoring!$B$12,"Pre-1990, still listed",IF(AND(U599="",AA599&lt;0),"Past 30-yr mark (verify)",IF(AND(U599="",AA599&lt;=Scoring!$B$5),"30-yr mark: notice window (est.)",IF(AND(O599&gt;=Scoring!$B$7,O599&lt;=Scoring!$B$8),"Year-15 window",IF(O599&gt;=Scoring!$B$9,"Recap window",IF(O599&gt;=11,"Late compliance","Credit period"))))))))))))</f>
        <v>Recap window</v>
      </c>
      <c r="E599" s="15" t="s">
        <v>2110</v>
      </c>
      <c r="F599" s="15" t="s">
        <v>2111</v>
      </c>
      <c r="G599" s="15"/>
      <c r="H599" s="15" t="s">
        <v>888</v>
      </c>
      <c r="I599" s="15"/>
      <c r="J599" s="15" t="n">
        <v>50</v>
      </c>
      <c r="K599" s="15" t="n">
        <v>50</v>
      </c>
      <c r="L599" s="15" t="n">
        <f aca="false">IF(OR(J599="",K599=""),"",MAX(J599-K599,0))</f>
        <v>0</v>
      </c>
      <c r="M599" s="15" t="s">
        <v>99</v>
      </c>
      <c r="N599" s="17" t="n">
        <v>2008</v>
      </c>
      <c r="O599" s="15" t="n">
        <f aca="false">IF(N599="","",Scoring!$B$4-N599)</f>
        <v>18</v>
      </c>
      <c r="P599" s="15" t="n">
        <f aca="false">IF(N599="","",N599+14)</f>
        <v>2022</v>
      </c>
      <c r="Q599" s="15" t="n">
        <f aca="false">IF(N599="","",IF(N599&lt;Scoring!$B$12,"n/a (pre-1990)",N599+Scoring!$B$13))</f>
        <v>2037</v>
      </c>
      <c r="R599" s="15" t="str">
        <f aca="false">IF(J599="","Unknown",IF(J599&gt;=5,"Yes","No (under 5 units)"))</f>
        <v>Yes</v>
      </c>
      <c r="S599" s="15"/>
      <c r="T599" s="18"/>
      <c r="U599" s="19"/>
      <c r="V599" s="18"/>
      <c r="W599" s="18"/>
      <c r="X599" s="20"/>
      <c r="Y599" s="18"/>
      <c r="Z599" s="18"/>
      <c r="AA599" s="21" t="n">
        <f aca="false">IF(U599&lt;&gt;"",(U599-Scoring!$B$3)/365.25,IF(N599="","",IF(N599&lt;Scoring!$B$12,"",(DATE(N599+Scoring!$B$13,12,31)-Scoring!$B$3)/365.25)))</f>
        <v>11.2470910335387</v>
      </c>
      <c r="AB599" s="22" t="n">
        <f aca="false">IF(T599="Y",0,IF(OR(D599="Expired (verified)",D599="Expiring: notice window (verified)",D599="Expiring: 10-yr horizon (verified)",D599="Past 30-yr mark (verify)",D599="30-yr mark: notice window (est.)",D599="Year-15 window"),1,0)+IF(ISNUMBER(O599),IF(O599&gt;=Scoring!$B$10,1,0),0)+IF(AND(ISNUMBER(L599),ISNUMBER(J599)),IF(J599&gt;0,IF(L599/J599&gt;=Scoring!$B$11,1,0),0),0)+IF(ISNUMBER(Z599),MIN(Z599,3),0))</f>
        <v>0</v>
      </c>
      <c r="AC599" s="22" t="n">
        <f aca="false">IF(AB599&gt;=3,Scoring!$C$24,IF(AB599=2,Scoring!$C$23,IF(AB599=1,Scoring!$C$22,0)))</f>
        <v>0</v>
      </c>
      <c r="AD599" s="22" t="n">
        <f aca="false">IF(T599="Y",0,IF(ISNUMBER(X599),IF(X599&gt;0.7,Scoring!$C$25,IF(X599&gt;=0.5,Scoring!$C$26,IF(X599&gt;=0.3,Scoring!$C$27,Scoring!$C$28))),Scoring!$C$29))</f>
        <v>10</v>
      </c>
      <c r="AE599" s="22" t="n">
        <f aca="false">IF(D599="Expiring: notice window (verified)",Scoring!$C$30,IF(OR(D599="Expired (verified)",D599="30-yr mark: notice window (est.)",D599="Year-15 window"),Scoring!$C$31,IF(D599="Expiring: 10-yr horizon (verified)",Scoring!$C$32,IF(D599="Past 30-yr mark (verify)",Scoring!$C$33,IF(OR(D599="Credit period",D599="Superseded record"),Scoring!$C$35,Scoring!$C$34)))))</f>
        <v>4</v>
      </c>
      <c r="AF599" s="22" t="n">
        <f aca="false">IF(T599="Y",0,IF(ISNUMBER(V599),IF(Scoring!$B$4-V599&gt;15,Scoring!$C$36,IF(Scoring!$B$4-V599&gt;=10,Scoring!$C$37,IF(Scoring!$B$4-V599&gt;=5,Scoring!$C$38,Scoring!$C$39))),IF(OR(N599="",D599="Out of program"),Scoring!$C$40,IF(O599&gt;15,Scoring!$C$36,IF(O599&gt;=10,Scoring!$C$37,IF(O599&gt;=5,Scoring!$C$38,Scoring!$C$39))))))</f>
        <v>15</v>
      </c>
      <c r="AG599" s="22" t="n">
        <f aca="false">IF(T599="Y",0,IF(Y599="Y",Scoring!$C$41,IF(ISNUMBER(O599),IF(O599&gt;=25,Scoring!$C$42,IF(O599&gt;=15,Scoring!$C$43,Scoring!$C$44)),Scoring!$C$44)))</f>
        <v>5</v>
      </c>
      <c r="AH599" s="22" t="n">
        <f aca="false">IF(T599="Y",0,IF(W599="",Scoring!$C$49,IFERROR(VLOOKUP(W599,Scoring!$B$45:$C$48,2,FALSE()),Scoring!$C$49)))</f>
        <v>5</v>
      </c>
      <c r="AI599" s="23" t="n">
        <f aca="false">C599+IF(ISNUMBER(J599),J599,0)/100000+(10000-ROW())/1000000000</f>
        <v>39.000509401</v>
      </c>
      <c r="AJ599" s="18"/>
      <c r="AK599" s="18"/>
      <c r="AL599" s="18"/>
      <c r="AM599" s="18"/>
    </row>
    <row r="600" customFormat="false" ht="15" hidden="false" customHeight="false" outlineLevel="0" collapsed="false">
      <c r="A600" s="15" t="n">
        <f aca="false">RANK(AI600,$AI$2:$AI$755)</f>
        <v>599</v>
      </c>
      <c r="B600" s="16" t="str">
        <f aca="false">IF(T600="Y","Superseded",IF(C600&gt;=Scoring!$B$16,"Immediate",IF(C600&gt;=Scoring!$B$17,"This week",IF(C600&gt;=Scoring!$B$18,"Nurture","Low"))))</f>
        <v>Nurture</v>
      </c>
      <c r="C600" s="3" t="n">
        <f aca="false">SUM(AC600:AH600)</f>
        <v>39</v>
      </c>
      <c r="D600" s="15" t="str">
        <f aca="false">IF(T600="Y","Superseded record",IF(AND(U600&lt;&gt;"",AA600&lt;0),"Expired (verified)",IF(AND(U600&lt;&gt;"",AA600&lt;=Scoring!$B$5),"Expiring: notice window (verified)",IF(AND(U600&lt;&gt;"",AA600&lt;=Scoring!$B$6),"Expiring: 10-yr horizon (verified)",IF(M600="No Longer Monitored","Out of program",IF(N600="","Unknown vintage",IF(N600&lt;Scoring!$B$12,"Pre-1990, still listed",IF(AND(U600="",AA600&lt;0),"Past 30-yr mark (verify)",IF(AND(U600="",AA600&lt;=Scoring!$B$5),"30-yr mark: notice window (est.)",IF(AND(O600&gt;=Scoring!$B$7,O600&lt;=Scoring!$B$8),"Year-15 window",IF(O600&gt;=Scoring!$B$9,"Recap window",IF(O600&gt;=11,"Late compliance","Credit period"))))))))))))</f>
        <v>Recap window</v>
      </c>
      <c r="E600" s="15" t="s">
        <v>2112</v>
      </c>
      <c r="F600" s="15" t="s">
        <v>2113</v>
      </c>
      <c r="G600" s="15" t="s">
        <v>2114</v>
      </c>
      <c r="H600" s="15" t="s">
        <v>275</v>
      </c>
      <c r="I600" s="15" t="s">
        <v>276</v>
      </c>
      <c r="J600" s="15" t="n">
        <v>48</v>
      </c>
      <c r="K600" s="15" t="n">
        <v>48</v>
      </c>
      <c r="L600" s="15" t="n">
        <f aca="false">IF(OR(J600="",K600=""),"",MAX(J600-K600,0))</f>
        <v>0</v>
      </c>
      <c r="M600" s="15" t="s">
        <v>99</v>
      </c>
      <c r="N600" s="17" t="n">
        <v>2007</v>
      </c>
      <c r="O600" s="15" t="n">
        <f aca="false">IF(N600="","",Scoring!$B$4-N600)</f>
        <v>19</v>
      </c>
      <c r="P600" s="15" t="n">
        <f aca="false">IF(N600="","",N600+14)</f>
        <v>2021</v>
      </c>
      <c r="Q600" s="15" t="n">
        <f aca="false">IF(N600="","",IF(N600&lt;Scoring!$B$12,"n/a (pre-1990)",N600+Scoring!$B$13))</f>
        <v>2036</v>
      </c>
      <c r="R600" s="15" t="str">
        <f aca="false">IF(J600="","Unknown",IF(J600&gt;=5,"Yes","No (under 5 units)"))</f>
        <v>Yes</v>
      </c>
      <c r="S600" s="15"/>
      <c r="T600" s="18"/>
      <c r="U600" s="19"/>
      <c r="V600" s="18"/>
      <c r="W600" s="18"/>
      <c r="X600" s="20"/>
      <c r="Y600" s="18"/>
      <c r="Z600" s="18"/>
      <c r="AA600" s="21" t="n">
        <f aca="false">IF(U600&lt;&gt;"",(U600-Scoring!$B$3)/365.25,IF(N600="","",IF(N600&lt;Scoring!$B$12,"",(DATE(N600+Scoring!$B$13,12,31)-Scoring!$B$3)/365.25)))</f>
        <v>10.2477754962355</v>
      </c>
      <c r="AB600" s="22" t="n">
        <f aca="false">IF(T600="Y",0,IF(OR(D600="Expired (verified)",D600="Expiring: notice window (verified)",D600="Expiring: 10-yr horizon (verified)",D600="Past 30-yr mark (verify)",D600="30-yr mark: notice window (est.)",D600="Year-15 window"),1,0)+IF(ISNUMBER(O600),IF(O600&gt;=Scoring!$B$10,1,0),0)+IF(AND(ISNUMBER(L600),ISNUMBER(J600)),IF(J600&gt;0,IF(L600/J600&gt;=Scoring!$B$11,1,0),0),0)+IF(ISNUMBER(Z600),MIN(Z600,3),0))</f>
        <v>0</v>
      </c>
      <c r="AC600" s="22" t="n">
        <f aca="false">IF(AB600&gt;=3,Scoring!$C$24,IF(AB600=2,Scoring!$C$23,IF(AB600=1,Scoring!$C$22,0)))</f>
        <v>0</v>
      </c>
      <c r="AD600" s="22" t="n">
        <f aca="false">IF(T600="Y",0,IF(ISNUMBER(X600),IF(X600&gt;0.7,Scoring!$C$25,IF(X600&gt;=0.5,Scoring!$C$26,IF(X600&gt;=0.3,Scoring!$C$27,Scoring!$C$28))),Scoring!$C$29))</f>
        <v>10</v>
      </c>
      <c r="AE600" s="22" t="n">
        <f aca="false">IF(D600="Expiring: notice window (verified)",Scoring!$C$30,IF(OR(D600="Expired (verified)",D600="30-yr mark: notice window (est.)",D600="Year-15 window"),Scoring!$C$31,IF(D600="Expiring: 10-yr horizon (verified)",Scoring!$C$32,IF(D600="Past 30-yr mark (verify)",Scoring!$C$33,IF(OR(D600="Credit period",D600="Superseded record"),Scoring!$C$35,Scoring!$C$34)))))</f>
        <v>4</v>
      </c>
      <c r="AF600" s="22" t="n">
        <f aca="false">IF(T600="Y",0,IF(ISNUMBER(V600),IF(Scoring!$B$4-V600&gt;15,Scoring!$C$36,IF(Scoring!$B$4-V600&gt;=10,Scoring!$C$37,IF(Scoring!$B$4-V600&gt;=5,Scoring!$C$38,Scoring!$C$39))),IF(OR(N600="",D600="Out of program"),Scoring!$C$40,IF(O600&gt;15,Scoring!$C$36,IF(O600&gt;=10,Scoring!$C$37,IF(O600&gt;=5,Scoring!$C$38,Scoring!$C$39))))))</f>
        <v>15</v>
      </c>
      <c r="AG600" s="22" t="n">
        <f aca="false">IF(T600="Y",0,IF(Y600="Y",Scoring!$C$41,IF(ISNUMBER(O600),IF(O600&gt;=25,Scoring!$C$42,IF(O600&gt;=15,Scoring!$C$43,Scoring!$C$44)),Scoring!$C$44)))</f>
        <v>5</v>
      </c>
      <c r="AH600" s="22" t="n">
        <f aca="false">IF(T600="Y",0,IF(W600="",Scoring!$C$49,IFERROR(VLOOKUP(W600,Scoring!$B$45:$C$48,2,FALSE()),Scoring!$C$49)))</f>
        <v>5</v>
      </c>
      <c r="AI600" s="23" t="n">
        <f aca="false">C600+IF(ISNUMBER(J600),J600,0)/100000+(10000-ROW())/1000000000</f>
        <v>39.0004894</v>
      </c>
      <c r="AJ600" s="18"/>
      <c r="AK600" s="18"/>
      <c r="AL600" s="18"/>
      <c r="AM600" s="18"/>
    </row>
    <row r="601" customFormat="false" ht="15" hidden="false" customHeight="false" outlineLevel="0" collapsed="false">
      <c r="A601" s="15" t="n">
        <f aca="false">RANK(AI601,$AI$2:$AI$755)</f>
        <v>600</v>
      </c>
      <c r="B601" s="16" t="str">
        <f aca="false">IF(T601="Y","Superseded",IF(C601&gt;=Scoring!$B$16,"Immediate",IF(C601&gt;=Scoring!$B$17,"This week",IF(C601&gt;=Scoring!$B$18,"Nurture","Low"))))</f>
        <v>Nurture</v>
      </c>
      <c r="C601" s="3" t="n">
        <f aca="false">SUM(AC601:AH601)</f>
        <v>39</v>
      </c>
      <c r="D601" s="15" t="str">
        <f aca="false">IF(T601="Y","Superseded record",IF(AND(U601&lt;&gt;"",AA601&lt;0),"Expired (verified)",IF(AND(U601&lt;&gt;"",AA601&lt;=Scoring!$B$5),"Expiring: notice window (verified)",IF(AND(U601&lt;&gt;"",AA601&lt;=Scoring!$B$6),"Expiring: 10-yr horizon (verified)",IF(M601="No Longer Monitored","Out of program",IF(N601="","Unknown vintage",IF(N601&lt;Scoring!$B$12,"Pre-1990, still listed",IF(AND(U601="",AA601&lt;0),"Past 30-yr mark (verify)",IF(AND(U601="",AA601&lt;=Scoring!$B$5),"30-yr mark: notice window (est.)",IF(AND(O601&gt;=Scoring!$B$7,O601&lt;=Scoring!$B$8),"Year-15 window",IF(O601&gt;=Scoring!$B$9,"Recap window",IF(O601&gt;=11,"Late compliance","Credit period"))))))))))))</f>
        <v>Recap window</v>
      </c>
      <c r="E601" s="15" t="s">
        <v>2115</v>
      </c>
      <c r="F601" s="15" t="s">
        <v>2116</v>
      </c>
      <c r="G601" s="15" t="s">
        <v>2117</v>
      </c>
      <c r="H601" s="15" t="s">
        <v>1321</v>
      </c>
      <c r="I601" s="15" t="s">
        <v>1322</v>
      </c>
      <c r="J601" s="15" t="n">
        <v>48</v>
      </c>
      <c r="K601" s="15" t="n">
        <v>48</v>
      </c>
      <c r="L601" s="15" t="n">
        <f aca="false">IF(OR(J601="",K601=""),"",MAX(J601-K601,0))</f>
        <v>0</v>
      </c>
      <c r="M601" s="15" t="s">
        <v>99</v>
      </c>
      <c r="N601" s="17" t="n">
        <v>2008</v>
      </c>
      <c r="O601" s="15" t="n">
        <f aca="false">IF(N601="","",Scoring!$B$4-N601)</f>
        <v>18</v>
      </c>
      <c r="P601" s="15" t="n">
        <f aca="false">IF(N601="","",N601+14)</f>
        <v>2022</v>
      </c>
      <c r="Q601" s="15" t="n">
        <f aca="false">IF(N601="","",IF(N601&lt;Scoring!$B$12,"n/a (pre-1990)",N601+Scoring!$B$13))</f>
        <v>2037</v>
      </c>
      <c r="R601" s="15" t="str">
        <f aca="false">IF(J601="","Unknown",IF(J601&gt;=5,"Yes","No (under 5 units)"))</f>
        <v>Yes</v>
      </c>
      <c r="S601" s="15"/>
      <c r="T601" s="18"/>
      <c r="U601" s="19"/>
      <c r="V601" s="18"/>
      <c r="W601" s="18"/>
      <c r="X601" s="20"/>
      <c r="Y601" s="18"/>
      <c r="Z601" s="18"/>
      <c r="AA601" s="21" t="n">
        <f aca="false">IF(U601&lt;&gt;"",(U601-Scoring!$B$3)/365.25,IF(N601="","",IF(N601&lt;Scoring!$B$12,"",(DATE(N601+Scoring!$B$13,12,31)-Scoring!$B$3)/365.25)))</f>
        <v>11.2470910335387</v>
      </c>
      <c r="AB601" s="22" t="n">
        <f aca="false">IF(T601="Y",0,IF(OR(D601="Expired (verified)",D601="Expiring: notice window (verified)",D601="Expiring: 10-yr horizon (verified)",D601="Past 30-yr mark (verify)",D601="30-yr mark: notice window (est.)",D601="Year-15 window"),1,0)+IF(ISNUMBER(O601),IF(O601&gt;=Scoring!$B$10,1,0),0)+IF(AND(ISNUMBER(L601),ISNUMBER(J601)),IF(J601&gt;0,IF(L601/J601&gt;=Scoring!$B$11,1,0),0),0)+IF(ISNUMBER(Z601),MIN(Z601,3),0))</f>
        <v>0</v>
      </c>
      <c r="AC601" s="22" t="n">
        <f aca="false">IF(AB601&gt;=3,Scoring!$C$24,IF(AB601=2,Scoring!$C$23,IF(AB601=1,Scoring!$C$22,0)))</f>
        <v>0</v>
      </c>
      <c r="AD601" s="22" t="n">
        <f aca="false">IF(T601="Y",0,IF(ISNUMBER(X601),IF(X601&gt;0.7,Scoring!$C$25,IF(X601&gt;=0.5,Scoring!$C$26,IF(X601&gt;=0.3,Scoring!$C$27,Scoring!$C$28))),Scoring!$C$29))</f>
        <v>10</v>
      </c>
      <c r="AE601" s="22" t="n">
        <f aca="false">IF(D601="Expiring: notice window (verified)",Scoring!$C$30,IF(OR(D601="Expired (verified)",D601="30-yr mark: notice window (est.)",D601="Year-15 window"),Scoring!$C$31,IF(D601="Expiring: 10-yr horizon (verified)",Scoring!$C$32,IF(D601="Past 30-yr mark (verify)",Scoring!$C$33,IF(OR(D601="Credit period",D601="Superseded record"),Scoring!$C$35,Scoring!$C$34)))))</f>
        <v>4</v>
      </c>
      <c r="AF601" s="22" t="n">
        <f aca="false">IF(T601="Y",0,IF(ISNUMBER(V601),IF(Scoring!$B$4-V601&gt;15,Scoring!$C$36,IF(Scoring!$B$4-V601&gt;=10,Scoring!$C$37,IF(Scoring!$B$4-V601&gt;=5,Scoring!$C$38,Scoring!$C$39))),IF(OR(N601="",D601="Out of program"),Scoring!$C$40,IF(O601&gt;15,Scoring!$C$36,IF(O601&gt;=10,Scoring!$C$37,IF(O601&gt;=5,Scoring!$C$38,Scoring!$C$39))))))</f>
        <v>15</v>
      </c>
      <c r="AG601" s="22" t="n">
        <f aca="false">IF(T601="Y",0,IF(Y601="Y",Scoring!$C$41,IF(ISNUMBER(O601),IF(O601&gt;=25,Scoring!$C$42,IF(O601&gt;=15,Scoring!$C$43,Scoring!$C$44)),Scoring!$C$44)))</f>
        <v>5</v>
      </c>
      <c r="AH601" s="22" t="n">
        <f aca="false">IF(T601="Y",0,IF(W601="",Scoring!$C$49,IFERROR(VLOOKUP(W601,Scoring!$B$45:$C$48,2,FALSE()),Scoring!$C$49)))</f>
        <v>5</v>
      </c>
      <c r="AI601" s="23" t="n">
        <f aca="false">C601+IF(ISNUMBER(J601),J601,0)/100000+(10000-ROW())/1000000000</f>
        <v>39.000489399</v>
      </c>
      <c r="AJ601" s="18"/>
      <c r="AK601" s="18"/>
      <c r="AL601" s="18"/>
      <c r="AM601" s="18"/>
    </row>
    <row r="602" customFormat="false" ht="15" hidden="false" customHeight="false" outlineLevel="0" collapsed="false">
      <c r="A602" s="15" t="n">
        <f aca="false">RANK(AI602,$AI$2:$AI$755)</f>
        <v>601</v>
      </c>
      <c r="B602" s="16" t="str">
        <f aca="false">IF(T602="Y","Superseded",IF(C602&gt;=Scoring!$B$16,"Immediate",IF(C602&gt;=Scoring!$B$17,"This week",IF(C602&gt;=Scoring!$B$18,"Nurture","Low"))))</f>
        <v>Nurture</v>
      </c>
      <c r="C602" s="3" t="n">
        <f aca="false">SUM(AC602:AH602)</f>
        <v>39</v>
      </c>
      <c r="D602" s="15" t="str">
        <f aca="false">IF(T602="Y","Superseded record",IF(AND(U602&lt;&gt;"",AA602&lt;0),"Expired (verified)",IF(AND(U602&lt;&gt;"",AA602&lt;=Scoring!$B$5),"Expiring: notice window (verified)",IF(AND(U602&lt;&gt;"",AA602&lt;=Scoring!$B$6),"Expiring: 10-yr horizon (verified)",IF(M602="No Longer Monitored","Out of program",IF(N602="","Unknown vintage",IF(N602&lt;Scoring!$B$12,"Pre-1990, still listed",IF(AND(U602="",AA602&lt;0),"Past 30-yr mark (verify)",IF(AND(U602="",AA602&lt;=Scoring!$B$5),"30-yr mark: notice window (est.)",IF(AND(O602&gt;=Scoring!$B$7,O602&lt;=Scoring!$B$8),"Year-15 window",IF(O602&gt;=Scoring!$B$9,"Recap window",IF(O602&gt;=11,"Late compliance","Credit period"))))))))))))</f>
        <v>Recap window</v>
      </c>
      <c r="E602" s="15" t="s">
        <v>2118</v>
      </c>
      <c r="F602" s="15" t="s">
        <v>2119</v>
      </c>
      <c r="G602" s="15" t="s">
        <v>2120</v>
      </c>
      <c r="H602" s="15" t="s">
        <v>455</v>
      </c>
      <c r="I602" s="15" t="s">
        <v>191</v>
      </c>
      <c r="J602" s="15" t="n">
        <v>48</v>
      </c>
      <c r="K602" s="15" t="n">
        <v>48</v>
      </c>
      <c r="L602" s="15" t="n">
        <f aca="false">IF(OR(J602="",K602=""),"",MAX(J602-K602,0))</f>
        <v>0</v>
      </c>
      <c r="M602" s="15" t="s">
        <v>99</v>
      </c>
      <c r="N602" s="17" t="n">
        <v>2008</v>
      </c>
      <c r="O602" s="15" t="n">
        <f aca="false">IF(N602="","",Scoring!$B$4-N602)</f>
        <v>18</v>
      </c>
      <c r="P602" s="15" t="n">
        <f aca="false">IF(N602="","",N602+14)</f>
        <v>2022</v>
      </c>
      <c r="Q602" s="15" t="n">
        <f aca="false">IF(N602="","",IF(N602&lt;Scoring!$B$12,"n/a (pre-1990)",N602+Scoring!$B$13))</f>
        <v>2037</v>
      </c>
      <c r="R602" s="15" t="str">
        <f aca="false">IF(J602="","Unknown",IF(J602&gt;=5,"Yes","No (under 5 units)"))</f>
        <v>Yes</v>
      </c>
      <c r="S602" s="15"/>
      <c r="T602" s="18"/>
      <c r="U602" s="19"/>
      <c r="V602" s="18"/>
      <c r="W602" s="18"/>
      <c r="X602" s="20"/>
      <c r="Y602" s="18"/>
      <c r="Z602" s="18"/>
      <c r="AA602" s="21" t="n">
        <f aca="false">IF(U602&lt;&gt;"",(U602-Scoring!$B$3)/365.25,IF(N602="","",IF(N602&lt;Scoring!$B$12,"",(DATE(N602+Scoring!$B$13,12,31)-Scoring!$B$3)/365.25)))</f>
        <v>11.2470910335387</v>
      </c>
      <c r="AB602" s="22" t="n">
        <f aca="false">IF(T602="Y",0,IF(OR(D602="Expired (verified)",D602="Expiring: notice window (verified)",D602="Expiring: 10-yr horizon (verified)",D602="Past 30-yr mark (verify)",D602="30-yr mark: notice window (est.)",D602="Year-15 window"),1,0)+IF(ISNUMBER(O602),IF(O602&gt;=Scoring!$B$10,1,0),0)+IF(AND(ISNUMBER(L602),ISNUMBER(J602)),IF(J602&gt;0,IF(L602/J602&gt;=Scoring!$B$11,1,0),0),0)+IF(ISNUMBER(Z602),MIN(Z602,3),0))</f>
        <v>0</v>
      </c>
      <c r="AC602" s="22" t="n">
        <f aca="false">IF(AB602&gt;=3,Scoring!$C$24,IF(AB602=2,Scoring!$C$23,IF(AB602=1,Scoring!$C$22,0)))</f>
        <v>0</v>
      </c>
      <c r="AD602" s="22" t="n">
        <f aca="false">IF(T602="Y",0,IF(ISNUMBER(X602),IF(X602&gt;0.7,Scoring!$C$25,IF(X602&gt;=0.5,Scoring!$C$26,IF(X602&gt;=0.3,Scoring!$C$27,Scoring!$C$28))),Scoring!$C$29))</f>
        <v>10</v>
      </c>
      <c r="AE602" s="22" t="n">
        <f aca="false">IF(D602="Expiring: notice window (verified)",Scoring!$C$30,IF(OR(D602="Expired (verified)",D602="30-yr mark: notice window (est.)",D602="Year-15 window"),Scoring!$C$31,IF(D602="Expiring: 10-yr horizon (verified)",Scoring!$C$32,IF(D602="Past 30-yr mark (verify)",Scoring!$C$33,IF(OR(D602="Credit period",D602="Superseded record"),Scoring!$C$35,Scoring!$C$34)))))</f>
        <v>4</v>
      </c>
      <c r="AF602" s="22" t="n">
        <f aca="false">IF(T602="Y",0,IF(ISNUMBER(V602),IF(Scoring!$B$4-V602&gt;15,Scoring!$C$36,IF(Scoring!$B$4-V602&gt;=10,Scoring!$C$37,IF(Scoring!$B$4-V602&gt;=5,Scoring!$C$38,Scoring!$C$39))),IF(OR(N602="",D602="Out of program"),Scoring!$C$40,IF(O602&gt;15,Scoring!$C$36,IF(O602&gt;=10,Scoring!$C$37,IF(O602&gt;=5,Scoring!$C$38,Scoring!$C$39))))))</f>
        <v>15</v>
      </c>
      <c r="AG602" s="22" t="n">
        <f aca="false">IF(T602="Y",0,IF(Y602="Y",Scoring!$C$41,IF(ISNUMBER(O602),IF(O602&gt;=25,Scoring!$C$42,IF(O602&gt;=15,Scoring!$C$43,Scoring!$C$44)),Scoring!$C$44)))</f>
        <v>5</v>
      </c>
      <c r="AH602" s="22" t="n">
        <f aca="false">IF(T602="Y",0,IF(W602="",Scoring!$C$49,IFERROR(VLOOKUP(W602,Scoring!$B$45:$C$48,2,FALSE()),Scoring!$C$49)))</f>
        <v>5</v>
      </c>
      <c r="AI602" s="23" t="n">
        <f aca="false">C602+IF(ISNUMBER(J602),J602,0)/100000+(10000-ROW())/1000000000</f>
        <v>39.000489398</v>
      </c>
      <c r="AJ602" s="18"/>
      <c r="AK602" s="18"/>
      <c r="AL602" s="18"/>
      <c r="AM602" s="18"/>
    </row>
    <row r="603" customFormat="false" ht="15" hidden="false" customHeight="false" outlineLevel="0" collapsed="false">
      <c r="A603" s="15" t="n">
        <f aca="false">RANK(AI603,$AI$2:$AI$755)</f>
        <v>602</v>
      </c>
      <c r="B603" s="16" t="str">
        <f aca="false">IF(T603="Y","Superseded",IF(C603&gt;=Scoring!$B$16,"Immediate",IF(C603&gt;=Scoring!$B$17,"This week",IF(C603&gt;=Scoring!$B$18,"Nurture","Low"))))</f>
        <v>Nurture</v>
      </c>
      <c r="C603" s="3" t="n">
        <f aca="false">SUM(AC603:AH603)</f>
        <v>39</v>
      </c>
      <c r="D603" s="15" t="str">
        <f aca="false">IF(T603="Y","Superseded record",IF(AND(U603&lt;&gt;"",AA603&lt;0),"Expired (verified)",IF(AND(U603&lt;&gt;"",AA603&lt;=Scoring!$B$5),"Expiring: notice window (verified)",IF(AND(U603&lt;&gt;"",AA603&lt;=Scoring!$B$6),"Expiring: 10-yr horizon (verified)",IF(M603="No Longer Monitored","Out of program",IF(N603="","Unknown vintage",IF(N603&lt;Scoring!$B$12,"Pre-1990, still listed",IF(AND(U603="",AA603&lt;0),"Past 30-yr mark (verify)",IF(AND(U603="",AA603&lt;=Scoring!$B$5),"30-yr mark: notice window (est.)",IF(AND(O603&gt;=Scoring!$B$7,O603&lt;=Scoring!$B$8),"Year-15 window",IF(O603&gt;=Scoring!$B$9,"Recap window",IF(O603&gt;=11,"Late compliance","Credit period"))))))))))))</f>
        <v>Recap window</v>
      </c>
      <c r="E603" s="15" t="s">
        <v>2121</v>
      </c>
      <c r="F603" s="15" t="s">
        <v>2122</v>
      </c>
      <c r="G603" s="15" t="s">
        <v>2123</v>
      </c>
      <c r="H603" s="15" t="s">
        <v>700</v>
      </c>
      <c r="I603" s="15" t="s">
        <v>701</v>
      </c>
      <c r="J603" s="15" t="n">
        <v>46</v>
      </c>
      <c r="K603" s="15" t="n">
        <v>46</v>
      </c>
      <c r="L603" s="15" t="n">
        <f aca="false">IF(OR(J603="",K603=""),"",MAX(J603-K603,0))</f>
        <v>0</v>
      </c>
      <c r="M603" s="15" t="s">
        <v>99</v>
      </c>
      <c r="N603" s="17" t="n">
        <v>2007</v>
      </c>
      <c r="O603" s="15" t="n">
        <f aca="false">IF(N603="","",Scoring!$B$4-N603)</f>
        <v>19</v>
      </c>
      <c r="P603" s="15" t="n">
        <f aca="false">IF(N603="","",N603+14)</f>
        <v>2021</v>
      </c>
      <c r="Q603" s="15" t="n">
        <f aca="false">IF(N603="","",IF(N603&lt;Scoring!$B$12,"n/a (pre-1990)",N603+Scoring!$B$13))</f>
        <v>2036</v>
      </c>
      <c r="R603" s="15" t="str">
        <f aca="false">IF(J603="","Unknown",IF(J603&gt;=5,"Yes","No (under 5 units)"))</f>
        <v>Yes</v>
      </c>
      <c r="S603" s="15"/>
      <c r="T603" s="18"/>
      <c r="U603" s="19"/>
      <c r="V603" s="18"/>
      <c r="W603" s="18"/>
      <c r="X603" s="20"/>
      <c r="Y603" s="18"/>
      <c r="Z603" s="18"/>
      <c r="AA603" s="21" t="n">
        <f aca="false">IF(U603&lt;&gt;"",(U603-Scoring!$B$3)/365.25,IF(N603="","",IF(N603&lt;Scoring!$B$12,"",(DATE(N603+Scoring!$B$13,12,31)-Scoring!$B$3)/365.25)))</f>
        <v>10.2477754962355</v>
      </c>
      <c r="AB603" s="22" t="n">
        <f aca="false">IF(T603="Y",0,IF(OR(D603="Expired (verified)",D603="Expiring: notice window (verified)",D603="Expiring: 10-yr horizon (verified)",D603="Past 30-yr mark (verify)",D603="30-yr mark: notice window (est.)",D603="Year-15 window"),1,0)+IF(ISNUMBER(O603),IF(O603&gt;=Scoring!$B$10,1,0),0)+IF(AND(ISNUMBER(L603),ISNUMBER(J603)),IF(J603&gt;0,IF(L603/J603&gt;=Scoring!$B$11,1,0),0),0)+IF(ISNUMBER(Z603),MIN(Z603,3),0))</f>
        <v>0</v>
      </c>
      <c r="AC603" s="22" t="n">
        <f aca="false">IF(AB603&gt;=3,Scoring!$C$24,IF(AB603=2,Scoring!$C$23,IF(AB603=1,Scoring!$C$22,0)))</f>
        <v>0</v>
      </c>
      <c r="AD603" s="22" t="n">
        <f aca="false">IF(T603="Y",0,IF(ISNUMBER(X603),IF(X603&gt;0.7,Scoring!$C$25,IF(X603&gt;=0.5,Scoring!$C$26,IF(X603&gt;=0.3,Scoring!$C$27,Scoring!$C$28))),Scoring!$C$29))</f>
        <v>10</v>
      </c>
      <c r="AE603" s="22" t="n">
        <f aca="false">IF(D603="Expiring: notice window (verified)",Scoring!$C$30,IF(OR(D603="Expired (verified)",D603="30-yr mark: notice window (est.)",D603="Year-15 window"),Scoring!$C$31,IF(D603="Expiring: 10-yr horizon (verified)",Scoring!$C$32,IF(D603="Past 30-yr mark (verify)",Scoring!$C$33,IF(OR(D603="Credit period",D603="Superseded record"),Scoring!$C$35,Scoring!$C$34)))))</f>
        <v>4</v>
      </c>
      <c r="AF603" s="22" t="n">
        <f aca="false">IF(T603="Y",0,IF(ISNUMBER(V603),IF(Scoring!$B$4-V603&gt;15,Scoring!$C$36,IF(Scoring!$B$4-V603&gt;=10,Scoring!$C$37,IF(Scoring!$B$4-V603&gt;=5,Scoring!$C$38,Scoring!$C$39))),IF(OR(N603="",D603="Out of program"),Scoring!$C$40,IF(O603&gt;15,Scoring!$C$36,IF(O603&gt;=10,Scoring!$C$37,IF(O603&gt;=5,Scoring!$C$38,Scoring!$C$39))))))</f>
        <v>15</v>
      </c>
      <c r="AG603" s="22" t="n">
        <f aca="false">IF(T603="Y",0,IF(Y603="Y",Scoring!$C$41,IF(ISNUMBER(O603),IF(O603&gt;=25,Scoring!$C$42,IF(O603&gt;=15,Scoring!$C$43,Scoring!$C$44)),Scoring!$C$44)))</f>
        <v>5</v>
      </c>
      <c r="AH603" s="22" t="n">
        <f aca="false">IF(T603="Y",0,IF(W603="",Scoring!$C$49,IFERROR(VLOOKUP(W603,Scoring!$B$45:$C$48,2,FALSE()),Scoring!$C$49)))</f>
        <v>5</v>
      </c>
      <c r="AI603" s="23" t="n">
        <f aca="false">C603+IF(ISNUMBER(J603),J603,0)/100000+(10000-ROW())/1000000000</f>
        <v>39.000469397</v>
      </c>
      <c r="AJ603" s="18"/>
      <c r="AK603" s="18"/>
      <c r="AL603" s="18"/>
      <c r="AM603" s="18"/>
    </row>
    <row r="604" customFormat="false" ht="15" hidden="false" customHeight="false" outlineLevel="0" collapsed="false">
      <c r="A604" s="15" t="n">
        <f aca="false">RANK(AI604,$AI$2:$AI$755)</f>
        <v>603</v>
      </c>
      <c r="B604" s="16" t="str">
        <f aca="false">IF(T604="Y","Superseded",IF(C604&gt;=Scoring!$B$16,"Immediate",IF(C604&gt;=Scoring!$B$17,"This week",IF(C604&gt;=Scoring!$B$18,"Nurture","Low"))))</f>
        <v>Nurture</v>
      </c>
      <c r="C604" s="3" t="n">
        <f aca="false">SUM(AC604:AH604)</f>
        <v>39</v>
      </c>
      <c r="D604" s="15" t="str">
        <f aca="false">IF(T604="Y","Superseded record",IF(AND(U604&lt;&gt;"",AA604&lt;0),"Expired (verified)",IF(AND(U604&lt;&gt;"",AA604&lt;=Scoring!$B$5),"Expiring: notice window (verified)",IF(AND(U604&lt;&gt;"",AA604&lt;=Scoring!$B$6),"Expiring: 10-yr horizon (verified)",IF(M604="No Longer Monitored","Out of program",IF(N604="","Unknown vintage",IF(N604&lt;Scoring!$B$12,"Pre-1990, still listed",IF(AND(U604="",AA604&lt;0),"Past 30-yr mark (verify)",IF(AND(U604="",AA604&lt;=Scoring!$B$5),"30-yr mark: notice window (est.)",IF(AND(O604&gt;=Scoring!$B$7,O604&lt;=Scoring!$B$8),"Year-15 window",IF(O604&gt;=Scoring!$B$9,"Recap window",IF(O604&gt;=11,"Late compliance","Credit period"))))))))))))</f>
        <v>Recap window</v>
      </c>
      <c r="E604" s="15" t="s">
        <v>2124</v>
      </c>
      <c r="F604" s="15" t="s">
        <v>2125</v>
      </c>
      <c r="G604" s="15" t="s">
        <v>2126</v>
      </c>
      <c r="H604" s="15" t="s">
        <v>141</v>
      </c>
      <c r="I604" s="15" t="s">
        <v>142</v>
      </c>
      <c r="J604" s="15" t="n">
        <v>46</v>
      </c>
      <c r="K604" s="15" t="n">
        <v>46</v>
      </c>
      <c r="L604" s="15" t="n">
        <f aca="false">IF(OR(J604="",K604=""),"",MAX(J604-K604,0))</f>
        <v>0</v>
      </c>
      <c r="M604" s="15" t="s">
        <v>99</v>
      </c>
      <c r="N604" s="17" t="n">
        <v>2007</v>
      </c>
      <c r="O604" s="15" t="n">
        <f aca="false">IF(N604="","",Scoring!$B$4-N604)</f>
        <v>19</v>
      </c>
      <c r="P604" s="15" t="n">
        <f aca="false">IF(N604="","",N604+14)</f>
        <v>2021</v>
      </c>
      <c r="Q604" s="15" t="n">
        <f aca="false">IF(N604="","",IF(N604&lt;Scoring!$B$12,"n/a (pre-1990)",N604+Scoring!$B$13))</f>
        <v>2036</v>
      </c>
      <c r="R604" s="15" t="str">
        <f aca="false">IF(J604="","Unknown",IF(J604&gt;=5,"Yes","No (under 5 units)"))</f>
        <v>Yes</v>
      </c>
      <c r="S604" s="15"/>
      <c r="T604" s="18"/>
      <c r="U604" s="19"/>
      <c r="V604" s="18"/>
      <c r="W604" s="18"/>
      <c r="X604" s="20"/>
      <c r="Y604" s="18"/>
      <c r="Z604" s="18"/>
      <c r="AA604" s="21" t="n">
        <f aca="false">IF(U604&lt;&gt;"",(U604-Scoring!$B$3)/365.25,IF(N604="","",IF(N604&lt;Scoring!$B$12,"",(DATE(N604+Scoring!$B$13,12,31)-Scoring!$B$3)/365.25)))</f>
        <v>10.2477754962355</v>
      </c>
      <c r="AB604" s="22" t="n">
        <f aca="false">IF(T604="Y",0,IF(OR(D604="Expired (verified)",D604="Expiring: notice window (verified)",D604="Expiring: 10-yr horizon (verified)",D604="Past 30-yr mark (verify)",D604="30-yr mark: notice window (est.)",D604="Year-15 window"),1,0)+IF(ISNUMBER(O604),IF(O604&gt;=Scoring!$B$10,1,0),0)+IF(AND(ISNUMBER(L604),ISNUMBER(J604)),IF(J604&gt;0,IF(L604/J604&gt;=Scoring!$B$11,1,0),0),0)+IF(ISNUMBER(Z604),MIN(Z604,3),0))</f>
        <v>0</v>
      </c>
      <c r="AC604" s="22" t="n">
        <f aca="false">IF(AB604&gt;=3,Scoring!$C$24,IF(AB604=2,Scoring!$C$23,IF(AB604=1,Scoring!$C$22,0)))</f>
        <v>0</v>
      </c>
      <c r="AD604" s="22" t="n">
        <f aca="false">IF(T604="Y",0,IF(ISNUMBER(X604),IF(X604&gt;0.7,Scoring!$C$25,IF(X604&gt;=0.5,Scoring!$C$26,IF(X604&gt;=0.3,Scoring!$C$27,Scoring!$C$28))),Scoring!$C$29))</f>
        <v>10</v>
      </c>
      <c r="AE604" s="22" t="n">
        <f aca="false">IF(D604="Expiring: notice window (verified)",Scoring!$C$30,IF(OR(D604="Expired (verified)",D604="30-yr mark: notice window (est.)",D604="Year-15 window"),Scoring!$C$31,IF(D604="Expiring: 10-yr horizon (verified)",Scoring!$C$32,IF(D604="Past 30-yr mark (verify)",Scoring!$C$33,IF(OR(D604="Credit period",D604="Superseded record"),Scoring!$C$35,Scoring!$C$34)))))</f>
        <v>4</v>
      </c>
      <c r="AF604" s="22" t="n">
        <f aca="false">IF(T604="Y",0,IF(ISNUMBER(V604),IF(Scoring!$B$4-V604&gt;15,Scoring!$C$36,IF(Scoring!$B$4-V604&gt;=10,Scoring!$C$37,IF(Scoring!$B$4-V604&gt;=5,Scoring!$C$38,Scoring!$C$39))),IF(OR(N604="",D604="Out of program"),Scoring!$C$40,IF(O604&gt;15,Scoring!$C$36,IF(O604&gt;=10,Scoring!$C$37,IF(O604&gt;=5,Scoring!$C$38,Scoring!$C$39))))))</f>
        <v>15</v>
      </c>
      <c r="AG604" s="22" t="n">
        <f aca="false">IF(T604="Y",0,IF(Y604="Y",Scoring!$C$41,IF(ISNUMBER(O604),IF(O604&gt;=25,Scoring!$C$42,IF(O604&gt;=15,Scoring!$C$43,Scoring!$C$44)),Scoring!$C$44)))</f>
        <v>5</v>
      </c>
      <c r="AH604" s="22" t="n">
        <f aca="false">IF(T604="Y",0,IF(W604="",Scoring!$C$49,IFERROR(VLOOKUP(W604,Scoring!$B$45:$C$48,2,FALSE()),Scoring!$C$49)))</f>
        <v>5</v>
      </c>
      <c r="AI604" s="23" t="n">
        <f aca="false">C604+IF(ISNUMBER(J604),J604,0)/100000+(10000-ROW())/1000000000</f>
        <v>39.000469396</v>
      </c>
      <c r="AJ604" s="18"/>
      <c r="AK604" s="18"/>
      <c r="AL604" s="18"/>
      <c r="AM604" s="18"/>
    </row>
    <row r="605" customFormat="false" ht="15" hidden="false" customHeight="false" outlineLevel="0" collapsed="false">
      <c r="A605" s="15" t="n">
        <f aca="false">RANK(AI605,$AI$2:$AI$755)</f>
        <v>604</v>
      </c>
      <c r="B605" s="16" t="str">
        <f aca="false">IF(T605="Y","Superseded",IF(C605&gt;=Scoring!$B$16,"Immediate",IF(C605&gt;=Scoring!$B$17,"This week",IF(C605&gt;=Scoring!$B$18,"Nurture","Low"))))</f>
        <v>Nurture</v>
      </c>
      <c r="C605" s="3" t="n">
        <f aca="false">SUM(AC605:AH605)</f>
        <v>39</v>
      </c>
      <c r="D605" s="15" t="str">
        <f aca="false">IF(T605="Y","Superseded record",IF(AND(U605&lt;&gt;"",AA605&lt;0),"Expired (verified)",IF(AND(U605&lt;&gt;"",AA605&lt;=Scoring!$B$5),"Expiring: notice window (verified)",IF(AND(U605&lt;&gt;"",AA605&lt;=Scoring!$B$6),"Expiring: 10-yr horizon (verified)",IF(M605="No Longer Monitored","Out of program",IF(N605="","Unknown vintage",IF(N605&lt;Scoring!$B$12,"Pre-1990, still listed",IF(AND(U605="",AA605&lt;0),"Past 30-yr mark (verify)",IF(AND(U605="",AA605&lt;=Scoring!$B$5),"30-yr mark: notice window (est.)",IF(AND(O605&gt;=Scoring!$B$7,O605&lt;=Scoring!$B$8),"Year-15 window",IF(O605&gt;=Scoring!$B$9,"Recap window",IF(O605&gt;=11,"Late compliance","Credit period"))))))))))))</f>
        <v>Recap window</v>
      </c>
      <c r="E605" s="15" t="s">
        <v>2127</v>
      </c>
      <c r="F605" s="15" t="s">
        <v>2128</v>
      </c>
      <c r="G605" s="15" t="s">
        <v>2129</v>
      </c>
      <c r="H605" s="15" t="s">
        <v>1340</v>
      </c>
      <c r="I605" s="15" t="s">
        <v>1341</v>
      </c>
      <c r="J605" s="15" t="n">
        <v>46</v>
      </c>
      <c r="K605" s="15" t="n">
        <v>46</v>
      </c>
      <c r="L605" s="15" t="n">
        <f aca="false">IF(OR(J605="",K605=""),"",MAX(J605-K605,0))</f>
        <v>0</v>
      </c>
      <c r="M605" s="15" t="s">
        <v>99</v>
      </c>
      <c r="N605" s="17" t="n">
        <v>2007</v>
      </c>
      <c r="O605" s="15" t="n">
        <f aca="false">IF(N605="","",Scoring!$B$4-N605)</f>
        <v>19</v>
      </c>
      <c r="P605" s="15" t="n">
        <f aca="false">IF(N605="","",N605+14)</f>
        <v>2021</v>
      </c>
      <c r="Q605" s="15" t="n">
        <f aca="false">IF(N605="","",IF(N605&lt;Scoring!$B$12,"n/a (pre-1990)",N605+Scoring!$B$13))</f>
        <v>2036</v>
      </c>
      <c r="R605" s="15" t="str">
        <f aca="false">IF(J605="","Unknown",IF(J605&gt;=5,"Yes","No (under 5 units)"))</f>
        <v>Yes</v>
      </c>
      <c r="S605" s="15"/>
      <c r="T605" s="18"/>
      <c r="U605" s="19"/>
      <c r="V605" s="18"/>
      <c r="W605" s="18"/>
      <c r="X605" s="20"/>
      <c r="Y605" s="18"/>
      <c r="Z605" s="18"/>
      <c r="AA605" s="21" t="n">
        <f aca="false">IF(U605&lt;&gt;"",(U605-Scoring!$B$3)/365.25,IF(N605="","",IF(N605&lt;Scoring!$B$12,"",(DATE(N605+Scoring!$B$13,12,31)-Scoring!$B$3)/365.25)))</f>
        <v>10.2477754962355</v>
      </c>
      <c r="AB605" s="22" t="n">
        <f aca="false">IF(T605="Y",0,IF(OR(D605="Expired (verified)",D605="Expiring: notice window (verified)",D605="Expiring: 10-yr horizon (verified)",D605="Past 30-yr mark (verify)",D605="30-yr mark: notice window (est.)",D605="Year-15 window"),1,0)+IF(ISNUMBER(O605),IF(O605&gt;=Scoring!$B$10,1,0),0)+IF(AND(ISNUMBER(L605),ISNUMBER(J605)),IF(J605&gt;0,IF(L605/J605&gt;=Scoring!$B$11,1,0),0),0)+IF(ISNUMBER(Z605),MIN(Z605,3),0))</f>
        <v>0</v>
      </c>
      <c r="AC605" s="22" t="n">
        <f aca="false">IF(AB605&gt;=3,Scoring!$C$24,IF(AB605=2,Scoring!$C$23,IF(AB605=1,Scoring!$C$22,0)))</f>
        <v>0</v>
      </c>
      <c r="AD605" s="22" t="n">
        <f aca="false">IF(T605="Y",0,IF(ISNUMBER(X605),IF(X605&gt;0.7,Scoring!$C$25,IF(X605&gt;=0.5,Scoring!$C$26,IF(X605&gt;=0.3,Scoring!$C$27,Scoring!$C$28))),Scoring!$C$29))</f>
        <v>10</v>
      </c>
      <c r="AE605" s="22" t="n">
        <f aca="false">IF(D605="Expiring: notice window (verified)",Scoring!$C$30,IF(OR(D605="Expired (verified)",D605="30-yr mark: notice window (est.)",D605="Year-15 window"),Scoring!$C$31,IF(D605="Expiring: 10-yr horizon (verified)",Scoring!$C$32,IF(D605="Past 30-yr mark (verify)",Scoring!$C$33,IF(OR(D605="Credit period",D605="Superseded record"),Scoring!$C$35,Scoring!$C$34)))))</f>
        <v>4</v>
      </c>
      <c r="AF605" s="22" t="n">
        <f aca="false">IF(T605="Y",0,IF(ISNUMBER(V605),IF(Scoring!$B$4-V605&gt;15,Scoring!$C$36,IF(Scoring!$B$4-V605&gt;=10,Scoring!$C$37,IF(Scoring!$B$4-V605&gt;=5,Scoring!$C$38,Scoring!$C$39))),IF(OR(N605="",D605="Out of program"),Scoring!$C$40,IF(O605&gt;15,Scoring!$C$36,IF(O605&gt;=10,Scoring!$C$37,IF(O605&gt;=5,Scoring!$C$38,Scoring!$C$39))))))</f>
        <v>15</v>
      </c>
      <c r="AG605" s="22" t="n">
        <f aca="false">IF(T605="Y",0,IF(Y605="Y",Scoring!$C$41,IF(ISNUMBER(O605),IF(O605&gt;=25,Scoring!$C$42,IF(O605&gt;=15,Scoring!$C$43,Scoring!$C$44)),Scoring!$C$44)))</f>
        <v>5</v>
      </c>
      <c r="AH605" s="22" t="n">
        <f aca="false">IF(T605="Y",0,IF(W605="",Scoring!$C$49,IFERROR(VLOOKUP(W605,Scoring!$B$45:$C$48,2,FALSE()),Scoring!$C$49)))</f>
        <v>5</v>
      </c>
      <c r="AI605" s="23" t="n">
        <f aca="false">C605+IF(ISNUMBER(J605),J605,0)/100000+(10000-ROW())/1000000000</f>
        <v>39.000469395</v>
      </c>
      <c r="AJ605" s="18"/>
      <c r="AK605" s="18"/>
      <c r="AL605" s="18"/>
      <c r="AM605" s="18"/>
    </row>
    <row r="606" customFormat="false" ht="15" hidden="false" customHeight="false" outlineLevel="0" collapsed="false">
      <c r="A606" s="15" t="n">
        <f aca="false">RANK(AI606,$AI$2:$AI$755)</f>
        <v>605</v>
      </c>
      <c r="B606" s="16" t="str">
        <f aca="false">IF(T606="Y","Superseded",IF(C606&gt;=Scoring!$B$16,"Immediate",IF(C606&gt;=Scoring!$B$17,"This week",IF(C606&gt;=Scoring!$B$18,"Nurture","Low"))))</f>
        <v>Nurture</v>
      </c>
      <c r="C606" s="3" t="n">
        <f aca="false">SUM(AC606:AH606)</f>
        <v>39</v>
      </c>
      <c r="D606" s="15" t="str">
        <f aca="false">IF(T606="Y","Superseded record",IF(AND(U606&lt;&gt;"",AA606&lt;0),"Expired (verified)",IF(AND(U606&lt;&gt;"",AA606&lt;=Scoring!$B$5),"Expiring: notice window (verified)",IF(AND(U606&lt;&gt;"",AA606&lt;=Scoring!$B$6),"Expiring: 10-yr horizon (verified)",IF(M606="No Longer Monitored","Out of program",IF(N606="","Unknown vintage",IF(N606&lt;Scoring!$B$12,"Pre-1990, still listed",IF(AND(U606="",AA606&lt;0),"Past 30-yr mark (verify)",IF(AND(U606="",AA606&lt;=Scoring!$B$5),"30-yr mark: notice window (est.)",IF(AND(O606&gt;=Scoring!$B$7,O606&lt;=Scoring!$B$8),"Year-15 window",IF(O606&gt;=Scoring!$B$9,"Recap window",IF(O606&gt;=11,"Late compliance","Credit period"))))))))))))</f>
        <v>Recap window</v>
      </c>
      <c r="E606" s="15" t="s">
        <v>2130</v>
      </c>
      <c r="F606" s="15" t="s">
        <v>2131</v>
      </c>
      <c r="G606" s="15" t="s">
        <v>2132</v>
      </c>
      <c r="H606" s="15" t="s">
        <v>1321</v>
      </c>
      <c r="I606" s="15" t="s">
        <v>1322</v>
      </c>
      <c r="J606" s="15" t="n">
        <v>46</v>
      </c>
      <c r="K606" s="15" t="n">
        <v>46</v>
      </c>
      <c r="L606" s="15" t="n">
        <f aca="false">IF(OR(J606="",K606=""),"",MAX(J606-K606,0))</f>
        <v>0</v>
      </c>
      <c r="M606" s="15" t="s">
        <v>99</v>
      </c>
      <c r="N606" s="17" t="n">
        <v>2008</v>
      </c>
      <c r="O606" s="15" t="n">
        <f aca="false">IF(N606="","",Scoring!$B$4-N606)</f>
        <v>18</v>
      </c>
      <c r="P606" s="15" t="n">
        <f aca="false">IF(N606="","",N606+14)</f>
        <v>2022</v>
      </c>
      <c r="Q606" s="15" t="n">
        <f aca="false">IF(N606="","",IF(N606&lt;Scoring!$B$12,"n/a (pre-1990)",N606+Scoring!$B$13))</f>
        <v>2037</v>
      </c>
      <c r="R606" s="15" t="str">
        <f aca="false">IF(J606="","Unknown",IF(J606&gt;=5,"Yes","No (under 5 units)"))</f>
        <v>Yes</v>
      </c>
      <c r="S606" s="15"/>
      <c r="T606" s="18"/>
      <c r="U606" s="19"/>
      <c r="V606" s="18"/>
      <c r="W606" s="18"/>
      <c r="X606" s="20"/>
      <c r="Y606" s="18"/>
      <c r="Z606" s="18"/>
      <c r="AA606" s="21" t="n">
        <f aca="false">IF(U606&lt;&gt;"",(U606-Scoring!$B$3)/365.25,IF(N606="","",IF(N606&lt;Scoring!$B$12,"",(DATE(N606+Scoring!$B$13,12,31)-Scoring!$B$3)/365.25)))</f>
        <v>11.2470910335387</v>
      </c>
      <c r="AB606" s="22" t="n">
        <f aca="false">IF(T606="Y",0,IF(OR(D606="Expired (verified)",D606="Expiring: notice window (verified)",D606="Expiring: 10-yr horizon (verified)",D606="Past 30-yr mark (verify)",D606="30-yr mark: notice window (est.)",D606="Year-15 window"),1,0)+IF(ISNUMBER(O606),IF(O606&gt;=Scoring!$B$10,1,0),0)+IF(AND(ISNUMBER(L606),ISNUMBER(J606)),IF(J606&gt;0,IF(L606/J606&gt;=Scoring!$B$11,1,0),0),0)+IF(ISNUMBER(Z606),MIN(Z606,3),0))</f>
        <v>0</v>
      </c>
      <c r="AC606" s="22" t="n">
        <f aca="false">IF(AB606&gt;=3,Scoring!$C$24,IF(AB606=2,Scoring!$C$23,IF(AB606=1,Scoring!$C$22,0)))</f>
        <v>0</v>
      </c>
      <c r="AD606" s="22" t="n">
        <f aca="false">IF(T606="Y",0,IF(ISNUMBER(X606),IF(X606&gt;0.7,Scoring!$C$25,IF(X606&gt;=0.5,Scoring!$C$26,IF(X606&gt;=0.3,Scoring!$C$27,Scoring!$C$28))),Scoring!$C$29))</f>
        <v>10</v>
      </c>
      <c r="AE606" s="22" t="n">
        <f aca="false">IF(D606="Expiring: notice window (verified)",Scoring!$C$30,IF(OR(D606="Expired (verified)",D606="30-yr mark: notice window (est.)",D606="Year-15 window"),Scoring!$C$31,IF(D606="Expiring: 10-yr horizon (verified)",Scoring!$C$32,IF(D606="Past 30-yr mark (verify)",Scoring!$C$33,IF(OR(D606="Credit period",D606="Superseded record"),Scoring!$C$35,Scoring!$C$34)))))</f>
        <v>4</v>
      </c>
      <c r="AF606" s="22" t="n">
        <f aca="false">IF(T606="Y",0,IF(ISNUMBER(V606),IF(Scoring!$B$4-V606&gt;15,Scoring!$C$36,IF(Scoring!$B$4-V606&gt;=10,Scoring!$C$37,IF(Scoring!$B$4-V606&gt;=5,Scoring!$C$38,Scoring!$C$39))),IF(OR(N606="",D606="Out of program"),Scoring!$C$40,IF(O606&gt;15,Scoring!$C$36,IF(O606&gt;=10,Scoring!$C$37,IF(O606&gt;=5,Scoring!$C$38,Scoring!$C$39))))))</f>
        <v>15</v>
      </c>
      <c r="AG606" s="22" t="n">
        <f aca="false">IF(T606="Y",0,IF(Y606="Y",Scoring!$C$41,IF(ISNUMBER(O606),IF(O606&gt;=25,Scoring!$C$42,IF(O606&gt;=15,Scoring!$C$43,Scoring!$C$44)),Scoring!$C$44)))</f>
        <v>5</v>
      </c>
      <c r="AH606" s="22" t="n">
        <f aca="false">IF(T606="Y",0,IF(W606="",Scoring!$C$49,IFERROR(VLOOKUP(W606,Scoring!$B$45:$C$48,2,FALSE()),Scoring!$C$49)))</f>
        <v>5</v>
      </c>
      <c r="AI606" s="23" t="n">
        <f aca="false">C606+IF(ISNUMBER(J606),J606,0)/100000+(10000-ROW())/1000000000</f>
        <v>39.000469394</v>
      </c>
      <c r="AJ606" s="18"/>
      <c r="AK606" s="18"/>
      <c r="AL606" s="18"/>
      <c r="AM606" s="18"/>
    </row>
    <row r="607" customFormat="false" ht="15" hidden="false" customHeight="false" outlineLevel="0" collapsed="false">
      <c r="A607" s="15" t="n">
        <f aca="false">RANK(AI607,$AI$2:$AI$755)</f>
        <v>606</v>
      </c>
      <c r="B607" s="16" t="str">
        <f aca="false">IF(T607="Y","Superseded",IF(C607&gt;=Scoring!$B$16,"Immediate",IF(C607&gt;=Scoring!$B$17,"This week",IF(C607&gt;=Scoring!$B$18,"Nurture","Low"))))</f>
        <v>Nurture</v>
      </c>
      <c r="C607" s="3" t="n">
        <f aca="false">SUM(AC607:AH607)</f>
        <v>39</v>
      </c>
      <c r="D607" s="15" t="str">
        <f aca="false">IF(T607="Y","Superseded record",IF(AND(U607&lt;&gt;"",AA607&lt;0),"Expired (verified)",IF(AND(U607&lt;&gt;"",AA607&lt;=Scoring!$B$5),"Expiring: notice window (verified)",IF(AND(U607&lt;&gt;"",AA607&lt;=Scoring!$B$6),"Expiring: 10-yr horizon (verified)",IF(M607="No Longer Monitored","Out of program",IF(N607="","Unknown vintage",IF(N607&lt;Scoring!$B$12,"Pre-1990, still listed",IF(AND(U607="",AA607&lt;0),"Past 30-yr mark (verify)",IF(AND(U607="",AA607&lt;=Scoring!$B$5),"30-yr mark: notice window (est.)",IF(AND(O607&gt;=Scoring!$B$7,O607&lt;=Scoring!$B$8),"Year-15 window",IF(O607&gt;=Scoring!$B$9,"Recap window",IF(O607&gt;=11,"Late compliance","Credit period"))))))))))))</f>
        <v>Recap window</v>
      </c>
      <c r="E607" s="15" t="s">
        <v>2133</v>
      </c>
      <c r="F607" s="15" t="s">
        <v>2134</v>
      </c>
      <c r="G607" s="15" t="s">
        <v>2135</v>
      </c>
      <c r="H607" s="15" t="s">
        <v>541</v>
      </c>
      <c r="I607" s="15" t="s">
        <v>542</v>
      </c>
      <c r="J607" s="15" t="n">
        <v>41</v>
      </c>
      <c r="K607" s="15" t="n">
        <v>41</v>
      </c>
      <c r="L607" s="15" t="n">
        <f aca="false">IF(OR(J607="",K607=""),"",MAX(J607-K607,0))</f>
        <v>0</v>
      </c>
      <c r="M607" s="15" t="s">
        <v>99</v>
      </c>
      <c r="N607" s="17" t="n">
        <v>2008</v>
      </c>
      <c r="O607" s="15" t="n">
        <f aca="false">IF(N607="","",Scoring!$B$4-N607)</f>
        <v>18</v>
      </c>
      <c r="P607" s="15" t="n">
        <f aca="false">IF(N607="","",N607+14)</f>
        <v>2022</v>
      </c>
      <c r="Q607" s="15" t="n">
        <f aca="false">IF(N607="","",IF(N607&lt;Scoring!$B$12,"n/a (pre-1990)",N607+Scoring!$B$13))</f>
        <v>2037</v>
      </c>
      <c r="R607" s="15" t="str">
        <f aca="false">IF(J607="","Unknown",IF(J607&gt;=5,"Yes","No (under 5 units)"))</f>
        <v>Yes</v>
      </c>
      <c r="S607" s="15"/>
      <c r="T607" s="18"/>
      <c r="U607" s="19"/>
      <c r="V607" s="18"/>
      <c r="W607" s="18"/>
      <c r="X607" s="20"/>
      <c r="Y607" s="18"/>
      <c r="Z607" s="18"/>
      <c r="AA607" s="21" t="n">
        <f aca="false">IF(U607&lt;&gt;"",(U607-Scoring!$B$3)/365.25,IF(N607="","",IF(N607&lt;Scoring!$B$12,"",(DATE(N607+Scoring!$B$13,12,31)-Scoring!$B$3)/365.25)))</f>
        <v>11.2470910335387</v>
      </c>
      <c r="AB607" s="22" t="n">
        <f aca="false">IF(T607="Y",0,IF(OR(D607="Expired (verified)",D607="Expiring: notice window (verified)",D607="Expiring: 10-yr horizon (verified)",D607="Past 30-yr mark (verify)",D607="30-yr mark: notice window (est.)",D607="Year-15 window"),1,0)+IF(ISNUMBER(O607),IF(O607&gt;=Scoring!$B$10,1,0),0)+IF(AND(ISNUMBER(L607),ISNUMBER(J607)),IF(J607&gt;0,IF(L607/J607&gt;=Scoring!$B$11,1,0),0),0)+IF(ISNUMBER(Z607),MIN(Z607,3),0))</f>
        <v>0</v>
      </c>
      <c r="AC607" s="22" t="n">
        <f aca="false">IF(AB607&gt;=3,Scoring!$C$24,IF(AB607=2,Scoring!$C$23,IF(AB607=1,Scoring!$C$22,0)))</f>
        <v>0</v>
      </c>
      <c r="AD607" s="22" t="n">
        <f aca="false">IF(T607="Y",0,IF(ISNUMBER(X607),IF(X607&gt;0.7,Scoring!$C$25,IF(X607&gt;=0.5,Scoring!$C$26,IF(X607&gt;=0.3,Scoring!$C$27,Scoring!$C$28))),Scoring!$C$29))</f>
        <v>10</v>
      </c>
      <c r="AE607" s="22" t="n">
        <f aca="false">IF(D607="Expiring: notice window (verified)",Scoring!$C$30,IF(OR(D607="Expired (verified)",D607="30-yr mark: notice window (est.)",D607="Year-15 window"),Scoring!$C$31,IF(D607="Expiring: 10-yr horizon (verified)",Scoring!$C$32,IF(D607="Past 30-yr mark (verify)",Scoring!$C$33,IF(OR(D607="Credit period",D607="Superseded record"),Scoring!$C$35,Scoring!$C$34)))))</f>
        <v>4</v>
      </c>
      <c r="AF607" s="22" t="n">
        <f aca="false">IF(T607="Y",0,IF(ISNUMBER(V607),IF(Scoring!$B$4-V607&gt;15,Scoring!$C$36,IF(Scoring!$B$4-V607&gt;=10,Scoring!$C$37,IF(Scoring!$B$4-V607&gt;=5,Scoring!$C$38,Scoring!$C$39))),IF(OR(N607="",D607="Out of program"),Scoring!$C$40,IF(O607&gt;15,Scoring!$C$36,IF(O607&gt;=10,Scoring!$C$37,IF(O607&gt;=5,Scoring!$C$38,Scoring!$C$39))))))</f>
        <v>15</v>
      </c>
      <c r="AG607" s="22" t="n">
        <f aca="false">IF(T607="Y",0,IF(Y607="Y",Scoring!$C$41,IF(ISNUMBER(O607),IF(O607&gt;=25,Scoring!$C$42,IF(O607&gt;=15,Scoring!$C$43,Scoring!$C$44)),Scoring!$C$44)))</f>
        <v>5</v>
      </c>
      <c r="AH607" s="22" t="n">
        <f aca="false">IF(T607="Y",0,IF(W607="",Scoring!$C$49,IFERROR(VLOOKUP(W607,Scoring!$B$45:$C$48,2,FALSE()),Scoring!$C$49)))</f>
        <v>5</v>
      </c>
      <c r="AI607" s="23" t="n">
        <f aca="false">C607+IF(ISNUMBER(J607),J607,0)/100000+(10000-ROW())/1000000000</f>
        <v>39.000419393</v>
      </c>
      <c r="AJ607" s="18"/>
      <c r="AK607" s="18"/>
      <c r="AL607" s="18"/>
      <c r="AM607" s="18"/>
    </row>
    <row r="608" customFormat="false" ht="15" hidden="false" customHeight="false" outlineLevel="0" collapsed="false">
      <c r="A608" s="15" t="n">
        <f aca="false">RANK(AI608,$AI$2:$AI$755)</f>
        <v>607</v>
      </c>
      <c r="B608" s="16" t="str">
        <f aca="false">IF(T608="Y","Superseded",IF(C608&gt;=Scoring!$B$16,"Immediate",IF(C608&gt;=Scoring!$B$17,"This week",IF(C608&gt;=Scoring!$B$18,"Nurture","Low"))))</f>
        <v>Nurture</v>
      </c>
      <c r="C608" s="3" t="n">
        <f aca="false">SUM(AC608:AH608)</f>
        <v>39</v>
      </c>
      <c r="D608" s="15" t="str">
        <f aca="false">IF(T608="Y","Superseded record",IF(AND(U608&lt;&gt;"",AA608&lt;0),"Expired (verified)",IF(AND(U608&lt;&gt;"",AA608&lt;=Scoring!$B$5),"Expiring: notice window (verified)",IF(AND(U608&lt;&gt;"",AA608&lt;=Scoring!$B$6),"Expiring: 10-yr horizon (verified)",IF(M608="No Longer Monitored","Out of program",IF(N608="","Unknown vintage",IF(N608&lt;Scoring!$B$12,"Pre-1990, still listed",IF(AND(U608="",AA608&lt;0),"Past 30-yr mark (verify)",IF(AND(U608="",AA608&lt;=Scoring!$B$5),"30-yr mark: notice window (est.)",IF(AND(O608&gt;=Scoring!$B$7,O608&lt;=Scoring!$B$8),"Year-15 window",IF(O608&gt;=Scoring!$B$9,"Recap window",IF(O608&gt;=11,"Late compliance","Credit period"))))))))))))</f>
        <v>Recap window</v>
      </c>
      <c r="E608" s="15" t="s">
        <v>2136</v>
      </c>
      <c r="F608" s="15" t="s">
        <v>2137</v>
      </c>
      <c r="G608" s="15" t="s">
        <v>2138</v>
      </c>
      <c r="H608" s="15" t="s">
        <v>255</v>
      </c>
      <c r="I608" s="15" t="s">
        <v>256</v>
      </c>
      <c r="J608" s="15" t="n">
        <v>40</v>
      </c>
      <c r="K608" s="15" t="n">
        <v>40</v>
      </c>
      <c r="L608" s="15" t="n">
        <f aca="false">IF(OR(J608="",K608=""),"",MAX(J608-K608,0))</f>
        <v>0</v>
      </c>
      <c r="M608" s="15" t="s">
        <v>99</v>
      </c>
      <c r="N608" s="17" t="n">
        <v>2008</v>
      </c>
      <c r="O608" s="15" t="n">
        <f aca="false">IF(N608="","",Scoring!$B$4-N608)</f>
        <v>18</v>
      </c>
      <c r="P608" s="15" t="n">
        <f aca="false">IF(N608="","",N608+14)</f>
        <v>2022</v>
      </c>
      <c r="Q608" s="15" t="n">
        <f aca="false">IF(N608="","",IF(N608&lt;Scoring!$B$12,"n/a (pre-1990)",N608+Scoring!$B$13))</f>
        <v>2037</v>
      </c>
      <c r="R608" s="15" t="str">
        <f aca="false">IF(J608="","Unknown",IF(J608&gt;=5,"Yes","No (under 5 units)"))</f>
        <v>Yes</v>
      </c>
      <c r="S608" s="15"/>
      <c r="T608" s="18"/>
      <c r="U608" s="19"/>
      <c r="V608" s="18"/>
      <c r="W608" s="18"/>
      <c r="X608" s="20"/>
      <c r="Y608" s="18"/>
      <c r="Z608" s="18"/>
      <c r="AA608" s="21" t="n">
        <f aca="false">IF(U608&lt;&gt;"",(U608-Scoring!$B$3)/365.25,IF(N608="","",IF(N608&lt;Scoring!$B$12,"",(DATE(N608+Scoring!$B$13,12,31)-Scoring!$B$3)/365.25)))</f>
        <v>11.2470910335387</v>
      </c>
      <c r="AB608" s="22" t="n">
        <f aca="false">IF(T608="Y",0,IF(OR(D608="Expired (verified)",D608="Expiring: notice window (verified)",D608="Expiring: 10-yr horizon (verified)",D608="Past 30-yr mark (verify)",D608="30-yr mark: notice window (est.)",D608="Year-15 window"),1,0)+IF(ISNUMBER(O608),IF(O608&gt;=Scoring!$B$10,1,0),0)+IF(AND(ISNUMBER(L608),ISNUMBER(J608)),IF(J608&gt;0,IF(L608/J608&gt;=Scoring!$B$11,1,0),0),0)+IF(ISNUMBER(Z608),MIN(Z608,3),0))</f>
        <v>0</v>
      </c>
      <c r="AC608" s="22" t="n">
        <f aca="false">IF(AB608&gt;=3,Scoring!$C$24,IF(AB608=2,Scoring!$C$23,IF(AB608=1,Scoring!$C$22,0)))</f>
        <v>0</v>
      </c>
      <c r="AD608" s="22" t="n">
        <f aca="false">IF(T608="Y",0,IF(ISNUMBER(X608),IF(X608&gt;0.7,Scoring!$C$25,IF(X608&gt;=0.5,Scoring!$C$26,IF(X608&gt;=0.3,Scoring!$C$27,Scoring!$C$28))),Scoring!$C$29))</f>
        <v>10</v>
      </c>
      <c r="AE608" s="22" t="n">
        <f aca="false">IF(D608="Expiring: notice window (verified)",Scoring!$C$30,IF(OR(D608="Expired (verified)",D608="30-yr mark: notice window (est.)",D608="Year-15 window"),Scoring!$C$31,IF(D608="Expiring: 10-yr horizon (verified)",Scoring!$C$32,IF(D608="Past 30-yr mark (verify)",Scoring!$C$33,IF(OR(D608="Credit period",D608="Superseded record"),Scoring!$C$35,Scoring!$C$34)))))</f>
        <v>4</v>
      </c>
      <c r="AF608" s="22" t="n">
        <f aca="false">IF(T608="Y",0,IF(ISNUMBER(V608),IF(Scoring!$B$4-V608&gt;15,Scoring!$C$36,IF(Scoring!$B$4-V608&gt;=10,Scoring!$C$37,IF(Scoring!$B$4-V608&gt;=5,Scoring!$C$38,Scoring!$C$39))),IF(OR(N608="",D608="Out of program"),Scoring!$C$40,IF(O608&gt;15,Scoring!$C$36,IF(O608&gt;=10,Scoring!$C$37,IF(O608&gt;=5,Scoring!$C$38,Scoring!$C$39))))))</f>
        <v>15</v>
      </c>
      <c r="AG608" s="22" t="n">
        <f aca="false">IF(T608="Y",0,IF(Y608="Y",Scoring!$C$41,IF(ISNUMBER(O608),IF(O608&gt;=25,Scoring!$C$42,IF(O608&gt;=15,Scoring!$C$43,Scoring!$C$44)),Scoring!$C$44)))</f>
        <v>5</v>
      </c>
      <c r="AH608" s="22" t="n">
        <f aca="false">IF(T608="Y",0,IF(W608="",Scoring!$C$49,IFERROR(VLOOKUP(W608,Scoring!$B$45:$C$48,2,FALSE()),Scoring!$C$49)))</f>
        <v>5</v>
      </c>
      <c r="AI608" s="23" t="n">
        <f aca="false">C608+IF(ISNUMBER(J608),J608,0)/100000+(10000-ROW())/1000000000</f>
        <v>39.000409392</v>
      </c>
      <c r="AJ608" s="18"/>
      <c r="AK608" s="18"/>
      <c r="AL608" s="18"/>
      <c r="AM608" s="18"/>
    </row>
    <row r="609" customFormat="false" ht="15" hidden="false" customHeight="false" outlineLevel="0" collapsed="false">
      <c r="A609" s="15" t="n">
        <f aca="false">RANK(AI609,$AI$2:$AI$755)</f>
        <v>608</v>
      </c>
      <c r="B609" s="16" t="str">
        <f aca="false">IF(T609="Y","Superseded",IF(C609&gt;=Scoring!$B$16,"Immediate",IF(C609&gt;=Scoring!$B$17,"This week",IF(C609&gt;=Scoring!$B$18,"Nurture","Low"))))</f>
        <v>Nurture</v>
      </c>
      <c r="C609" s="3" t="n">
        <f aca="false">SUM(AC609:AH609)</f>
        <v>39</v>
      </c>
      <c r="D609" s="15" t="str">
        <f aca="false">IF(T609="Y","Superseded record",IF(AND(U609&lt;&gt;"",AA609&lt;0),"Expired (verified)",IF(AND(U609&lt;&gt;"",AA609&lt;=Scoring!$B$5),"Expiring: notice window (verified)",IF(AND(U609&lt;&gt;"",AA609&lt;=Scoring!$B$6),"Expiring: 10-yr horizon (verified)",IF(M609="No Longer Monitored","Out of program",IF(N609="","Unknown vintage",IF(N609&lt;Scoring!$B$12,"Pre-1990, still listed",IF(AND(U609="",AA609&lt;0),"Past 30-yr mark (verify)",IF(AND(U609="",AA609&lt;=Scoring!$B$5),"30-yr mark: notice window (est.)",IF(AND(O609&gt;=Scoring!$B$7,O609&lt;=Scoring!$B$8),"Year-15 window",IF(O609&gt;=Scoring!$B$9,"Recap window",IF(O609&gt;=11,"Late compliance","Credit period"))))))))))))</f>
        <v>Recap window</v>
      </c>
      <c r="E609" s="15" t="s">
        <v>2139</v>
      </c>
      <c r="F609" s="15" t="s">
        <v>2140</v>
      </c>
      <c r="G609" s="15" t="s">
        <v>2141</v>
      </c>
      <c r="H609" s="15" t="s">
        <v>2142</v>
      </c>
      <c r="I609" s="15" t="s">
        <v>2143</v>
      </c>
      <c r="J609" s="15" t="n">
        <v>38</v>
      </c>
      <c r="K609" s="15" t="n">
        <v>37</v>
      </c>
      <c r="L609" s="15" t="n">
        <f aca="false">IF(OR(J609="",K609=""),"",MAX(J609-K609,0))</f>
        <v>1</v>
      </c>
      <c r="M609" s="15" t="s">
        <v>99</v>
      </c>
      <c r="N609" s="17" t="n">
        <v>2007</v>
      </c>
      <c r="O609" s="15" t="n">
        <f aca="false">IF(N609="","",Scoring!$B$4-N609)</f>
        <v>19</v>
      </c>
      <c r="P609" s="15" t="n">
        <f aca="false">IF(N609="","",N609+14)</f>
        <v>2021</v>
      </c>
      <c r="Q609" s="15" t="n">
        <f aca="false">IF(N609="","",IF(N609&lt;Scoring!$B$12,"n/a (pre-1990)",N609+Scoring!$B$13))</f>
        <v>2036</v>
      </c>
      <c r="R609" s="15" t="str">
        <f aca="false">IF(J609="","Unknown",IF(J609&gt;=5,"Yes","No (under 5 units)"))</f>
        <v>Yes</v>
      </c>
      <c r="S609" s="15"/>
      <c r="T609" s="18"/>
      <c r="U609" s="19"/>
      <c r="V609" s="18"/>
      <c r="W609" s="18"/>
      <c r="X609" s="20"/>
      <c r="Y609" s="18"/>
      <c r="Z609" s="18"/>
      <c r="AA609" s="21" t="n">
        <f aca="false">IF(U609&lt;&gt;"",(U609-Scoring!$B$3)/365.25,IF(N609="","",IF(N609&lt;Scoring!$B$12,"",(DATE(N609+Scoring!$B$13,12,31)-Scoring!$B$3)/365.25)))</f>
        <v>10.2477754962355</v>
      </c>
      <c r="AB609" s="22" t="n">
        <f aca="false">IF(T609="Y",0,IF(OR(D609="Expired (verified)",D609="Expiring: notice window (verified)",D609="Expiring: 10-yr horizon (verified)",D609="Past 30-yr mark (verify)",D609="30-yr mark: notice window (est.)",D609="Year-15 window"),1,0)+IF(ISNUMBER(O609),IF(O609&gt;=Scoring!$B$10,1,0),0)+IF(AND(ISNUMBER(L609),ISNUMBER(J609)),IF(J609&gt;0,IF(L609/J609&gt;=Scoring!$B$11,1,0),0),0)+IF(ISNUMBER(Z609),MIN(Z609,3),0))</f>
        <v>0</v>
      </c>
      <c r="AC609" s="22" t="n">
        <f aca="false">IF(AB609&gt;=3,Scoring!$C$24,IF(AB609=2,Scoring!$C$23,IF(AB609=1,Scoring!$C$22,0)))</f>
        <v>0</v>
      </c>
      <c r="AD609" s="22" t="n">
        <f aca="false">IF(T609="Y",0,IF(ISNUMBER(X609),IF(X609&gt;0.7,Scoring!$C$25,IF(X609&gt;=0.5,Scoring!$C$26,IF(X609&gt;=0.3,Scoring!$C$27,Scoring!$C$28))),Scoring!$C$29))</f>
        <v>10</v>
      </c>
      <c r="AE609" s="22" t="n">
        <f aca="false">IF(D609="Expiring: notice window (verified)",Scoring!$C$30,IF(OR(D609="Expired (verified)",D609="30-yr mark: notice window (est.)",D609="Year-15 window"),Scoring!$C$31,IF(D609="Expiring: 10-yr horizon (verified)",Scoring!$C$32,IF(D609="Past 30-yr mark (verify)",Scoring!$C$33,IF(OR(D609="Credit period",D609="Superseded record"),Scoring!$C$35,Scoring!$C$34)))))</f>
        <v>4</v>
      </c>
      <c r="AF609" s="22" t="n">
        <f aca="false">IF(T609="Y",0,IF(ISNUMBER(V609),IF(Scoring!$B$4-V609&gt;15,Scoring!$C$36,IF(Scoring!$B$4-V609&gt;=10,Scoring!$C$37,IF(Scoring!$B$4-V609&gt;=5,Scoring!$C$38,Scoring!$C$39))),IF(OR(N609="",D609="Out of program"),Scoring!$C$40,IF(O609&gt;15,Scoring!$C$36,IF(O609&gt;=10,Scoring!$C$37,IF(O609&gt;=5,Scoring!$C$38,Scoring!$C$39))))))</f>
        <v>15</v>
      </c>
      <c r="AG609" s="22" t="n">
        <f aca="false">IF(T609="Y",0,IF(Y609="Y",Scoring!$C$41,IF(ISNUMBER(O609),IF(O609&gt;=25,Scoring!$C$42,IF(O609&gt;=15,Scoring!$C$43,Scoring!$C$44)),Scoring!$C$44)))</f>
        <v>5</v>
      </c>
      <c r="AH609" s="22" t="n">
        <f aca="false">IF(T609="Y",0,IF(W609="",Scoring!$C$49,IFERROR(VLOOKUP(W609,Scoring!$B$45:$C$48,2,FALSE()),Scoring!$C$49)))</f>
        <v>5</v>
      </c>
      <c r="AI609" s="23" t="n">
        <f aca="false">C609+IF(ISNUMBER(J609),J609,0)/100000+(10000-ROW())/1000000000</f>
        <v>39.000389391</v>
      </c>
      <c r="AJ609" s="18"/>
      <c r="AK609" s="18"/>
      <c r="AL609" s="18"/>
      <c r="AM609" s="18"/>
    </row>
    <row r="610" customFormat="false" ht="15" hidden="false" customHeight="false" outlineLevel="0" collapsed="false">
      <c r="A610" s="15" t="n">
        <f aca="false">RANK(AI610,$AI$2:$AI$755)</f>
        <v>609</v>
      </c>
      <c r="B610" s="16" t="str">
        <f aca="false">IF(T610="Y","Superseded",IF(C610&gt;=Scoring!$B$16,"Immediate",IF(C610&gt;=Scoring!$B$17,"This week",IF(C610&gt;=Scoring!$B$18,"Nurture","Low"))))</f>
        <v>Nurture</v>
      </c>
      <c r="C610" s="3" t="n">
        <f aca="false">SUM(AC610:AH610)</f>
        <v>39</v>
      </c>
      <c r="D610" s="15" t="str">
        <f aca="false">IF(T610="Y","Superseded record",IF(AND(U610&lt;&gt;"",AA610&lt;0),"Expired (verified)",IF(AND(U610&lt;&gt;"",AA610&lt;=Scoring!$B$5),"Expiring: notice window (verified)",IF(AND(U610&lt;&gt;"",AA610&lt;=Scoring!$B$6),"Expiring: 10-yr horizon (verified)",IF(M610="No Longer Monitored","Out of program",IF(N610="","Unknown vintage",IF(N610&lt;Scoring!$B$12,"Pre-1990, still listed",IF(AND(U610="",AA610&lt;0),"Past 30-yr mark (verify)",IF(AND(U610="",AA610&lt;=Scoring!$B$5),"30-yr mark: notice window (est.)",IF(AND(O610&gt;=Scoring!$B$7,O610&lt;=Scoring!$B$8),"Year-15 window",IF(O610&gt;=Scoring!$B$9,"Recap window",IF(O610&gt;=11,"Late compliance","Credit period"))))))))))))</f>
        <v>Recap window</v>
      </c>
      <c r="E610" s="15" t="s">
        <v>2144</v>
      </c>
      <c r="F610" s="15" t="s">
        <v>2145</v>
      </c>
      <c r="G610" s="15" t="s">
        <v>2146</v>
      </c>
      <c r="H610" s="15" t="s">
        <v>97</v>
      </c>
      <c r="I610" s="15" t="s">
        <v>330</v>
      </c>
      <c r="J610" s="15" t="n">
        <v>37</v>
      </c>
      <c r="K610" s="15" t="n">
        <v>37</v>
      </c>
      <c r="L610" s="15" t="n">
        <f aca="false">IF(OR(J610="",K610=""),"",MAX(J610-K610,0))</f>
        <v>0</v>
      </c>
      <c r="M610" s="15" t="s">
        <v>99</v>
      </c>
      <c r="N610" s="17" t="n">
        <v>2007</v>
      </c>
      <c r="O610" s="15" t="n">
        <f aca="false">IF(N610="","",Scoring!$B$4-N610)</f>
        <v>19</v>
      </c>
      <c r="P610" s="15" t="n">
        <f aca="false">IF(N610="","",N610+14)</f>
        <v>2021</v>
      </c>
      <c r="Q610" s="15" t="n">
        <f aca="false">IF(N610="","",IF(N610&lt;Scoring!$B$12,"n/a (pre-1990)",N610+Scoring!$B$13))</f>
        <v>2036</v>
      </c>
      <c r="R610" s="15" t="str">
        <f aca="false">IF(J610="","Unknown",IF(J610&gt;=5,"Yes","No (under 5 units)"))</f>
        <v>Yes</v>
      </c>
      <c r="S610" s="15"/>
      <c r="T610" s="18"/>
      <c r="U610" s="19"/>
      <c r="V610" s="18"/>
      <c r="W610" s="18"/>
      <c r="X610" s="20"/>
      <c r="Y610" s="18"/>
      <c r="Z610" s="18"/>
      <c r="AA610" s="21" t="n">
        <f aca="false">IF(U610&lt;&gt;"",(U610-Scoring!$B$3)/365.25,IF(N610="","",IF(N610&lt;Scoring!$B$12,"",(DATE(N610+Scoring!$B$13,12,31)-Scoring!$B$3)/365.25)))</f>
        <v>10.2477754962355</v>
      </c>
      <c r="AB610" s="22" t="n">
        <f aca="false">IF(T610="Y",0,IF(OR(D610="Expired (verified)",D610="Expiring: notice window (verified)",D610="Expiring: 10-yr horizon (verified)",D610="Past 30-yr mark (verify)",D610="30-yr mark: notice window (est.)",D610="Year-15 window"),1,0)+IF(ISNUMBER(O610),IF(O610&gt;=Scoring!$B$10,1,0),0)+IF(AND(ISNUMBER(L610),ISNUMBER(J610)),IF(J610&gt;0,IF(L610/J610&gt;=Scoring!$B$11,1,0),0),0)+IF(ISNUMBER(Z610),MIN(Z610,3),0))</f>
        <v>0</v>
      </c>
      <c r="AC610" s="22" t="n">
        <f aca="false">IF(AB610&gt;=3,Scoring!$C$24,IF(AB610=2,Scoring!$C$23,IF(AB610=1,Scoring!$C$22,0)))</f>
        <v>0</v>
      </c>
      <c r="AD610" s="22" t="n">
        <f aca="false">IF(T610="Y",0,IF(ISNUMBER(X610),IF(X610&gt;0.7,Scoring!$C$25,IF(X610&gt;=0.5,Scoring!$C$26,IF(X610&gt;=0.3,Scoring!$C$27,Scoring!$C$28))),Scoring!$C$29))</f>
        <v>10</v>
      </c>
      <c r="AE610" s="22" t="n">
        <f aca="false">IF(D610="Expiring: notice window (verified)",Scoring!$C$30,IF(OR(D610="Expired (verified)",D610="30-yr mark: notice window (est.)",D610="Year-15 window"),Scoring!$C$31,IF(D610="Expiring: 10-yr horizon (verified)",Scoring!$C$32,IF(D610="Past 30-yr mark (verify)",Scoring!$C$33,IF(OR(D610="Credit period",D610="Superseded record"),Scoring!$C$35,Scoring!$C$34)))))</f>
        <v>4</v>
      </c>
      <c r="AF610" s="22" t="n">
        <f aca="false">IF(T610="Y",0,IF(ISNUMBER(V610),IF(Scoring!$B$4-V610&gt;15,Scoring!$C$36,IF(Scoring!$B$4-V610&gt;=10,Scoring!$C$37,IF(Scoring!$B$4-V610&gt;=5,Scoring!$C$38,Scoring!$C$39))),IF(OR(N610="",D610="Out of program"),Scoring!$C$40,IF(O610&gt;15,Scoring!$C$36,IF(O610&gt;=10,Scoring!$C$37,IF(O610&gt;=5,Scoring!$C$38,Scoring!$C$39))))))</f>
        <v>15</v>
      </c>
      <c r="AG610" s="22" t="n">
        <f aca="false">IF(T610="Y",0,IF(Y610="Y",Scoring!$C$41,IF(ISNUMBER(O610),IF(O610&gt;=25,Scoring!$C$42,IF(O610&gt;=15,Scoring!$C$43,Scoring!$C$44)),Scoring!$C$44)))</f>
        <v>5</v>
      </c>
      <c r="AH610" s="22" t="n">
        <f aca="false">IF(T610="Y",0,IF(W610="",Scoring!$C$49,IFERROR(VLOOKUP(W610,Scoring!$B$45:$C$48,2,FALSE()),Scoring!$C$49)))</f>
        <v>5</v>
      </c>
      <c r="AI610" s="23" t="n">
        <f aca="false">C610+IF(ISNUMBER(J610),J610,0)/100000+(10000-ROW())/1000000000</f>
        <v>39.00037939</v>
      </c>
      <c r="AJ610" s="18"/>
      <c r="AK610" s="18"/>
      <c r="AL610" s="18"/>
      <c r="AM610" s="18"/>
    </row>
    <row r="611" customFormat="false" ht="15" hidden="false" customHeight="false" outlineLevel="0" collapsed="false">
      <c r="A611" s="15" t="n">
        <f aca="false">RANK(AI611,$AI$2:$AI$755)</f>
        <v>610</v>
      </c>
      <c r="B611" s="16" t="str">
        <f aca="false">IF(T611="Y","Superseded",IF(C611&gt;=Scoring!$B$16,"Immediate",IF(C611&gt;=Scoring!$B$17,"This week",IF(C611&gt;=Scoring!$B$18,"Nurture","Low"))))</f>
        <v>Nurture</v>
      </c>
      <c r="C611" s="3" t="n">
        <f aca="false">SUM(AC611:AH611)</f>
        <v>39</v>
      </c>
      <c r="D611" s="15" t="str">
        <f aca="false">IF(T611="Y","Superseded record",IF(AND(U611&lt;&gt;"",AA611&lt;0),"Expired (verified)",IF(AND(U611&lt;&gt;"",AA611&lt;=Scoring!$B$5),"Expiring: notice window (verified)",IF(AND(U611&lt;&gt;"",AA611&lt;=Scoring!$B$6),"Expiring: 10-yr horizon (verified)",IF(M611="No Longer Monitored","Out of program",IF(N611="","Unknown vintage",IF(N611&lt;Scoring!$B$12,"Pre-1990, still listed",IF(AND(U611="",AA611&lt;0),"Past 30-yr mark (verify)",IF(AND(U611="",AA611&lt;=Scoring!$B$5),"30-yr mark: notice window (est.)",IF(AND(O611&gt;=Scoring!$B$7,O611&lt;=Scoring!$B$8),"Year-15 window",IF(O611&gt;=Scoring!$B$9,"Recap window",IF(O611&gt;=11,"Late compliance","Credit period"))))))))))))</f>
        <v>Recap window</v>
      </c>
      <c r="E611" s="15" t="s">
        <v>2147</v>
      </c>
      <c r="F611" s="15" t="s">
        <v>2148</v>
      </c>
      <c r="G611" s="15" t="s">
        <v>2149</v>
      </c>
      <c r="H611" s="15" t="s">
        <v>345</v>
      </c>
      <c r="I611" s="15" t="s">
        <v>346</v>
      </c>
      <c r="J611" s="15" t="n">
        <v>36</v>
      </c>
      <c r="K611" s="15" t="n">
        <v>36</v>
      </c>
      <c r="L611" s="15" t="n">
        <f aca="false">IF(OR(J611="",K611=""),"",MAX(J611-K611,0))</f>
        <v>0</v>
      </c>
      <c r="M611" s="15" t="s">
        <v>99</v>
      </c>
      <c r="N611" s="17" t="n">
        <v>2007</v>
      </c>
      <c r="O611" s="15" t="n">
        <f aca="false">IF(N611="","",Scoring!$B$4-N611)</f>
        <v>19</v>
      </c>
      <c r="P611" s="15" t="n">
        <f aca="false">IF(N611="","",N611+14)</f>
        <v>2021</v>
      </c>
      <c r="Q611" s="15" t="n">
        <f aca="false">IF(N611="","",IF(N611&lt;Scoring!$B$12,"n/a (pre-1990)",N611+Scoring!$B$13))</f>
        <v>2036</v>
      </c>
      <c r="R611" s="15" t="str">
        <f aca="false">IF(J611="","Unknown",IF(J611&gt;=5,"Yes","No (under 5 units)"))</f>
        <v>Yes</v>
      </c>
      <c r="S611" s="15"/>
      <c r="T611" s="18"/>
      <c r="U611" s="19"/>
      <c r="V611" s="18"/>
      <c r="W611" s="18"/>
      <c r="X611" s="20"/>
      <c r="Y611" s="18"/>
      <c r="Z611" s="18"/>
      <c r="AA611" s="21" t="n">
        <f aca="false">IF(U611&lt;&gt;"",(U611-Scoring!$B$3)/365.25,IF(N611="","",IF(N611&lt;Scoring!$B$12,"",(DATE(N611+Scoring!$B$13,12,31)-Scoring!$B$3)/365.25)))</f>
        <v>10.2477754962355</v>
      </c>
      <c r="AB611" s="22" t="n">
        <f aca="false">IF(T611="Y",0,IF(OR(D611="Expired (verified)",D611="Expiring: notice window (verified)",D611="Expiring: 10-yr horizon (verified)",D611="Past 30-yr mark (verify)",D611="30-yr mark: notice window (est.)",D611="Year-15 window"),1,0)+IF(ISNUMBER(O611),IF(O611&gt;=Scoring!$B$10,1,0),0)+IF(AND(ISNUMBER(L611),ISNUMBER(J611)),IF(J611&gt;0,IF(L611/J611&gt;=Scoring!$B$11,1,0),0),0)+IF(ISNUMBER(Z611),MIN(Z611,3),0))</f>
        <v>0</v>
      </c>
      <c r="AC611" s="22" t="n">
        <f aca="false">IF(AB611&gt;=3,Scoring!$C$24,IF(AB611=2,Scoring!$C$23,IF(AB611=1,Scoring!$C$22,0)))</f>
        <v>0</v>
      </c>
      <c r="AD611" s="22" t="n">
        <f aca="false">IF(T611="Y",0,IF(ISNUMBER(X611),IF(X611&gt;0.7,Scoring!$C$25,IF(X611&gt;=0.5,Scoring!$C$26,IF(X611&gt;=0.3,Scoring!$C$27,Scoring!$C$28))),Scoring!$C$29))</f>
        <v>10</v>
      </c>
      <c r="AE611" s="22" t="n">
        <f aca="false">IF(D611="Expiring: notice window (verified)",Scoring!$C$30,IF(OR(D611="Expired (verified)",D611="30-yr mark: notice window (est.)",D611="Year-15 window"),Scoring!$C$31,IF(D611="Expiring: 10-yr horizon (verified)",Scoring!$C$32,IF(D611="Past 30-yr mark (verify)",Scoring!$C$33,IF(OR(D611="Credit period",D611="Superseded record"),Scoring!$C$35,Scoring!$C$34)))))</f>
        <v>4</v>
      </c>
      <c r="AF611" s="22" t="n">
        <f aca="false">IF(T611="Y",0,IF(ISNUMBER(V611),IF(Scoring!$B$4-V611&gt;15,Scoring!$C$36,IF(Scoring!$B$4-V611&gt;=10,Scoring!$C$37,IF(Scoring!$B$4-V611&gt;=5,Scoring!$C$38,Scoring!$C$39))),IF(OR(N611="",D611="Out of program"),Scoring!$C$40,IF(O611&gt;15,Scoring!$C$36,IF(O611&gt;=10,Scoring!$C$37,IF(O611&gt;=5,Scoring!$C$38,Scoring!$C$39))))))</f>
        <v>15</v>
      </c>
      <c r="AG611" s="22" t="n">
        <f aca="false">IF(T611="Y",0,IF(Y611="Y",Scoring!$C$41,IF(ISNUMBER(O611),IF(O611&gt;=25,Scoring!$C$42,IF(O611&gt;=15,Scoring!$C$43,Scoring!$C$44)),Scoring!$C$44)))</f>
        <v>5</v>
      </c>
      <c r="AH611" s="22" t="n">
        <f aca="false">IF(T611="Y",0,IF(W611="",Scoring!$C$49,IFERROR(VLOOKUP(W611,Scoring!$B$45:$C$48,2,FALSE()),Scoring!$C$49)))</f>
        <v>5</v>
      </c>
      <c r="AI611" s="23" t="n">
        <f aca="false">C611+IF(ISNUMBER(J611),J611,0)/100000+(10000-ROW())/1000000000</f>
        <v>39.000369389</v>
      </c>
      <c r="AJ611" s="18"/>
      <c r="AK611" s="18"/>
      <c r="AL611" s="18"/>
      <c r="AM611" s="18"/>
    </row>
    <row r="612" customFormat="false" ht="15" hidden="false" customHeight="false" outlineLevel="0" collapsed="false">
      <c r="A612" s="15" t="n">
        <f aca="false">RANK(AI612,$AI$2:$AI$755)</f>
        <v>611</v>
      </c>
      <c r="B612" s="16" t="str">
        <f aca="false">IF(T612="Y","Superseded",IF(C612&gt;=Scoring!$B$16,"Immediate",IF(C612&gt;=Scoring!$B$17,"This week",IF(C612&gt;=Scoring!$B$18,"Nurture","Low"))))</f>
        <v>Nurture</v>
      </c>
      <c r="C612" s="3" t="n">
        <f aca="false">SUM(AC612:AH612)</f>
        <v>39</v>
      </c>
      <c r="D612" s="15" t="str">
        <f aca="false">IF(T612="Y","Superseded record",IF(AND(U612&lt;&gt;"",AA612&lt;0),"Expired (verified)",IF(AND(U612&lt;&gt;"",AA612&lt;=Scoring!$B$5),"Expiring: notice window (verified)",IF(AND(U612&lt;&gt;"",AA612&lt;=Scoring!$B$6),"Expiring: 10-yr horizon (verified)",IF(M612="No Longer Monitored","Out of program",IF(N612="","Unknown vintage",IF(N612&lt;Scoring!$B$12,"Pre-1990, still listed",IF(AND(U612="",AA612&lt;0),"Past 30-yr mark (verify)",IF(AND(U612="",AA612&lt;=Scoring!$B$5),"30-yr mark: notice window (est.)",IF(AND(O612&gt;=Scoring!$B$7,O612&lt;=Scoring!$B$8),"Year-15 window",IF(O612&gt;=Scoring!$B$9,"Recap window",IF(O612&gt;=11,"Late compliance","Credit period"))))))))))))</f>
        <v>Recap window</v>
      </c>
      <c r="E612" s="15" t="s">
        <v>2150</v>
      </c>
      <c r="F612" s="15" t="s">
        <v>2151</v>
      </c>
      <c r="G612" s="15" t="s">
        <v>2152</v>
      </c>
      <c r="H612" s="15" t="s">
        <v>1631</v>
      </c>
      <c r="I612" s="15" t="s">
        <v>1632</v>
      </c>
      <c r="J612" s="15" t="n">
        <v>36</v>
      </c>
      <c r="K612" s="15" t="n">
        <v>36</v>
      </c>
      <c r="L612" s="15" t="n">
        <f aca="false">IF(OR(J612="",K612=""),"",MAX(J612-K612,0))</f>
        <v>0</v>
      </c>
      <c r="M612" s="15" t="s">
        <v>99</v>
      </c>
      <c r="N612" s="17" t="n">
        <v>2007</v>
      </c>
      <c r="O612" s="15" t="n">
        <f aca="false">IF(N612="","",Scoring!$B$4-N612)</f>
        <v>19</v>
      </c>
      <c r="P612" s="15" t="n">
        <f aca="false">IF(N612="","",N612+14)</f>
        <v>2021</v>
      </c>
      <c r="Q612" s="15" t="n">
        <f aca="false">IF(N612="","",IF(N612&lt;Scoring!$B$12,"n/a (pre-1990)",N612+Scoring!$B$13))</f>
        <v>2036</v>
      </c>
      <c r="R612" s="15" t="str">
        <f aca="false">IF(J612="","Unknown",IF(J612&gt;=5,"Yes","No (under 5 units)"))</f>
        <v>Yes</v>
      </c>
      <c r="S612" s="15"/>
      <c r="T612" s="18"/>
      <c r="U612" s="19"/>
      <c r="V612" s="18"/>
      <c r="W612" s="18"/>
      <c r="X612" s="20"/>
      <c r="Y612" s="18"/>
      <c r="Z612" s="18"/>
      <c r="AA612" s="21" t="n">
        <f aca="false">IF(U612&lt;&gt;"",(U612-Scoring!$B$3)/365.25,IF(N612="","",IF(N612&lt;Scoring!$B$12,"",(DATE(N612+Scoring!$B$13,12,31)-Scoring!$B$3)/365.25)))</f>
        <v>10.2477754962355</v>
      </c>
      <c r="AB612" s="22" t="n">
        <f aca="false">IF(T612="Y",0,IF(OR(D612="Expired (verified)",D612="Expiring: notice window (verified)",D612="Expiring: 10-yr horizon (verified)",D612="Past 30-yr mark (verify)",D612="30-yr mark: notice window (est.)",D612="Year-15 window"),1,0)+IF(ISNUMBER(O612),IF(O612&gt;=Scoring!$B$10,1,0),0)+IF(AND(ISNUMBER(L612),ISNUMBER(J612)),IF(J612&gt;0,IF(L612/J612&gt;=Scoring!$B$11,1,0),0),0)+IF(ISNUMBER(Z612),MIN(Z612,3),0))</f>
        <v>0</v>
      </c>
      <c r="AC612" s="22" t="n">
        <f aca="false">IF(AB612&gt;=3,Scoring!$C$24,IF(AB612=2,Scoring!$C$23,IF(AB612=1,Scoring!$C$22,0)))</f>
        <v>0</v>
      </c>
      <c r="AD612" s="22" t="n">
        <f aca="false">IF(T612="Y",0,IF(ISNUMBER(X612),IF(X612&gt;0.7,Scoring!$C$25,IF(X612&gt;=0.5,Scoring!$C$26,IF(X612&gt;=0.3,Scoring!$C$27,Scoring!$C$28))),Scoring!$C$29))</f>
        <v>10</v>
      </c>
      <c r="AE612" s="22" t="n">
        <f aca="false">IF(D612="Expiring: notice window (verified)",Scoring!$C$30,IF(OR(D612="Expired (verified)",D612="30-yr mark: notice window (est.)",D612="Year-15 window"),Scoring!$C$31,IF(D612="Expiring: 10-yr horizon (verified)",Scoring!$C$32,IF(D612="Past 30-yr mark (verify)",Scoring!$C$33,IF(OR(D612="Credit period",D612="Superseded record"),Scoring!$C$35,Scoring!$C$34)))))</f>
        <v>4</v>
      </c>
      <c r="AF612" s="22" t="n">
        <f aca="false">IF(T612="Y",0,IF(ISNUMBER(V612),IF(Scoring!$B$4-V612&gt;15,Scoring!$C$36,IF(Scoring!$B$4-V612&gt;=10,Scoring!$C$37,IF(Scoring!$B$4-V612&gt;=5,Scoring!$C$38,Scoring!$C$39))),IF(OR(N612="",D612="Out of program"),Scoring!$C$40,IF(O612&gt;15,Scoring!$C$36,IF(O612&gt;=10,Scoring!$C$37,IF(O612&gt;=5,Scoring!$C$38,Scoring!$C$39))))))</f>
        <v>15</v>
      </c>
      <c r="AG612" s="22" t="n">
        <f aca="false">IF(T612="Y",0,IF(Y612="Y",Scoring!$C$41,IF(ISNUMBER(O612),IF(O612&gt;=25,Scoring!$C$42,IF(O612&gt;=15,Scoring!$C$43,Scoring!$C$44)),Scoring!$C$44)))</f>
        <v>5</v>
      </c>
      <c r="AH612" s="22" t="n">
        <f aca="false">IF(T612="Y",0,IF(W612="",Scoring!$C$49,IFERROR(VLOOKUP(W612,Scoring!$B$45:$C$48,2,FALSE()),Scoring!$C$49)))</f>
        <v>5</v>
      </c>
      <c r="AI612" s="23" t="n">
        <f aca="false">C612+IF(ISNUMBER(J612),J612,0)/100000+(10000-ROW())/1000000000</f>
        <v>39.000369388</v>
      </c>
      <c r="AJ612" s="18"/>
      <c r="AK612" s="18"/>
      <c r="AL612" s="18"/>
      <c r="AM612" s="18"/>
    </row>
    <row r="613" customFormat="false" ht="15" hidden="false" customHeight="false" outlineLevel="0" collapsed="false">
      <c r="A613" s="15" t="n">
        <f aca="false">RANK(AI613,$AI$2:$AI$755)</f>
        <v>612</v>
      </c>
      <c r="B613" s="16" t="str">
        <f aca="false">IF(T613="Y","Superseded",IF(C613&gt;=Scoring!$B$16,"Immediate",IF(C613&gt;=Scoring!$B$17,"This week",IF(C613&gt;=Scoring!$B$18,"Nurture","Low"))))</f>
        <v>Nurture</v>
      </c>
      <c r="C613" s="3" t="n">
        <f aca="false">SUM(AC613:AH613)</f>
        <v>39</v>
      </c>
      <c r="D613" s="15" t="str">
        <f aca="false">IF(T613="Y","Superseded record",IF(AND(U613&lt;&gt;"",AA613&lt;0),"Expired (verified)",IF(AND(U613&lt;&gt;"",AA613&lt;=Scoring!$B$5),"Expiring: notice window (verified)",IF(AND(U613&lt;&gt;"",AA613&lt;=Scoring!$B$6),"Expiring: 10-yr horizon (verified)",IF(M613="No Longer Monitored","Out of program",IF(N613="","Unknown vintage",IF(N613&lt;Scoring!$B$12,"Pre-1990, still listed",IF(AND(U613="",AA613&lt;0),"Past 30-yr mark (verify)",IF(AND(U613="",AA613&lt;=Scoring!$B$5),"30-yr mark: notice window (est.)",IF(AND(O613&gt;=Scoring!$B$7,O613&lt;=Scoring!$B$8),"Year-15 window",IF(O613&gt;=Scoring!$B$9,"Recap window",IF(O613&gt;=11,"Late compliance","Credit period"))))))))))))</f>
        <v>Recap window</v>
      </c>
      <c r="E613" s="15" t="s">
        <v>2153</v>
      </c>
      <c r="F613" s="15" t="s">
        <v>2154</v>
      </c>
      <c r="G613" s="15" t="s">
        <v>2155</v>
      </c>
      <c r="H613" s="15" t="s">
        <v>207</v>
      </c>
      <c r="I613" s="15" t="s">
        <v>208</v>
      </c>
      <c r="J613" s="15" t="n">
        <v>33</v>
      </c>
      <c r="K613" s="15" t="n">
        <v>33</v>
      </c>
      <c r="L613" s="15" t="n">
        <f aca="false">IF(OR(J613="",K613=""),"",MAX(J613-K613,0))</f>
        <v>0</v>
      </c>
      <c r="M613" s="15" t="s">
        <v>99</v>
      </c>
      <c r="N613" s="17" t="n">
        <v>2007</v>
      </c>
      <c r="O613" s="15" t="n">
        <f aca="false">IF(N613="","",Scoring!$B$4-N613)</f>
        <v>19</v>
      </c>
      <c r="P613" s="15" t="n">
        <f aca="false">IF(N613="","",N613+14)</f>
        <v>2021</v>
      </c>
      <c r="Q613" s="15" t="n">
        <f aca="false">IF(N613="","",IF(N613&lt;Scoring!$B$12,"n/a (pre-1990)",N613+Scoring!$B$13))</f>
        <v>2036</v>
      </c>
      <c r="R613" s="15" t="str">
        <f aca="false">IF(J613="","Unknown",IF(J613&gt;=5,"Yes","No (under 5 units)"))</f>
        <v>Yes</v>
      </c>
      <c r="S613" s="15"/>
      <c r="T613" s="18"/>
      <c r="U613" s="19"/>
      <c r="V613" s="18"/>
      <c r="W613" s="18"/>
      <c r="X613" s="20"/>
      <c r="Y613" s="18"/>
      <c r="Z613" s="18"/>
      <c r="AA613" s="21" t="n">
        <f aca="false">IF(U613&lt;&gt;"",(U613-Scoring!$B$3)/365.25,IF(N613="","",IF(N613&lt;Scoring!$B$12,"",(DATE(N613+Scoring!$B$13,12,31)-Scoring!$B$3)/365.25)))</f>
        <v>10.2477754962355</v>
      </c>
      <c r="AB613" s="22" t="n">
        <f aca="false">IF(T613="Y",0,IF(OR(D613="Expired (verified)",D613="Expiring: notice window (verified)",D613="Expiring: 10-yr horizon (verified)",D613="Past 30-yr mark (verify)",D613="30-yr mark: notice window (est.)",D613="Year-15 window"),1,0)+IF(ISNUMBER(O613),IF(O613&gt;=Scoring!$B$10,1,0),0)+IF(AND(ISNUMBER(L613),ISNUMBER(J613)),IF(J613&gt;0,IF(L613/J613&gt;=Scoring!$B$11,1,0),0),0)+IF(ISNUMBER(Z613),MIN(Z613,3),0))</f>
        <v>0</v>
      </c>
      <c r="AC613" s="22" t="n">
        <f aca="false">IF(AB613&gt;=3,Scoring!$C$24,IF(AB613=2,Scoring!$C$23,IF(AB613=1,Scoring!$C$22,0)))</f>
        <v>0</v>
      </c>
      <c r="AD613" s="22" t="n">
        <f aca="false">IF(T613="Y",0,IF(ISNUMBER(X613),IF(X613&gt;0.7,Scoring!$C$25,IF(X613&gt;=0.5,Scoring!$C$26,IF(X613&gt;=0.3,Scoring!$C$27,Scoring!$C$28))),Scoring!$C$29))</f>
        <v>10</v>
      </c>
      <c r="AE613" s="22" t="n">
        <f aca="false">IF(D613="Expiring: notice window (verified)",Scoring!$C$30,IF(OR(D613="Expired (verified)",D613="30-yr mark: notice window (est.)",D613="Year-15 window"),Scoring!$C$31,IF(D613="Expiring: 10-yr horizon (verified)",Scoring!$C$32,IF(D613="Past 30-yr mark (verify)",Scoring!$C$33,IF(OR(D613="Credit period",D613="Superseded record"),Scoring!$C$35,Scoring!$C$34)))))</f>
        <v>4</v>
      </c>
      <c r="AF613" s="22" t="n">
        <f aca="false">IF(T613="Y",0,IF(ISNUMBER(V613),IF(Scoring!$B$4-V613&gt;15,Scoring!$C$36,IF(Scoring!$B$4-V613&gt;=10,Scoring!$C$37,IF(Scoring!$B$4-V613&gt;=5,Scoring!$C$38,Scoring!$C$39))),IF(OR(N613="",D613="Out of program"),Scoring!$C$40,IF(O613&gt;15,Scoring!$C$36,IF(O613&gt;=10,Scoring!$C$37,IF(O613&gt;=5,Scoring!$C$38,Scoring!$C$39))))))</f>
        <v>15</v>
      </c>
      <c r="AG613" s="22" t="n">
        <f aca="false">IF(T613="Y",0,IF(Y613="Y",Scoring!$C$41,IF(ISNUMBER(O613),IF(O613&gt;=25,Scoring!$C$42,IF(O613&gt;=15,Scoring!$C$43,Scoring!$C$44)),Scoring!$C$44)))</f>
        <v>5</v>
      </c>
      <c r="AH613" s="22" t="n">
        <f aca="false">IF(T613="Y",0,IF(W613="",Scoring!$C$49,IFERROR(VLOOKUP(W613,Scoring!$B$45:$C$48,2,FALSE()),Scoring!$C$49)))</f>
        <v>5</v>
      </c>
      <c r="AI613" s="23" t="n">
        <f aca="false">C613+IF(ISNUMBER(J613),J613,0)/100000+(10000-ROW())/1000000000</f>
        <v>39.000339387</v>
      </c>
      <c r="AJ613" s="18"/>
      <c r="AK613" s="18"/>
      <c r="AL613" s="18"/>
      <c r="AM613" s="18"/>
    </row>
    <row r="614" customFormat="false" ht="15" hidden="false" customHeight="false" outlineLevel="0" collapsed="false">
      <c r="A614" s="15" t="n">
        <f aca="false">RANK(AI614,$AI$2:$AI$755)</f>
        <v>613</v>
      </c>
      <c r="B614" s="16" t="str">
        <f aca="false">IF(T614="Y","Superseded",IF(C614&gt;=Scoring!$B$16,"Immediate",IF(C614&gt;=Scoring!$B$17,"This week",IF(C614&gt;=Scoring!$B$18,"Nurture","Low"))))</f>
        <v>Nurture</v>
      </c>
      <c r="C614" s="3" t="n">
        <f aca="false">SUM(AC614:AH614)</f>
        <v>39</v>
      </c>
      <c r="D614" s="15" t="str">
        <f aca="false">IF(T614="Y","Superseded record",IF(AND(U614&lt;&gt;"",AA614&lt;0),"Expired (verified)",IF(AND(U614&lt;&gt;"",AA614&lt;=Scoring!$B$5),"Expiring: notice window (verified)",IF(AND(U614&lt;&gt;"",AA614&lt;=Scoring!$B$6),"Expiring: 10-yr horizon (verified)",IF(M614="No Longer Monitored","Out of program",IF(N614="","Unknown vintage",IF(N614&lt;Scoring!$B$12,"Pre-1990, still listed",IF(AND(U614="",AA614&lt;0),"Past 30-yr mark (verify)",IF(AND(U614="",AA614&lt;=Scoring!$B$5),"30-yr mark: notice window (est.)",IF(AND(O614&gt;=Scoring!$B$7,O614&lt;=Scoring!$B$8),"Year-15 window",IF(O614&gt;=Scoring!$B$9,"Recap window",IF(O614&gt;=11,"Late compliance","Credit period"))))))))))))</f>
        <v>Recap window</v>
      </c>
      <c r="E614" s="15" t="s">
        <v>2156</v>
      </c>
      <c r="F614" s="15" t="s">
        <v>2157</v>
      </c>
      <c r="G614" s="15" t="s">
        <v>2158</v>
      </c>
      <c r="H614" s="15" t="s">
        <v>275</v>
      </c>
      <c r="I614" s="15" t="s">
        <v>276</v>
      </c>
      <c r="J614" s="15" t="n">
        <v>30</v>
      </c>
      <c r="K614" s="15" t="n">
        <v>30</v>
      </c>
      <c r="L614" s="15" t="n">
        <f aca="false">IF(OR(J614="",K614=""),"",MAX(J614-K614,0))</f>
        <v>0</v>
      </c>
      <c r="M614" s="15" t="s">
        <v>99</v>
      </c>
      <c r="N614" s="17" t="n">
        <v>2008</v>
      </c>
      <c r="O614" s="15" t="n">
        <f aca="false">IF(N614="","",Scoring!$B$4-N614)</f>
        <v>18</v>
      </c>
      <c r="P614" s="15" t="n">
        <f aca="false">IF(N614="","",N614+14)</f>
        <v>2022</v>
      </c>
      <c r="Q614" s="15" t="n">
        <f aca="false">IF(N614="","",IF(N614&lt;Scoring!$B$12,"n/a (pre-1990)",N614+Scoring!$B$13))</f>
        <v>2037</v>
      </c>
      <c r="R614" s="15" t="str">
        <f aca="false">IF(J614="","Unknown",IF(J614&gt;=5,"Yes","No (under 5 units)"))</f>
        <v>Yes</v>
      </c>
      <c r="S614" s="15"/>
      <c r="T614" s="18"/>
      <c r="U614" s="19"/>
      <c r="V614" s="18"/>
      <c r="W614" s="18"/>
      <c r="X614" s="20"/>
      <c r="Y614" s="18"/>
      <c r="Z614" s="18"/>
      <c r="AA614" s="21" t="n">
        <f aca="false">IF(U614&lt;&gt;"",(U614-Scoring!$B$3)/365.25,IF(N614="","",IF(N614&lt;Scoring!$B$12,"",(DATE(N614+Scoring!$B$13,12,31)-Scoring!$B$3)/365.25)))</f>
        <v>11.2470910335387</v>
      </c>
      <c r="AB614" s="22" t="n">
        <f aca="false">IF(T614="Y",0,IF(OR(D614="Expired (verified)",D614="Expiring: notice window (verified)",D614="Expiring: 10-yr horizon (verified)",D614="Past 30-yr mark (verify)",D614="30-yr mark: notice window (est.)",D614="Year-15 window"),1,0)+IF(ISNUMBER(O614),IF(O614&gt;=Scoring!$B$10,1,0),0)+IF(AND(ISNUMBER(L614),ISNUMBER(J614)),IF(J614&gt;0,IF(L614/J614&gt;=Scoring!$B$11,1,0),0),0)+IF(ISNUMBER(Z614),MIN(Z614,3),0))</f>
        <v>0</v>
      </c>
      <c r="AC614" s="22" t="n">
        <f aca="false">IF(AB614&gt;=3,Scoring!$C$24,IF(AB614=2,Scoring!$C$23,IF(AB614=1,Scoring!$C$22,0)))</f>
        <v>0</v>
      </c>
      <c r="AD614" s="22" t="n">
        <f aca="false">IF(T614="Y",0,IF(ISNUMBER(X614),IF(X614&gt;0.7,Scoring!$C$25,IF(X614&gt;=0.5,Scoring!$C$26,IF(X614&gt;=0.3,Scoring!$C$27,Scoring!$C$28))),Scoring!$C$29))</f>
        <v>10</v>
      </c>
      <c r="AE614" s="22" t="n">
        <f aca="false">IF(D614="Expiring: notice window (verified)",Scoring!$C$30,IF(OR(D614="Expired (verified)",D614="30-yr mark: notice window (est.)",D614="Year-15 window"),Scoring!$C$31,IF(D614="Expiring: 10-yr horizon (verified)",Scoring!$C$32,IF(D614="Past 30-yr mark (verify)",Scoring!$C$33,IF(OR(D614="Credit period",D614="Superseded record"),Scoring!$C$35,Scoring!$C$34)))))</f>
        <v>4</v>
      </c>
      <c r="AF614" s="22" t="n">
        <f aca="false">IF(T614="Y",0,IF(ISNUMBER(V614),IF(Scoring!$B$4-V614&gt;15,Scoring!$C$36,IF(Scoring!$B$4-V614&gt;=10,Scoring!$C$37,IF(Scoring!$B$4-V614&gt;=5,Scoring!$C$38,Scoring!$C$39))),IF(OR(N614="",D614="Out of program"),Scoring!$C$40,IF(O614&gt;15,Scoring!$C$36,IF(O614&gt;=10,Scoring!$C$37,IF(O614&gt;=5,Scoring!$C$38,Scoring!$C$39))))))</f>
        <v>15</v>
      </c>
      <c r="AG614" s="22" t="n">
        <f aca="false">IF(T614="Y",0,IF(Y614="Y",Scoring!$C$41,IF(ISNUMBER(O614),IF(O614&gt;=25,Scoring!$C$42,IF(O614&gt;=15,Scoring!$C$43,Scoring!$C$44)),Scoring!$C$44)))</f>
        <v>5</v>
      </c>
      <c r="AH614" s="22" t="n">
        <f aca="false">IF(T614="Y",0,IF(W614="",Scoring!$C$49,IFERROR(VLOOKUP(W614,Scoring!$B$45:$C$48,2,FALSE()),Scoring!$C$49)))</f>
        <v>5</v>
      </c>
      <c r="AI614" s="23" t="n">
        <f aca="false">C614+IF(ISNUMBER(J614),J614,0)/100000+(10000-ROW())/1000000000</f>
        <v>39.000309386</v>
      </c>
      <c r="AJ614" s="18"/>
      <c r="AK614" s="18"/>
      <c r="AL614" s="18"/>
      <c r="AM614" s="18"/>
    </row>
    <row r="615" customFormat="false" ht="15" hidden="false" customHeight="false" outlineLevel="0" collapsed="false">
      <c r="A615" s="15" t="n">
        <f aca="false">RANK(AI615,$AI$2:$AI$755)</f>
        <v>614</v>
      </c>
      <c r="B615" s="16" t="str">
        <f aca="false">IF(T615="Y","Superseded",IF(C615&gt;=Scoring!$B$16,"Immediate",IF(C615&gt;=Scoring!$B$17,"This week",IF(C615&gt;=Scoring!$B$18,"Nurture","Low"))))</f>
        <v>Nurture</v>
      </c>
      <c r="C615" s="3" t="n">
        <f aca="false">SUM(AC615:AH615)</f>
        <v>39</v>
      </c>
      <c r="D615" s="15" t="str">
        <f aca="false">IF(T615="Y","Superseded record",IF(AND(U615&lt;&gt;"",AA615&lt;0),"Expired (verified)",IF(AND(U615&lt;&gt;"",AA615&lt;=Scoring!$B$5),"Expiring: notice window (verified)",IF(AND(U615&lt;&gt;"",AA615&lt;=Scoring!$B$6),"Expiring: 10-yr horizon (verified)",IF(M615="No Longer Monitored","Out of program",IF(N615="","Unknown vintage",IF(N615&lt;Scoring!$B$12,"Pre-1990, still listed",IF(AND(U615="",AA615&lt;0),"Past 30-yr mark (verify)",IF(AND(U615="",AA615&lt;=Scoring!$B$5),"30-yr mark: notice window (est.)",IF(AND(O615&gt;=Scoring!$B$7,O615&lt;=Scoring!$B$8),"Year-15 window",IF(O615&gt;=Scoring!$B$9,"Recap window",IF(O615&gt;=11,"Late compliance","Credit period"))))))))))))</f>
        <v>Recap window</v>
      </c>
      <c r="E615" s="15" t="s">
        <v>2159</v>
      </c>
      <c r="F615" s="15" t="s">
        <v>2160</v>
      </c>
      <c r="G615" s="15" t="s">
        <v>2161</v>
      </c>
      <c r="H615" s="15" t="s">
        <v>1853</v>
      </c>
      <c r="I615" s="15" t="s">
        <v>1854</v>
      </c>
      <c r="J615" s="15" t="n">
        <v>28</v>
      </c>
      <c r="K615" s="15" t="n">
        <v>28</v>
      </c>
      <c r="L615" s="15" t="n">
        <f aca="false">IF(OR(J615="",K615=""),"",MAX(J615-K615,0))</f>
        <v>0</v>
      </c>
      <c r="M615" s="15" t="s">
        <v>99</v>
      </c>
      <c r="N615" s="17" t="n">
        <v>2008</v>
      </c>
      <c r="O615" s="15" t="n">
        <f aca="false">IF(N615="","",Scoring!$B$4-N615)</f>
        <v>18</v>
      </c>
      <c r="P615" s="15" t="n">
        <f aca="false">IF(N615="","",N615+14)</f>
        <v>2022</v>
      </c>
      <c r="Q615" s="15" t="n">
        <f aca="false">IF(N615="","",IF(N615&lt;Scoring!$B$12,"n/a (pre-1990)",N615+Scoring!$B$13))</f>
        <v>2037</v>
      </c>
      <c r="R615" s="15" t="str">
        <f aca="false">IF(J615="","Unknown",IF(J615&gt;=5,"Yes","No (under 5 units)"))</f>
        <v>Yes</v>
      </c>
      <c r="S615" s="15"/>
      <c r="T615" s="18"/>
      <c r="U615" s="19"/>
      <c r="V615" s="18"/>
      <c r="W615" s="18"/>
      <c r="X615" s="20"/>
      <c r="Y615" s="18"/>
      <c r="Z615" s="18"/>
      <c r="AA615" s="21" t="n">
        <f aca="false">IF(U615&lt;&gt;"",(U615-Scoring!$B$3)/365.25,IF(N615="","",IF(N615&lt;Scoring!$B$12,"",(DATE(N615+Scoring!$B$13,12,31)-Scoring!$B$3)/365.25)))</f>
        <v>11.2470910335387</v>
      </c>
      <c r="AB615" s="22" t="n">
        <f aca="false">IF(T615="Y",0,IF(OR(D615="Expired (verified)",D615="Expiring: notice window (verified)",D615="Expiring: 10-yr horizon (verified)",D615="Past 30-yr mark (verify)",D615="30-yr mark: notice window (est.)",D615="Year-15 window"),1,0)+IF(ISNUMBER(O615),IF(O615&gt;=Scoring!$B$10,1,0),0)+IF(AND(ISNUMBER(L615),ISNUMBER(J615)),IF(J615&gt;0,IF(L615/J615&gt;=Scoring!$B$11,1,0),0),0)+IF(ISNUMBER(Z615),MIN(Z615,3),0))</f>
        <v>0</v>
      </c>
      <c r="AC615" s="22" t="n">
        <f aca="false">IF(AB615&gt;=3,Scoring!$C$24,IF(AB615=2,Scoring!$C$23,IF(AB615=1,Scoring!$C$22,0)))</f>
        <v>0</v>
      </c>
      <c r="AD615" s="22" t="n">
        <f aca="false">IF(T615="Y",0,IF(ISNUMBER(X615),IF(X615&gt;0.7,Scoring!$C$25,IF(X615&gt;=0.5,Scoring!$C$26,IF(X615&gt;=0.3,Scoring!$C$27,Scoring!$C$28))),Scoring!$C$29))</f>
        <v>10</v>
      </c>
      <c r="AE615" s="22" t="n">
        <f aca="false">IF(D615="Expiring: notice window (verified)",Scoring!$C$30,IF(OR(D615="Expired (verified)",D615="30-yr mark: notice window (est.)",D615="Year-15 window"),Scoring!$C$31,IF(D615="Expiring: 10-yr horizon (verified)",Scoring!$C$32,IF(D615="Past 30-yr mark (verify)",Scoring!$C$33,IF(OR(D615="Credit period",D615="Superseded record"),Scoring!$C$35,Scoring!$C$34)))))</f>
        <v>4</v>
      </c>
      <c r="AF615" s="22" t="n">
        <f aca="false">IF(T615="Y",0,IF(ISNUMBER(V615),IF(Scoring!$B$4-V615&gt;15,Scoring!$C$36,IF(Scoring!$B$4-V615&gt;=10,Scoring!$C$37,IF(Scoring!$B$4-V615&gt;=5,Scoring!$C$38,Scoring!$C$39))),IF(OR(N615="",D615="Out of program"),Scoring!$C$40,IF(O615&gt;15,Scoring!$C$36,IF(O615&gt;=10,Scoring!$C$37,IF(O615&gt;=5,Scoring!$C$38,Scoring!$C$39))))))</f>
        <v>15</v>
      </c>
      <c r="AG615" s="22" t="n">
        <f aca="false">IF(T615="Y",0,IF(Y615="Y",Scoring!$C$41,IF(ISNUMBER(O615),IF(O615&gt;=25,Scoring!$C$42,IF(O615&gt;=15,Scoring!$C$43,Scoring!$C$44)),Scoring!$C$44)))</f>
        <v>5</v>
      </c>
      <c r="AH615" s="22" t="n">
        <f aca="false">IF(T615="Y",0,IF(W615="",Scoring!$C$49,IFERROR(VLOOKUP(W615,Scoring!$B$45:$C$48,2,FALSE()),Scoring!$C$49)))</f>
        <v>5</v>
      </c>
      <c r="AI615" s="23" t="n">
        <f aca="false">C615+IF(ISNUMBER(J615),J615,0)/100000+(10000-ROW())/1000000000</f>
        <v>39.000289385</v>
      </c>
      <c r="AJ615" s="18"/>
      <c r="AK615" s="18"/>
      <c r="AL615" s="18"/>
      <c r="AM615" s="18"/>
    </row>
    <row r="616" customFormat="false" ht="15" hidden="false" customHeight="false" outlineLevel="0" collapsed="false">
      <c r="A616" s="15" t="n">
        <f aca="false">RANK(AI616,$AI$2:$AI$755)</f>
        <v>615</v>
      </c>
      <c r="B616" s="16" t="str">
        <f aca="false">IF(T616="Y","Superseded",IF(C616&gt;=Scoring!$B$16,"Immediate",IF(C616&gt;=Scoring!$B$17,"This week",IF(C616&gt;=Scoring!$B$18,"Nurture","Low"))))</f>
        <v>Nurture</v>
      </c>
      <c r="C616" s="3" t="n">
        <f aca="false">SUM(AC616:AH616)</f>
        <v>39</v>
      </c>
      <c r="D616" s="15" t="str">
        <f aca="false">IF(T616="Y","Superseded record",IF(AND(U616&lt;&gt;"",AA616&lt;0),"Expired (verified)",IF(AND(U616&lt;&gt;"",AA616&lt;=Scoring!$B$5),"Expiring: notice window (verified)",IF(AND(U616&lt;&gt;"",AA616&lt;=Scoring!$B$6),"Expiring: 10-yr horizon (verified)",IF(M616="No Longer Monitored","Out of program",IF(N616="","Unknown vintage",IF(N616&lt;Scoring!$B$12,"Pre-1990, still listed",IF(AND(U616="",AA616&lt;0),"Past 30-yr mark (verify)",IF(AND(U616="",AA616&lt;=Scoring!$B$5),"30-yr mark: notice window (est.)",IF(AND(O616&gt;=Scoring!$B$7,O616&lt;=Scoring!$B$8),"Year-15 window",IF(O616&gt;=Scoring!$B$9,"Recap window",IF(O616&gt;=11,"Late compliance","Credit period"))))))))))))</f>
        <v>Recap window</v>
      </c>
      <c r="E616" s="15" t="s">
        <v>2162</v>
      </c>
      <c r="F616" s="15" t="s">
        <v>2163</v>
      </c>
      <c r="G616" s="15" t="s">
        <v>2164</v>
      </c>
      <c r="H616" s="15" t="s">
        <v>319</v>
      </c>
      <c r="I616" s="15" t="s">
        <v>320</v>
      </c>
      <c r="J616" s="15" t="n">
        <v>25</v>
      </c>
      <c r="K616" s="15" t="n">
        <v>25</v>
      </c>
      <c r="L616" s="15" t="n">
        <f aca="false">IF(OR(J616="",K616=""),"",MAX(J616-K616,0))</f>
        <v>0</v>
      </c>
      <c r="M616" s="15" t="s">
        <v>99</v>
      </c>
      <c r="N616" s="17" t="n">
        <v>2008</v>
      </c>
      <c r="O616" s="15" t="n">
        <f aca="false">IF(N616="","",Scoring!$B$4-N616)</f>
        <v>18</v>
      </c>
      <c r="P616" s="15" t="n">
        <f aca="false">IF(N616="","",N616+14)</f>
        <v>2022</v>
      </c>
      <c r="Q616" s="15" t="n">
        <f aca="false">IF(N616="","",IF(N616&lt;Scoring!$B$12,"n/a (pre-1990)",N616+Scoring!$B$13))</f>
        <v>2037</v>
      </c>
      <c r="R616" s="15" t="str">
        <f aca="false">IF(J616="","Unknown",IF(J616&gt;=5,"Yes","No (under 5 units)"))</f>
        <v>Yes</v>
      </c>
      <c r="S616" s="15"/>
      <c r="T616" s="18"/>
      <c r="U616" s="19"/>
      <c r="V616" s="18"/>
      <c r="W616" s="18"/>
      <c r="X616" s="20"/>
      <c r="Y616" s="18"/>
      <c r="Z616" s="18"/>
      <c r="AA616" s="21" t="n">
        <f aca="false">IF(U616&lt;&gt;"",(U616-Scoring!$B$3)/365.25,IF(N616="","",IF(N616&lt;Scoring!$B$12,"",(DATE(N616+Scoring!$B$13,12,31)-Scoring!$B$3)/365.25)))</f>
        <v>11.2470910335387</v>
      </c>
      <c r="AB616" s="22" t="n">
        <f aca="false">IF(T616="Y",0,IF(OR(D616="Expired (verified)",D616="Expiring: notice window (verified)",D616="Expiring: 10-yr horizon (verified)",D616="Past 30-yr mark (verify)",D616="30-yr mark: notice window (est.)",D616="Year-15 window"),1,0)+IF(ISNUMBER(O616),IF(O616&gt;=Scoring!$B$10,1,0),0)+IF(AND(ISNUMBER(L616),ISNUMBER(J616)),IF(J616&gt;0,IF(L616/J616&gt;=Scoring!$B$11,1,0),0),0)+IF(ISNUMBER(Z616),MIN(Z616,3),0))</f>
        <v>0</v>
      </c>
      <c r="AC616" s="22" t="n">
        <f aca="false">IF(AB616&gt;=3,Scoring!$C$24,IF(AB616=2,Scoring!$C$23,IF(AB616=1,Scoring!$C$22,0)))</f>
        <v>0</v>
      </c>
      <c r="AD616" s="22" t="n">
        <f aca="false">IF(T616="Y",0,IF(ISNUMBER(X616),IF(X616&gt;0.7,Scoring!$C$25,IF(X616&gt;=0.5,Scoring!$C$26,IF(X616&gt;=0.3,Scoring!$C$27,Scoring!$C$28))),Scoring!$C$29))</f>
        <v>10</v>
      </c>
      <c r="AE616" s="22" t="n">
        <f aca="false">IF(D616="Expiring: notice window (verified)",Scoring!$C$30,IF(OR(D616="Expired (verified)",D616="30-yr mark: notice window (est.)",D616="Year-15 window"),Scoring!$C$31,IF(D616="Expiring: 10-yr horizon (verified)",Scoring!$C$32,IF(D616="Past 30-yr mark (verify)",Scoring!$C$33,IF(OR(D616="Credit period",D616="Superseded record"),Scoring!$C$35,Scoring!$C$34)))))</f>
        <v>4</v>
      </c>
      <c r="AF616" s="22" t="n">
        <f aca="false">IF(T616="Y",0,IF(ISNUMBER(V616),IF(Scoring!$B$4-V616&gt;15,Scoring!$C$36,IF(Scoring!$B$4-V616&gt;=10,Scoring!$C$37,IF(Scoring!$B$4-V616&gt;=5,Scoring!$C$38,Scoring!$C$39))),IF(OR(N616="",D616="Out of program"),Scoring!$C$40,IF(O616&gt;15,Scoring!$C$36,IF(O616&gt;=10,Scoring!$C$37,IF(O616&gt;=5,Scoring!$C$38,Scoring!$C$39))))))</f>
        <v>15</v>
      </c>
      <c r="AG616" s="22" t="n">
        <f aca="false">IF(T616="Y",0,IF(Y616="Y",Scoring!$C$41,IF(ISNUMBER(O616),IF(O616&gt;=25,Scoring!$C$42,IF(O616&gt;=15,Scoring!$C$43,Scoring!$C$44)),Scoring!$C$44)))</f>
        <v>5</v>
      </c>
      <c r="AH616" s="22" t="n">
        <f aca="false">IF(T616="Y",0,IF(W616="",Scoring!$C$49,IFERROR(VLOOKUP(W616,Scoring!$B$45:$C$48,2,FALSE()),Scoring!$C$49)))</f>
        <v>5</v>
      </c>
      <c r="AI616" s="23" t="n">
        <f aca="false">C616+IF(ISNUMBER(J616),J616,0)/100000+(10000-ROW())/1000000000</f>
        <v>39.000259384</v>
      </c>
      <c r="AJ616" s="18"/>
      <c r="AK616" s="18"/>
      <c r="AL616" s="18"/>
      <c r="AM616" s="18"/>
    </row>
    <row r="617" customFormat="false" ht="15" hidden="false" customHeight="false" outlineLevel="0" collapsed="false">
      <c r="A617" s="15" t="n">
        <f aca="false">RANK(AI617,$AI$2:$AI$755)</f>
        <v>616</v>
      </c>
      <c r="B617" s="16" t="str">
        <f aca="false">IF(T617="Y","Superseded",IF(C617&gt;=Scoring!$B$16,"Immediate",IF(C617&gt;=Scoring!$B$17,"This week",IF(C617&gt;=Scoring!$B$18,"Nurture","Low"))))</f>
        <v>Nurture</v>
      </c>
      <c r="C617" s="3" t="n">
        <f aca="false">SUM(AC617:AH617)</f>
        <v>39</v>
      </c>
      <c r="D617" s="15" t="str">
        <f aca="false">IF(T617="Y","Superseded record",IF(AND(U617&lt;&gt;"",AA617&lt;0),"Expired (verified)",IF(AND(U617&lt;&gt;"",AA617&lt;=Scoring!$B$5),"Expiring: notice window (verified)",IF(AND(U617&lt;&gt;"",AA617&lt;=Scoring!$B$6),"Expiring: 10-yr horizon (verified)",IF(M617="No Longer Monitored","Out of program",IF(N617="","Unknown vintage",IF(N617&lt;Scoring!$B$12,"Pre-1990, still listed",IF(AND(U617="",AA617&lt;0),"Past 30-yr mark (verify)",IF(AND(U617="",AA617&lt;=Scoring!$B$5),"30-yr mark: notice window (est.)",IF(AND(O617&gt;=Scoring!$B$7,O617&lt;=Scoring!$B$8),"Year-15 window",IF(O617&gt;=Scoring!$B$9,"Recap window",IF(O617&gt;=11,"Late compliance","Credit period"))))))))))))</f>
        <v>Recap window</v>
      </c>
      <c r="E617" s="15" t="s">
        <v>2165</v>
      </c>
      <c r="F617" s="15" t="s">
        <v>2166</v>
      </c>
      <c r="G617" s="15" t="s">
        <v>2167</v>
      </c>
      <c r="H617" s="15" t="s">
        <v>2168</v>
      </c>
      <c r="I617" s="15" t="s">
        <v>2169</v>
      </c>
      <c r="J617" s="15" t="n">
        <v>24</v>
      </c>
      <c r="K617" s="15" t="n">
        <v>24</v>
      </c>
      <c r="L617" s="15" t="n">
        <f aca="false">IF(OR(J617="",K617=""),"",MAX(J617-K617,0))</f>
        <v>0</v>
      </c>
      <c r="M617" s="15" t="s">
        <v>99</v>
      </c>
      <c r="N617" s="17" t="n">
        <v>2008</v>
      </c>
      <c r="O617" s="15" t="n">
        <f aca="false">IF(N617="","",Scoring!$B$4-N617)</f>
        <v>18</v>
      </c>
      <c r="P617" s="15" t="n">
        <f aca="false">IF(N617="","",N617+14)</f>
        <v>2022</v>
      </c>
      <c r="Q617" s="15" t="n">
        <f aca="false">IF(N617="","",IF(N617&lt;Scoring!$B$12,"n/a (pre-1990)",N617+Scoring!$B$13))</f>
        <v>2037</v>
      </c>
      <c r="R617" s="15" t="str">
        <f aca="false">IF(J617="","Unknown",IF(J617&gt;=5,"Yes","No (under 5 units)"))</f>
        <v>Yes</v>
      </c>
      <c r="S617" s="15"/>
      <c r="T617" s="18"/>
      <c r="U617" s="19"/>
      <c r="V617" s="18"/>
      <c r="W617" s="18"/>
      <c r="X617" s="20"/>
      <c r="Y617" s="18"/>
      <c r="Z617" s="18"/>
      <c r="AA617" s="21" t="n">
        <f aca="false">IF(U617&lt;&gt;"",(U617-Scoring!$B$3)/365.25,IF(N617="","",IF(N617&lt;Scoring!$B$12,"",(DATE(N617+Scoring!$B$13,12,31)-Scoring!$B$3)/365.25)))</f>
        <v>11.2470910335387</v>
      </c>
      <c r="AB617" s="22" t="n">
        <f aca="false">IF(T617="Y",0,IF(OR(D617="Expired (verified)",D617="Expiring: notice window (verified)",D617="Expiring: 10-yr horizon (verified)",D617="Past 30-yr mark (verify)",D617="30-yr mark: notice window (est.)",D617="Year-15 window"),1,0)+IF(ISNUMBER(O617),IF(O617&gt;=Scoring!$B$10,1,0),0)+IF(AND(ISNUMBER(L617),ISNUMBER(J617)),IF(J617&gt;0,IF(L617/J617&gt;=Scoring!$B$11,1,0),0),0)+IF(ISNUMBER(Z617),MIN(Z617,3),0))</f>
        <v>0</v>
      </c>
      <c r="AC617" s="22" t="n">
        <f aca="false">IF(AB617&gt;=3,Scoring!$C$24,IF(AB617=2,Scoring!$C$23,IF(AB617=1,Scoring!$C$22,0)))</f>
        <v>0</v>
      </c>
      <c r="AD617" s="22" t="n">
        <f aca="false">IF(T617="Y",0,IF(ISNUMBER(X617),IF(X617&gt;0.7,Scoring!$C$25,IF(X617&gt;=0.5,Scoring!$C$26,IF(X617&gt;=0.3,Scoring!$C$27,Scoring!$C$28))),Scoring!$C$29))</f>
        <v>10</v>
      </c>
      <c r="AE617" s="22" t="n">
        <f aca="false">IF(D617="Expiring: notice window (verified)",Scoring!$C$30,IF(OR(D617="Expired (verified)",D617="30-yr mark: notice window (est.)",D617="Year-15 window"),Scoring!$C$31,IF(D617="Expiring: 10-yr horizon (verified)",Scoring!$C$32,IF(D617="Past 30-yr mark (verify)",Scoring!$C$33,IF(OR(D617="Credit period",D617="Superseded record"),Scoring!$C$35,Scoring!$C$34)))))</f>
        <v>4</v>
      </c>
      <c r="AF617" s="22" t="n">
        <f aca="false">IF(T617="Y",0,IF(ISNUMBER(V617),IF(Scoring!$B$4-V617&gt;15,Scoring!$C$36,IF(Scoring!$B$4-V617&gt;=10,Scoring!$C$37,IF(Scoring!$B$4-V617&gt;=5,Scoring!$C$38,Scoring!$C$39))),IF(OR(N617="",D617="Out of program"),Scoring!$C$40,IF(O617&gt;15,Scoring!$C$36,IF(O617&gt;=10,Scoring!$C$37,IF(O617&gt;=5,Scoring!$C$38,Scoring!$C$39))))))</f>
        <v>15</v>
      </c>
      <c r="AG617" s="22" t="n">
        <f aca="false">IF(T617="Y",0,IF(Y617="Y",Scoring!$C$41,IF(ISNUMBER(O617),IF(O617&gt;=25,Scoring!$C$42,IF(O617&gt;=15,Scoring!$C$43,Scoring!$C$44)),Scoring!$C$44)))</f>
        <v>5</v>
      </c>
      <c r="AH617" s="22" t="n">
        <f aca="false">IF(T617="Y",0,IF(W617="",Scoring!$C$49,IFERROR(VLOOKUP(W617,Scoring!$B$45:$C$48,2,FALSE()),Scoring!$C$49)))</f>
        <v>5</v>
      </c>
      <c r="AI617" s="23" t="n">
        <f aca="false">C617+IF(ISNUMBER(J617),J617,0)/100000+(10000-ROW())/1000000000</f>
        <v>39.000249383</v>
      </c>
      <c r="AJ617" s="18"/>
      <c r="AK617" s="18"/>
      <c r="AL617" s="18"/>
      <c r="AM617" s="18"/>
    </row>
    <row r="618" customFormat="false" ht="15" hidden="false" customHeight="false" outlineLevel="0" collapsed="false">
      <c r="A618" s="15" t="n">
        <f aca="false">RANK(AI618,$AI$2:$AI$755)</f>
        <v>617</v>
      </c>
      <c r="B618" s="16" t="str">
        <f aca="false">IF(T618="Y","Superseded",IF(C618&gt;=Scoring!$B$16,"Immediate",IF(C618&gt;=Scoring!$B$17,"This week",IF(C618&gt;=Scoring!$B$18,"Nurture","Low"))))</f>
        <v>Nurture</v>
      </c>
      <c r="C618" s="3" t="n">
        <f aca="false">SUM(AC618:AH618)</f>
        <v>39</v>
      </c>
      <c r="D618" s="15" t="str">
        <f aca="false">IF(T618="Y","Superseded record",IF(AND(U618&lt;&gt;"",AA618&lt;0),"Expired (verified)",IF(AND(U618&lt;&gt;"",AA618&lt;=Scoring!$B$5),"Expiring: notice window (verified)",IF(AND(U618&lt;&gt;"",AA618&lt;=Scoring!$B$6),"Expiring: 10-yr horizon (verified)",IF(M618="No Longer Monitored","Out of program",IF(N618="","Unknown vintage",IF(N618&lt;Scoring!$B$12,"Pre-1990, still listed",IF(AND(U618="",AA618&lt;0),"Past 30-yr mark (verify)",IF(AND(U618="",AA618&lt;=Scoring!$B$5),"30-yr mark: notice window (est.)",IF(AND(O618&gt;=Scoring!$B$7,O618&lt;=Scoring!$B$8),"Year-15 window",IF(O618&gt;=Scoring!$B$9,"Recap window",IF(O618&gt;=11,"Late compliance","Credit period"))))))))))))</f>
        <v>Recap window</v>
      </c>
      <c r="E618" s="15" t="s">
        <v>2170</v>
      </c>
      <c r="F618" s="15" t="s">
        <v>2171</v>
      </c>
      <c r="G618" s="15" t="s">
        <v>2172</v>
      </c>
      <c r="H618" s="15" t="s">
        <v>97</v>
      </c>
      <c r="I618" s="15" t="s">
        <v>1393</v>
      </c>
      <c r="J618" s="15" t="n">
        <v>20</v>
      </c>
      <c r="K618" s="15" t="n">
        <v>20</v>
      </c>
      <c r="L618" s="15" t="n">
        <f aca="false">IF(OR(J618="",K618=""),"",MAX(J618-K618,0))</f>
        <v>0</v>
      </c>
      <c r="M618" s="15" t="s">
        <v>99</v>
      </c>
      <c r="N618" s="17" t="n">
        <v>2007</v>
      </c>
      <c r="O618" s="15" t="n">
        <f aca="false">IF(N618="","",Scoring!$B$4-N618)</f>
        <v>19</v>
      </c>
      <c r="P618" s="15" t="n">
        <f aca="false">IF(N618="","",N618+14)</f>
        <v>2021</v>
      </c>
      <c r="Q618" s="15" t="n">
        <f aca="false">IF(N618="","",IF(N618&lt;Scoring!$B$12,"n/a (pre-1990)",N618+Scoring!$B$13))</f>
        <v>2036</v>
      </c>
      <c r="R618" s="15" t="str">
        <f aca="false">IF(J618="","Unknown",IF(J618&gt;=5,"Yes","No (under 5 units)"))</f>
        <v>Yes</v>
      </c>
      <c r="S618" s="15"/>
      <c r="T618" s="18"/>
      <c r="U618" s="19"/>
      <c r="V618" s="18"/>
      <c r="W618" s="18"/>
      <c r="X618" s="20"/>
      <c r="Y618" s="18"/>
      <c r="Z618" s="18"/>
      <c r="AA618" s="21" t="n">
        <f aca="false">IF(U618&lt;&gt;"",(U618-Scoring!$B$3)/365.25,IF(N618="","",IF(N618&lt;Scoring!$B$12,"",(DATE(N618+Scoring!$B$13,12,31)-Scoring!$B$3)/365.25)))</f>
        <v>10.2477754962355</v>
      </c>
      <c r="AB618" s="22" t="n">
        <f aca="false">IF(T618="Y",0,IF(OR(D618="Expired (verified)",D618="Expiring: notice window (verified)",D618="Expiring: 10-yr horizon (verified)",D618="Past 30-yr mark (verify)",D618="30-yr mark: notice window (est.)",D618="Year-15 window"),1,0)+IF(ISNUMBER(O618),IF(O618&gt;=Scoring!$B$10,1,0),0)+IF(AND(ISNUMBER(L618),ISNUMBER(J618)),IF(J618&gt;0,IF(L618/J618&gt;=Scoring!$B$11,1,0),0),0)+IF(ISNUMBER(Z618),MIN(Z618,3),0))</f>
        <v>0</v>
      </c>
      <c r="AC618" s="22" t="n">
        <f aca="false">IF(AB618&gt;=3,Scoring!$C$24,IF(AB618=2,Scoring!$C$23,IF(AB618=1,Scoring!$C$22,0)))</f>
        <v>0</v>
      </c>
      <c r="AD618" s="22" t="n">
        <f aca="false">IF(T618="Y",0,IF(ISNUMBER(X618),IF(X618&gt;0.7,Scoring!$C$25,IF(X618&gt;=0.5,Scoring!$C$26,IF(X618&gt;=0.3,Scoring!$C$27,Scoring!$C$28))),Scoring!$C$29))</f>
        <v>10</v>
      </c>
      <c r="AE618" s="22" t="n">
        <f aca="false">IF(D618="Expiring: notice window (verified)",Scoring!$C$30,IF(OR(D618="Expired (verified)",D618="30-yr mark: notice window (est.)",D618="Year-15 window"),Scoring!$C$31,IF(D618="Expiring: 10-yr horizon (verified)",Scoring!$C$32,IF(D618="Past 30-yr mark (verify)",Scoring!$C$33,IF(OR(D618="Credit period",D618="Superseded record"),Scoring!$C$35,Scoring!$C$34)))))</f>
        <v>4</v>
      </c>
      <c r="AF618" s="22" t="n">
        <f aca="false">IF(T618="Y",0,IF(ISNUMBER(V618),IF(Scoring!$B$4-V618&gt;15,Scoring!$C$36,IF(Scoring!$B$4-V618&gt;=10,Scoring!$C$37,IF(Scoring!$B$4-V618&gt;=5,Scoring!$C$38,Scoring!$C$39))),IF(OR(N618="",D618="Out of program"),Scoring!$C$40,IF(O618&gt;15,Scoring!$C$36,IF(O618&gt;=10,Scoring!$C$37,IF(O618&gt;=5,Scoring!$C$38,Scoring!$C$39))))))</f>
        <v>15</v>
      </c>
      <c r="AG618" s="22" t="n">
        <f aca="false">IF(T618="Y",0,IF(Y618="Y",Scoring!$C$41,IF(ISNUMBER(O618),IF(O618&gt;=25,Scoring!$C$42,IF(O618&gt;=15,Scoring!$C$43,Scoring!$C$44)),Scoring!$C$44)))</f>
        <v>5</v>
      </c>
      <c r="AH618" s="22" t="n">
        <f aca="false">IF(T618="Y",0,IF(W618="",Scoring!$C$49,IFERROR(VLOOKUP(W618,Scoring!$B$45:$C$48,2,FALSE()),Scoring!$C$49)))</f>
        <v>5</v>
      </c>
      <c r="AI618" s="23" t="n">
        <f aca="false">C618+IF(ISNUMBER(J618),J618,0)/100000+(10000-ROW())/1000000000</f>
        <v>39.000209382</v>
      </c>
      <c r="AJ618" s="18"/>
      <c r="AK618" s="18"/>
      <c r="AL618" s="18"/>
      <c r="AM618" s="18"/>
    </row>
    <row r="619" customFormat="false" ht="15" hidden="false" customHeight="false" outlineLevel="0" collapsed="false">
      <c r="A619" s="15" t="n">
        <f aca="false">RANK(AI619,$AI$2:$AI$755)</f>
        <v>618</v>
      </c>
      <c r="B619" s="16" t="str">
        <f aca="false">IF(T619="Y","Superseded",IF(C619&gt;=Scoring!$B$16,"Immediate",IF(C619&gt;=Scoring!$B$17,"This week",IF(C619&gt;=Scoring!$B$18,"Nurture","Low"))))</f>
        <v>Nurture</v>
      </c>
      <c r="C619" s="3" t="n">
        <f aca="false">SUM(AC619:AH619)</f>
        <v>39</v>
      </c>
      <c r="D619" s="15" t="str">
        <f aca="false">IF(T619="Y","Superseded record",IF(AND(U619&lt;&gt;"",AA619&lt;0),"Expired (verified)",IF(AND(U619&lt;&gt;"",AA619&lt;=Scoring!$B$5),"Expiring: notice window (verified)",IF(AND(U619&lt;&gt;"",AA619&lt;=Scoring!$B$6),"Expiring: 10-yr horizon (verified)",IF(M619="No Longer Monitored","Out of program",IF(N619="","Unknown vintage",IF(N619&lt;Scoring!$B$12,"Pre-1990, still listed",IF(AND(U619="",AA619&lt;0),"Past 30-yr mark (verify)",IF(AND(U619="",AA619&lt;=Scoring!$B$5),"30-yr mark: notice window (est.)",IF(AND(O619&gt;=Scoring!$B$7,O619&lt;=Scoring!$B$8),"Year-15 window",IF(O619&gt;=Scoring!$B$9,"Recap window",IF(O619&gt;=11,"Late compliance","Credit period"))))))))))))</f>
        <v>Recap window</v>
      </c>
      <c r="E619" s="15" t="s">
        <v>2173</v>
      </c>
      <c r="F619" s="15" t="s">
        <v>2174</v>
      </c>
      <c r="G619" s="15" t="s">
        <v>2175</v>
      </c>
      <c r="H619" s="15" t="s">
        <v>1818</v>
      </c>
      <c r="I619" s="15" t="s">
        <v>1819</v>
      </c>
      <c r="J619" s="15" t="n">
        <v>20</v>
      </c>
      <c r="K619" s="15" t="n">
        <v>20</v>
      </c>
      <c r="L619" s="15" t="n">
        <f aca="false">IF(OR(J619="",K619=""),"",MAX(J619-K619,0))</f>
        <v>0</v>
      </c>
      <c r="M619" s="15" t="s">
        <v>99</v>
      </c>
      <c r="N619" s="17" t="n">
        <v>2008</v>
      </c>
      <c r="O619" s="15" t="n">
        <f aca="false">IF(N619="","",Scoring!$B$4-N619)</f>
        <v>18</v>
      </c>
      <c r="P619" s="15" t="n">
        <f aca="false">IF(N619="","",N619+14)</f>
        <v>2022</v>
      </c>
      <c r="Q619" s="15" t="n">
        <f aca="false">IF(N619="","",IF(N619&lt;Scoring!$B$12,"n/a (pre-1990)",N619+Scoring!$B$13))</f>
        <v>2037</v>
      </c>
      <c r="R619" s="15" t="str">
        <f aca="false">IF(J619="","Unknown",IF(J619&gt;=5,"Yes","No (under 5 units)"))</f>
        <v>Yes</v>
      </c>
      <c r="S619" s="15"/>
      <c r="T619" s="18"/>
      <c r="U619" s="19"/>
      <c r="V619" s="18"/>
      <c r="W619" s="18"/>
      <c r="X619" s="20"/>
      <c r="Y619" s="18"/>
      <c r="Z619" s="18"/>
      <c r="AA619" s="21" t="n">
        <f aca="false">IF(U619&lt;&gt;"",(U619-Scoring!$B$3)/365.25,IF(N619="","",IF(N619&lt;Scoring!$B$12,"",(DATE(N619+Scoring!$B$13,12,31)-Scoring!$B$3)/365.25)))</f>
        <v>11.2470910335387</v>
      </c>
      <c r="AB619" s="22" t="n">
        <f aca="false">IF(T619="Y",0,IF(OR(D619="Expired (verified)",D619="Expiring: notice window (verified)",D619="Expiring: 10-yr horizon (verified)",D619="Past 30-yr mark (verify)",D619="30-yr mark: notice window (est.)",D619="Year-15 window"),1,0)+IF(ISNUMBER(O619),IF(O619&gt;=Scoring!$B$10,1,0),0)+IF(AND(ISNUMBER(L619),ISNUMBER(J619)),IF(J619&gt;0,IF(L619/J619&gt;=Scoring!$B$11,1,0),0),0)+IF(ISNUMBER(Z619),MIN(Z619,3),0))</f>
        <v>0</v>
      </c>
      <c r="AC619" s="22" t="n">
        <f aca="false">IF(AB619&gt;=3,Scoring!$C$24,IF(AB619=2,Scoring!$C$23,IF(AB619=1,Scoring!$C$22,0)))</f>
        <v>0</v>
      </c>
      <c r="AD619" s="22" t="n">
        <f aca="false">IF(T619="Y",0,IF(ISNUMBER(X619),IF(X619&gt;0.7,Scoring!$C$25,IF(X619&gt;=0.5,Scoring!$C$26,IF(X619&gt;=0.3,Scoring!$C$27,Scoring!$C$28))),Scoring!$C$29))</f>
        <v>10</v>
      </c>
      <c r="AE619" s="22" t="n">
        <f aca="false">IF(D619="Expiring: notice window (verified)",Scoring!$C$30,IF(OR(D619="Expired (verified)",D619="30-yr mark: notice window (est.)",D619="Year-15 window"),Scoring!$C$31,IF(D619="Expiring: 10-yr horizon (verified)",Scoring!$C$32,IF(D619="Past 30-yr mark (verify)",Scoring!$C$33,IF(OR(D619="Credit period",D619="Superseded record"),Scoring!$C$35,Scoring!$C$34)))))</f>
        <v>4</v>
      </c>
      <c r="AF619" s="22" t="n">
        <f aca="false">IF(T619="Y",0,IF(ISNUMBER(V619),IF(Scoring!$B$4-V619&gt;15,Scoring!$C$36,IF(Scoring!$B$4-V619&gt;=10,Scoring!$C$37,IF(Scoring!$B$4-V619&gt;=5,Scoring!$C$38,Scoring!$C$39))),IF(OR(N619="",D619="Out of program"),Scoring!$C$40,IF(O619&gt;15,Scoring!$C$36,IF(O619&gt;=10,Scoring!$C$37,IF(O619&gt;=5,Scoring!$C$38,Scoring!$C$39))))))</f>
        <v>15</v>
      </c>
      <c r="AG619" s="22" t="n">
        <f aca="false">IF(T619="Y",0,IF(Y619="Y",Scoring!$C$41,IF(ISNUMBER(O619),IF(O619&gt;=25,Scoring!$C$42,IF(O619&gt;=15,Scoring!$C$43,Scoring!$C$44)),Scoring!$C$44)))</f>
        <v>5</v>
      </c>
      <c r="AH619" s="22" t="n">
        <f aca="false">IF(T619="Y",0,IF(W619="",Scoring!$C$49,IFERROR(VLOOKUP(W619,Scoring!$B$45:$C$48,2,FALSE()),Scoring!$C$49)))</f>
        <v>5</v>
      </c>
      <c r="AI619" s="23" t="n">
        <f aca="false">C619+IF(ISNUMBER(J619),J619,0)/100000+(10000-ROW())/1000000000</f>
        <v>39.000209381</v>
      </c>
      <c r="AJ619" s="18"/>
      <c r="AK619" s="18"/>
      <c r="AL619" s="18"/>
      <c r="AM619" s="18"/>
    </row>
    <row r="620" customFormat="false" ht="15" hidden="false" customHeight="false" outlineLevel="0" collapsed="false">
      <c r="A620" s="15" t="n">
        <f aca="false">RANK(AI620,$AI$2:$AI$755)</f>
        <v>619</v>
      </c>
      <c r="B620" s="16" t="str">
        <f aca="false">IF(T620="Y","Superseded",IF(C620&gt;=Scoring!$B$16,"Immediate",IF(C620&gt;=Scoring!$B$17,"This week",IF(C620&gt;=Scoring!$B$18,"Nurture","Low"))))</f>
        <v>Nurture</v>
      </c>
      <c r="C620" s="3" t="n">
        <f aca="false">SUM(AC620:AH620)</f>
        <v>39</v>
      </c>
      <c r="D620" s="15" t="str">
        <f aca="false">IF(T620="Y","Superseded record",IF(AND(U620&lt;&gt;"",AA620&lt;0),"Expired (verified)",IF(AND(U620&lt;&gt;"",AA620&lt;=Scoring!$B$5),"Expiring: notice window (verified)",IF(AND(U620&lt;&gt;"",AA620&lt;=Scoring!$B$6),"Expiring: 10-yr horizon (verified)",IF(M620="No Longer Monitored","Out of program",IF(N620="","Unknown vintage",IF(N620&lt;Scoring!$B$12,"Pre-1990, still listed",IF(AND(U620="",AA620&lt;0),"Past 30-yr mark (verify)",IF(AND(U620="",AA620&lt;=Scoring!$B$5),"30-yr mark: notice window (est.)",IF(AND(O620&gt;=Scoring!$B$7,O620&lt;=Scoring!$B$8),"Year-15 window",IF(O620&gt;=Scoring!$B$9,"Recap window",IF(O620&gt;=11,"Late compliance","Credit period"))))))))))))</f>
        <v>Recap window</v>
      </c>
      <c r="E620" s="15" t="s">
        <v>2176</v>
      </c>
      <c r="F620" s="15" t="s">
        <v>2177</v>
      </c>
      <c r="G620" s="15" t="s">
        <v>2178</v>
      </c>
      <c r="H620" s="15" t="s">
        <v>319</v>
      </c>
      <c r="I620" s="15" t="s">
        <v>320</v>
      </c>
      <c r="J620" s="15" t="n">
        <v>18</v>
      </c>
      <c r="K620" s="15" t="n">
        <v>18</v>
      </c>
      <c r="L620" s="15" t="n">
        <f aca="false">IF(OR(J620="",K620=""),"",MAX(J620-K620,0))</f>
        <v>0</v>
      </c>
      <c r="M620" s="15" t="s">
        <v>99</v>
      </c>
      <c r="N620" s="17" t="n">
        <v>2007</v>
      </c>
      <c r="O620" s="15" t="n">
        <f aca="false">IF(N620="","",Scoring!$B$4-N620)</f>
        <v>19</v>
      </c>
      <c r="P620" s="15" t="n">
        <f aca="false">IF(N620="","",N620+14)</f>
        <v>2021</v>
      </c>
      <c r="Q620" s="15" t="n">
        <f aca="false">IF(N620="","",IF(N620&lt;Scoring!$B$12,"n/a (pre-1990)",N620+Scoring!$B$13))</f>
        <v>2036</v>
      </c>
      <c r="R620" s="15" t="str">
        <f aca="false">IF(J620="","Unknown",IF(J620&gt;=5,"Yes","No (under 5 units)"))</f>
        <v>Yes</v>
      </c>
      <c r="S620" s="15"/>
      <c r="T620" s="18"/>
      <c r="U620" s="19"/>
      <c r="V620" s="18"/>
      <c r="W620" s="18"/>
      <c r="X620" s="20"/>
      <c r="Y620" s="18"/>
      <c r="Z620" s="18"/>
      <c r="AA620" s="21" t="n">
        <f aca="false">IF(U620&lt;&gt;"",(U620-Scoring!$B$3)/365.25,IF(N620="","",IF(N620&lt;Scoring!$B$12,"",(DATE(N620+Scoring!$B$13,12,31)-Scoring!$B$3)/365.25)))</f>
        <v>10.2477754962355</v>
      </c>
      <c r="AB620" s="22" t="n">
        <f aca="false">IF(T620="Y",0,IF(OR(D620="Expired (verified)",D620="Expiring: notice window (verified)",D620="Expiring: 10-yr horizon (verified)",D620="Past 30-yr mark (verify)",D620="30-yr mark: notice window (est.)",D620="Year-15 window"),1,0)+IF(ISNUMBER(O620),IF(O620&gt;=Scoring!$B$10,1,0),0)+IF(AND(ISNUMBER(L620),ISNUMBER(J620)),IF(J620&gt;0,IF(L620/J620&gt;=Scoring!$B$11,1,0),0),0)+IF(ISNUMBER(Z620),MIN(Z620,3),0))</f>
        <v>0</v>
      </c>
      <c r="AC620" s="22" t="n">
        <f aca="false">IF(AB620&gt;=3,Scoring!$C$24,IF(AB620=2,Scoring!$C$23,IF(AB620=1,Scoring!$C$22,0)))</f>
        <v>0</v>
      </c>
      <c r="AD620" s="22" t="n">
        <f aca="false">IF(T620="Y",0,IF(ISNUMBER(X620),IF(X620&gt;0.7,Scoring!$C$25,IF(X620&gt;=0.5,Scoring!$C$26,IF(X620&gt;=0.3,Scoring!$C$27,Scoring!$C$28))),Scoring!$C$29))</f>
        <v>10</v>
      </c>
      <c r="AE620" s="22" t="n">
        <f aca="false">IF(D620="Expiring: notice window (verified)",Scoring!$C$30,IF(OR(D620="Expired (verified)",D620="30-yr mark: notice window (est.)",D620="Year-15 window"),Scoring!$C$31,IF(D620="Expiring: 10-yr horizon (verified)",Scoring!$C$32,IF(D620="Past 30-yr mark (verify)",Scoring!$C$33,IF(OR(D620="Credit period",D620="Superseded record"),Scoring!$C$35,Scoring!$C$34)))))</f>
        <v>4</v>
      </c>
      <c r="AF620" s="22" t="n">
        <f aca="false">IF(T620="Y",0,IF(ISNUMBER(V620),IF(Scoring!$B$4-V620&gt;15,Scoring!$C$36,IF(Scoring!$B$4-V620&gt;=10,Scoring!$C$37,IF(Scoring!$B$4-V620&gt;=5,Scoring!$C$38,Scoring!$C$39))),IF(OR(N620="",D620="Out of program"),Scoring!$C$40,IF(O620&gt;15,Scoring!$C$36,IF(O620&gt;=10,Scoring!$C$37,IF(O620&gt;=5,Scoring!$C$38,Scoring!$C$39))))))</f>
        <v>15</v>
      </c>
      <c r="AG620" s="22" t="n">
        <f aca="false">IF(T620="Y",0,IF(Y620="Y",Scoring!$C$41,IF(ISNUMBER(O620),IF(O620&gt;=25,Scoring!$C$42,IF(O620&gt;=15,Scoring!$C$43,Scoring!$C$44)),Scoring!$C$44)))</f>
        <v>5</v>
      </c>
      <c r="AH620" s="22" t="n">
        <f aca="false">IF(T620="Y",0,IF(W620="",Scoring!$C$49,IFERROR(VLOOKUP(W620,Scoring!$B$45:$C$48,2,FALSE()),Scoring!$C$49)))</f>
        <v>5</v>
      </c>
      <c r="AI620" s="23" t="n">
        <f aca="false">C620+IF(ISNUMBER(J620),J620,0)/100000+(10000-ROW())/1000000000</f>
        <v>39.00018938</v>
      </c>
      <c r="AJ620" s="18"/>
      <c r="AK620" s="18"/>
      <c r="AL620" s="18"/>
      <c r="AM620" s="18"/>
    </row>
    <row r="621" customFormat="false" ht="15" hidden="false" customHeight="false" outlineLevel="0" collapsed="false">
      <c r="A621" s="15" t="n">
        <f aca="false">RANK(AI621,$AI$2:$AI$755)</f>
        <v>620</v>
      </c>
      <c r="B621" s="16" t="str">
        <f aca="false">IF(T621="Y","Superseded",IF(C621&gt;=Scoring!$B$16,"Immediate",IF(C621&gt;=Scoring!$B$17,"This week",IF(C621&gt;=Scoring!$B$18,"Nurture","Low"))))</f>
        <v>Nurture</v>
      </c>
      <c r="C621" s="3" t="n">
        <f aca="false">SUM(AC621:AH621)</f>
        <v>39</v>
      </c>
      <c r="D621" s="15" t="str">
        <f aca="false">IF(T621="Y","Superseded record",IF(AND(U621&lt;&gt;"",AA621&lt;0),"Expired (verified)",IF(AND(U621&lt;&gt;"",AA621&lt;=Scoring!$B$5),"Expiring: notice window (verified)",IF(AND(U621&lt;&gt;"",AA621&lt;=Scoring!$B$6),"Expiring: 10-yr horizon (verified)",IF(M621="No Longer Monitored","Out of program",IF(N621="","Unknown vintage",IF(N621&lt;Scoring!$B$12,"Pre-1990, still listed",IF(AND(U621="",AA621&lt;0),"Past 30-yr mark (verify)",IF(AND(U621="",AA621&lt;=Scoring!$B$5),"30-yr mark: notice window (est.)",IF(AND(O621&gt;=Scoring!$B$7,O621&lt;=Scoring!$B$8),"Year-15 window",IF(O621&gt;=Scoring!$B$9,"Recap window",IF(O621&gt;=11,"Late compliance","Credit period"))))))))))))</f>
        <v>Recap window</v>
      </c>
      <c r="E621" s="15" t="s">
        <v>2179</v>
      </c>
      <c r="F621" s="15" t="s">
        <v>2180</v>
      </c>
      <c r="G621" s="15" t="s">
        <v>2181</v>
      </c>
      <c r="H621" s="15" t="s">
        <v>97</v>
      </c>
      <c r="I621" s="15" t="s">
        <v>929</v>
      </c>
      <c r="J621" s="15" t="n">
        <v>16</v>
      </c>
      <c r="K621" s="15" t="n">
        <v>15</v>
      </c>
      <c r="L621" s="15" t="n">
        <f aca="false">IF(OR(J621="",K621=""),"",MAX(J621-K621,0))</f>
        <v>1</v>
      </c>
      <c r="M621" s="15" t="s">
        <v>99</v>
      </c>
      <c r="N621" s="17" t="n">
        <v>2007</v>
      </c>
      <c r="O621" s="15" t="n">
        <f aca="false">IF(N621="","",Scoring!$B$4-N621)</f>
        <v>19</v>
      </c>
      <c r="P621" s="15" t="n">
        <f aca="false">IF(N621="","",N621+14)</f>
        <v>2021</v>
      </c>
      <c r="Q621" s="15" t="n">
        <f aca="false">IF(N621="","",IF(N621&lt;Scoring!$B$12,"n/a (pre-1990)",N621+Scoring!$B$13))</f>
        <v>2036</v>
      </c>
      <c r="R621" s="15" t="str">
        <f aca="false">IF(J621="","Unknown",IF(J621&gt;=5,"Yes","No (under 5 units)"))</f>
        <v>Yes</v>
      </c>
      <c r="S621" s="15"/>
      <c r="T621" s="18"/>
      <c r="U621" s="19"/>
      <c r="V621" s="18"/>
      <c r="W621" s="18"/>
      <c r="X621" s="20"/>
      <c r="Y621" s="18"/>
      <c r="Z621" s="18"/>
      <c r="AA621" s="21" t="n">
        <f aca="false">IF(U621&lt;&gt;"",(U621-Scoring!$B$3)/365.25,IF(N621="","",IF(N621&lt;Scoring!$B$12,"",(DATE(N621+Scoring!$B$13,12,31)-Scoring!$B$3)/365.25)))</f>
        <v>10.2477754962355</v>
      </c>
      <c r="AB621" s="22" t="n">
        <f aca="false">IF(T621="Y",0,IF(OR(D621="Expired (verified)",D621="Expiring: notice window (verified)",D621="Expiring: 10-yr horizon (verified)",D621="Past 30-yr mark (verify)",D621="30-yr mark: notice window (est.)",D621="Year-15 window"),1,0)+IF(ISNUMBER(O621),IF(O621&gt;=Scoring!$B$10,1,0),0)+IF(AND(ISNUMBER(L621),ISNUMBER(J621)),IF(J621&gt;0,IF(L621/J621&gt;=Scoring!$B$11,1,0),0),0)+IF(ISNUMBER(Z621),MIN(Z621,3),0))</f>
        <v>0</v>
      </c>
      <c r="AC621" s="22" t="n">
        <f aca="false">IF(AB621&gt;=3,Scoring!$C$24,IF(AB621=2,Scoring!$C$23,IF(AB621=1,Scoring!$C$22,0)))</f>
        <v>0</v>
      </c>
      <c r="AD621" s="22" t="n">
        <f aca="false">IF(T621="Y",0,IF(ISNUMBER(X621),IF(X621&gt;0.7,Scoring!$C$25,IF(X621&gt;=0.5,Scoring!$C$26,IF(X621&gt;=0.3,Scoring!$C$27,Scoring!$C$28))),Scoring!$C$29))</f>
        <v>10</v>
      </c>
      <c r="AE621" s="22" t="n">
        <f aca="false">IF(D621="Expiring: notice window (verified)",Scoring!$C$30,IF(OR(D621="Expired (verified)",D621="30-yr mark: notice window (est.)",D621="Year-15 window"),Scoring!$C$31,IF(D621="Expiring: 10-yr horizon (verified)",Scoring!$C$32,IF(D621="Past 30-yr mark (verify)",Scoring!$C$33,IF(OR(D621="Credit period",D621="Superseded record"),Scoring!$C$35,Scoring!$C$34)))))</f>
        <v>4</v>
      </c>
      <c r="AF621" s="22" t="n">
        <f aca="false">IF(T621="Y",0,IF(ISNUMBER(V621),IF(Scoring!$B$4-V621&gt;15,Scoring!$C$36,IF(Scoring!$B$4-V621&gt;=10,Scoring!$C$37,IF(Scoring!$B$4-V621&gt;=5,Scoring!$C$38,Scoring!$C$39))),IF(OR(N621="",D621="Out of program"),Scoring!$C$40,IF(O621&gt;15,Scoring!$C$36,IF(O621&gt;=10,Scoring!$C$37,IF(O621&gt;=5,Scoring!$C$38,Scoring!$C$39))))))</f>
        <v>15</v>
      </c>
      <c r="AG621" s="22" t="n">
        <f aca="false">IF(T621="Y",0,IF(Y621="Y",Scoring!$C$41,IF(ISNUMBER(O621),IF(O621&gt;=25,Scoring!$C$42,IF(O621&gt;=15,Scoring!$C$43,Scoring!$C$44)),Scoring!$C$44)))</f>
        <v>5</v>
      </c>
      <c r="AH621" s="22" t="n">
        <f aca="false">IF(T621="Y",0,IF(W621="",Scoring!$C$49,IFERROR(VLOOKUP(W621,Scoring!$B$45:$C$48,2,FALSE()),Scoring!$C$49)))</f>
        <v>5</v>
      </c>
      <c r="AI621" s="23" t="n">
        <f aca="false">C621+IF(ISNUMBER(J621),J621,0)/100000+(10000-ROW())/1000000000</f>
        <v>39.000169379</v>
      </c>
      <c r="AJ621" s="18"/>
      <c r="AK621" s="18"/>
      <c r="AL621" s="18"/>
      <c r="AM621" s="18"/>
    </row>
    <row r="622" customFormat="false" ht="15" hidden="false" customHeight="false" outlineLevel="0" collapsed="false">
      <c r="A622" s="15" t="n">
        <f aca="false">RANK(AI622,$AI$2:$AI$755)</f>
        <v>621</v>
      </c>
      <c r="B622" s="16" t="str">
        <f aca="false">IF(T622="Y","Superseded",IF(C622&gt;=Scoring!$B$16,"Immediate",IF(C622&gt;=Scoring!$B$17,"This week",IF(C622&gt;=Scoring!$B$18,"Nurture","Low"))))</f>
        <v>Nurture</v>
      </c>
      <c r="C622" s="3" t="n">
        <f aca="false">SUM(AC622:AH622)</f>
        <v>39</v>
      </c>
      <c r="D622" s="15" t="str">
        <f aca="false">IF(T622="Y","Superseded record",IF(AND(U622&lt;&gt;"",AA622&lt;0),"Expired (verified)",IF(AND(U622&lt;&gt;"",AA622&lt;=Scoring!$B$5),"Expiring: notice window (verified)",IF(AND(U622&lt;&gt;"",AA622&lt;=Scoring!$B$6),"Expiring: 10-yr horizon (verified)",IF(M622="No Longer Monitored","Out of program",IF(N622="","Unknown vintage",IF(N622&lt;Scoring!$B$12,"Pre-1990, still listed",IF(AND(U622="",AA622&lt;0),"Past 30-yr mark (verify)",IF(AND(U622="",AA622&lt;=Scoring!$B$5),"30-yr mark: notice window (est.)",IF(AND(O622&gt;=Scoring!$B$7,O622&lt;=Scoring!$B$8),"Year-15 window",IF(O622&gt;=Scoring!$B$9,"Recap window",IF(O622&gt;=11,"Late compliance","Credit period"))))))))))))</f>
        <v>Recap window</v>
      </c>
      <c r="E622" s="15" t="s">
        <v>2182</v>
      </c>
      <c r="F622" s="15" t="s">
        <v>2183</v>
      </c>
      <c r="G622" s="15" t="s">
        <v>2184</v>
      </c>
      <c r="H622" s="15" t="s">
        <v>97</v>
      </c>
      <c r="I622" s="15" t="s">
        <v>103</v>
      </c>
      <c r="J622" s="15" t="n">
        <v>16</v>
      </c>
      <c r="K622" s="15" t="n">
        <v>16</v>
      </c>
      <c r="L622" s="15" t="n">
        <f aca="false">IF(OR(J622="",K622=""),"",MAX(J622-K622,0))</f>
        <v>0</v>
      </c>
      <c r="M622" s="15" t="s">
        <v>99</v>
      </c>
      <c r="N622" s="17" t="n">
        <v>2007</v>
      </c>
      <c r="O622" s="15" t="n">
        <f aca="false">IF(N622="","",Scoring!$B$4-N622)</f>
        <v>19</v>
      </c>
      <c r="P622" s="15" t="n">
        <f aca="false">IF(N622="","",N622+14)</f>
        <v>2021</v>
      </c>
      <c r="Q622" s="15" t="n">
        <f aca="false">IF(N622="","",IF(N622&lt;Scoring!$B$12,"n/a (pre-1990)",N622+Scoring!$B$13))</f>
        <v>2036</v>
      </c>
      <c r="R622" s="15" t="str">
        <f aca="false">IF(J622="","Unknown",IF(J622&gt;=5,"Yes","No (under 5 units)"))</f>
        <v>Yes</v>
      </c>
      <c r="S622" s="15"/>
      <c r="T622" s="18"/>
      <c r="U622" s="19"/>
      <c r="V622" s="18"/>
      <c r="W622" s="18"/>
      <c r="X622" s="20"/>
      <c r="Y622" s="18"/>
      <c r="Z622" s="18"/>
      <c r="AA622" s="21" t="n">
        <f aca="false">IF(U622&lt;&gt;"",(U622-Scoring!$B$3)/365.25,IF(N622="","",IF(N622&lt;Scoring!$B$12,"",(DATE(N622+Scoring!$B$13,12,31)-Scoring!$B$3)/365.25)))</f>
        <v>10.2477754962355</v>
      </c>
      <c r="AB622" s="22" t="n">
        <f aca="false">IF(T622="Y",0,IF(OR(D622="Expired (verified)",D622="Expiring: notice window (verified)",D622="Expiring: 10-yr horizon (verified)",D622="Past 30-yr mark (verify)",D622="30-yr mark: notice window (est.)",D622="Year-15 window"),1,0)+IF(ISNUMBER(O622),IF(O622&gt;=Scoring!$B$10,1,0),0)+IF(AND(ISNUMBER(L622),ISNUMBER(J622)),IF(J622&gt;0,IF(L622/J622&gt;=Scoring!$B$11,1,0),0),0)+IF(ISNUMBER(Z622),MIN(Z622,3),0))</f>
        <v>0</v>
      </c>
      <c r="AC622" s="22" t="n">
        <f aca="false">IF(AB622&gt;=3,Scoring!$C$24,IF(AB622=2,Scoring!$C$23,IF(AB622=1,Scoring!$C$22,0)))</f>
        <v>0</v>
      </c>
      <c r="AD622" s="22" t="n">
        <f aca="false">IF(T622="Y",0,IF(ISNUMBER(X622),IF(X622&gt;0.7,Scoring!$C$25,IF(X622&gt;=0.5,Scoring!$C$26,IF(X622&gt;=0.3,Scoring!$C$27,Scoring!$C$28))),Scoring!$C$29))</f>
        <v>10</v>
      </c>
      <c r="AE622" s="22" t="n">
        <f aca="false">IF(D622="Expiring: notice window (verified)",Scoring!$C$30,IF(OR(D622="Expired (verified)",D622="30-yr mark: notice window (est.)",D622="Year-15 window"),Scoring!$C$31,IF(D622="Expiring: 10-yr horizon (verified)",Scoring!$C$32,IF(D622="Past 30-yr mark (verify)",Scoring!$C$33,IF(OR(D622="Credit period",D622="Superseded record"),Scoring!$C$35,Scoring!$C$34)))))</f>
        <v>4</v>
      </c>
      <c r="AF622" s="22" t="n">
        <f aca="false">IF(T622="Y",0,IF(ISNUMBER(V622),IF(Scoring!$B$4-V622&gt;15,Scoring!$C$36,IF(Scoring!$B$4-V622&gt;=10,Scoring!$C$37,IF(Scoring!$B$4-V622&gt;=5,Scoring!$C$38,Scoring!$C$39))),IF(OR(N622="",D622="Out of program"),Scoring!$C$40,IF(O622&gt;15,Scoring!$C$36,IF(O622&gt;=10,Scoring!$C$37,IF(O622&gt;=5,Scoring!$C$38,Scoring!$C$39))))))</f>
        <v>15</v>
      </c>
      <c r="AG622" s="22" t="n">
        <f aca="false">IF(T622="Y",0,IF(Y622="Y",Scoring!$C$41,IF(ISNUMBER(O622),IF(O622&gt;=25,Scoring!$C$42,IF(O622&gt;=15,Scoring!$C$43,Scoring!$C$44)),Scoring!$C$44)))</f>
        <v>5</v>
      </c>
      <c r="AH622" s="22" t="n">
        <f aca="false">IF(T622="Y",0,IF(W622="",Scoring!$C$49,IFERROR(VLOOKUP(W622,Scoring!$B$45:$C$48,2,FALSE()),Scoring!$C$49)))</f>
        <v>5</v>
      </c>
      <c r="AI622" s="23" t="n">
        <f aca="false">C622+IF(ISNUMBER(J622),J622,0)/100000+(10000-ROW())/1000000000</f>
        <v>39.000169378</v>
      </c>
      <c r="AJ622" s="18"/>
      <c r="AK622" s="18"/>
      <c r="AL622" s="18"/>
      <c r="AM622" s="18"/>
    </row>
    <row r="623" customFormat="false" ht="15" hidden="false" customHeight="false" outlineLevel="0" collapsed="false">
      <c r="A623" s="15" t="n">
        <f aca="false">RANK(AI623,$AI$2:$AI$755)</f>
        <v>622</v>
      </c>
      <c r="B623" s="16" t="str">
        <f aca="false">IF(T623="Y","Superseded",IF(C623&gt;=Scoring!$B$16,"Immediate",IF(C623&gt;=Scoring!$B$17,"This week",IF(C623&gt;=Scoring!$B$18,"Nurture","Low"))))</f>
        <v>Nurture</v>
      </c>
      <c r="C623" s="3" t="n">
        <f aca="false">SUM(AC623:AH623)</f>
        <v>39</v>
      </c>
      <c r="D623" s="15" t="str">
        <f aca="false">IF(T623="Y","Superseded record",IF(AND(U623&lt;&gt;"",AA623&lt;0),"Expired (verified)",IF(AND(U623&lt;&gt;"",AA623&lt;=Scoring!$B$5),"Expiring: notice window (verified)",IF(AND(U623&lt;&gt;"",AA623&lt;=Scoring!$B$6),"Expiring: 10-yr horizon (verified)",IF(M623="No Longer Monitored","Out of program",IF(N623="","Unknown vintage",IF(N623&lt;Scoring!$B$12,"Pre-1990, still listed",IF(AND(U623="",AA623&lt;0),"Past 30-yr mark (verify)",IF(AND(U623="",AA623&lt;=Scoring!$B$5),"30-yr mark: notice window (est.)",IF(AND(O623&gt;=Scoring!$B$7,O623&lt;=Scoring!$B$8),"Year-15 window",IF(O623&gt;=Scoring!$B$9,"Recap window",IF(O623&gt;=11,"Late compliance","Credit period"))))))))))))</f>
        <v>Recap window</v>
      </c>
      <c r="E623" s="15" t="s">
        <v>2185</v>
      </c>
      <c r="F623" s="15" t="s">
        <v>2186</v>
      </c>
      <c r="G623" s="15" t="s">
        <v>2187</v>
      </c>
      <c r="H623" s="15" t="s">
        <v>97</v>
      </c>
      <c r="I623" s="15" t="s">
        <v>103</v>
      </c>
      <c r="J623" s="15" t="n">
        <v>16</v>
      </c>
      <c r="K623" s="15" t="n">
        <v>16</v>
      </c>
      <c r="L623" s="15" t="n">
        <f aca="false">IF(OR(J623="",K623=""),"",MAX(J623-K623,0))</f>
        <v>0</v>
      </c>
      <c r="M623" s="15" t="s">
        <v>99</v>
      </c>
      <c r="N623" s="17" t="n">
        <v>2007</v>
      </c>
      <c r="O623" s="15" t="n">
        <f aca="false">IF(N623="","",Scoring!$B$4-N623)</f>
        <v>19</v>
      </c>
      <c r="P623" s="15" t="n">
        <f aca="false">IF(N623="","",N623+14)</f>
        <v>2021</v>
      </c>
      <c r="Q623" s="15" t="n">
        <f aca="false">IF(N623="","",IF(N623&lt;Scoring!$B$12,"n/a (pre-1990)",N623+Scoring!$B$13))</f>
        <v>2036</v>
      </c>
      <c r="R623" s="15" t="str">
        <f aca="false">IF(J623="","Unknown",IF(J623&gt;=5,"Yes","No (under 5 units)"))</f>
        <v>Yes</v>
      </c>
      <c r="S623" s="15"/>
      <c r="T623" s="18"/>
      <c r="U623" s="19"/>
      <c r="V623" s="18"/>
      <c r="W623" s="18"/>
      <c r="X623" s="20"/>
      <c r="Y623" s="18"/>
      <c r="Z623" s="18"/>
      <c r="AA623" s="21" t="n">
        <f aca="false">IF(U623&lt;&gt;"",(U623-Scoring!$B$3)/365.25,IF(N623="","",IF(N623&lt;Scoring!$B$12,"",(DATE(N623+Scoring!$B$13,12,31)-Scoring!$B$3)/365.25)))</f>
        <v>10.2477754962355</v>
      </c>
      <c r="AB623" s="22" t="n">
        <f aca="false">IF(T623="Y",0,IF(OR(D623="Expired (verified)",D623="Expiring: notice window (verified)",D623="Expiring: 10-yr horizon (verified)",D623="Past 30-yr mark (verify)",D623="30-yr mark: notice window (est.)",D623="Year-15 window"),1,0)+IF(ISNUMBER(O623),IF(O623&gt;=Scoring!$B$10,1,0),0)+IF(AND(ISNUMBER(L623),ISNUMBER(J623)),IF(J623&gt;0,IF(L623/J623&gt;=Scoring!$B$11,1,0),0),0)+IF(ISNUMBER(Z623),MIN(Z623,3),0))</f>
        <v>0</v>
      </c>
      <c r="AC623" s="22" t="n">
        <f aca="false">IF(AB623&gt;=3,Scoring!$C$24,IF(AB623=2,Scoring!$C$23,IF(AB623=1,Scoring!$C$22,0)))</f>
        <v>0</v>
      </c>
      <c r="AD623" s="22" t="n">
        <f aca="false">IF(T623="Y",0,IF(ISNUMBER(X623),IF(X623&gt;0.7,Scoring!$C$25,IF(X623&gt;=0.5,Scoring!$C$26,IF(X623&gt;=0.3,Scoring!$C$27,Scoring!$C$28))),Scoring!$C$29))</f>
        <v>10</v>
      </c>
      <c r="AE623" s="22" t="n">
        <f aca="false">IF(D623="Expiring: notice window (verified)",Scoring!$C$30,IF(OR(D623="Expired (verified)",D623="30-yr mark: notice window (est.)",D623="Year-15 window"),Scoring!$C$31,IF(D623="Expiring: 10-yr horizon (verified)",Scoring!$C$32,IF(D623="Past 30-yr mark (verify)",Scoring!$C$33,IF(OR(D623="Credit period",D623="Superseded record"),Scoring!$C$35,Scoring!$C$34)))))</f>
        <v>4</v>
      </c>
      <c r="AF623" s="22" t="n">
        <f aca="false">IF(T623="Y",0,IF(ISNUMBER(V623),IF(Scoring!$B$4-V623&gt;15,Scoring!$C$36,IF(Scoring!$B$4-V623&gt;=10,Scoring!$C$37,IF(Scoring!$B$4-V623&gt;=5,Scoring!$C$38,Scoring!$C$39))),IF(OR(N623="",D623="Out of program"),Scoring!$C$40,IF(O623&gt;15,Scoring!$C$36,IF(O623&gt;=10,Scoring!$C$37,IF(O623&gt;=5,Scoring!$C$38,Scoring!$C$39))))))</f>
        <v>15</v>
      </c>
      <c r="AG623" s="22" t="n">
        <f aca="false">IF(T623="Y",0,IF(Y623="Y",Scoring!$C$41,IF(ISNUMBER(O623),IF(O623&gt;=25,Scoring!$C$42,IF(O623&gt;=15,Scoring!$C$43,Scoring!$C$44)),Scoring!$C$44)))</f>
        <v>5</v>
      </c>
      <c r="AH623" s="22" t="n">
        <f aca="false">IF(T623="Y",0,IF(W623="",Scoring!$C$49,IFERROR(VLOOKUP(W623,Scoring!$B$45:$C$48,2,FALSE()),Scoring!$C$49)))</f>
        <v>5</v>
      </c>
      <c r="AI623" s="23" t="n">
        <f aca="false">C623+IF(ISNUMBER(J623),J623,0)/100000+(10000-ROW())/1000000000</f>
        <v>39.000169377</v>
      </c>
      <c r="AJ623" s="18"/>
      <c r="AK623" s="18"/>
      <c r="AL623" s="18"/>
      <c r="AM623" s="18"/>
    </row>
    <row r="624" customFormat="false" ht="15" hidden="false" customHeight="false" outlineLevel="0" collapsed="false">
      <c r="A624" s="15" t="n">
        <f aca="false">RANK(AI624,$AI$2:$AI$755)</f>
        <v>623</v>
      </c>
      <c r="B624" s="16" t="str">
        <f aca="false">IF(T624="Y","Superseded",IF(C624&gt;=Scoring!$B$16,"Immediate",IF(C624&gt;=Scoring!$B$17,"This week",IF(C624&gt;=Scoring!$B$18,"Nurture","Low"))))</f>
        <v>Nurture</v>
      </c>
      <c r="C624" s="3" t="n">
        <f aca="false">SUM(AC624:AH624)</f>
        <v>39</v>
      </c>
      <c r="D624" s="15" t="str">
        <f aca="false">IF(T624="Y","Superseded record",IF(AND(U624&lt;&gt;"",AA624&lt;0),"Expired (verified)",IF(AND(U624&lt;&gt;"",AA624&lt;=Scoring!$B$5),"Expiring: notice window (verified)",IF(AND(U624&lt;&gt;"",AA624&lt;=Scoring!$B$6),"Expiring: 10-yr horizon (verified)",IF(M624="No Longer Monitored","Out of program",IF(N624="","Unknown vintage",IF(N624&lt;Scoring!$B$12,"Pre-1990, still listed",IF(AND(U624="",AA624&lt;0),"Past 30-yr mark (verify)",IF(AND(U624="",AA624&lt;=Scoring!$B$5),"30-yr mark: notice window (est.)",IF(AND(O624&gt;=Scoring!$B$7,O624&lt;=Scoring!$B$8),"Year-15 window",IF(O624&gt;=Scoring!$B$9,"Recap window",IF(O624&gt;=11,"Late compliance","Credit period"))))))))))))</f>
        <v>Recap window</v>
      </c>
      <c r="E624" s="15" t="s">
        <v>2188</v>
      </c>
      <c r="F624" s="15" t="s">
        <v>2189</v>
      </c>
      <c r="G624" s="15" t="s">
        <v>2190</v>
      </c>
      <c r="H624" s="15" t="s">
        <v>1818</v>
      </c>
      <c r="I624" s="15" t="s">
        <v>1819</v>
      </c>
      <c r="J624" s="15" t="n">
        <v>16</v>
      </c>
      <c r="K624" s="15" t="n">
        <v>16</v>
      </c>
      <c r="L624" s="15" t="n">
        <f aca="false">IF(OR(J624="",K624=""),"",MAX(J624-K624,0))</f>
        <v>0</v>
      </c>
      <c r="M624" s="15" t="s">
        <v>99</v>
      </c>
      <c r="N624" s="17" t="n">
        <v>2008</v>
      </c>
      <c r="O624" s="15" t="n">
        <f aca="false">IF(N624="","",Scoring!$B$4-N624)</f>
        <v>18</v>
      </c>
      <c r="P624" s="15" t="n">
        <f aca="false">IF(N624="","",N624+14)</f>
        <v>2022</v>
      </c>
      <c r="Q624" s="15" t="n">
        <f aca="false">IF(N624="","",IF(N624&lt;Scoring!$B$12,"n/a (pre-1990)",N624+Scoring!$B$13))</f>
        <v>2037</v>
      </c>
      <c r="R624" s="15" t="str">
        <f aca="false">IF(J624="","Unknown",IF(J624&gt;=5,"Yes","No (under 5 units)"))</f>
        <v>Yes</v>
      </c>
      <c r="S624" s="15"/>
      <c r="T624" s="18"/>
      <c r="U624" s="19"/>
      <c r="V624" s="18"/>
      <c r="W624" s="18"/>
      <c r="X624" s="20"/>
      <c r="Y624" s="18"/>
      <c r="Z624" s="18"/>
      <c r="AA624" s="21" t="n">
        <f aca="false">IF(U624&lt;&gt;"",(U624-Scoring!$B$3)/365.25,IF(N624="","",IF(N624&lt;Scoring!$B$12,"",(DATE(N624+Scoring!$B$13,12,31)-Scoring!$B$3)/365.25)))</f>
        <v>11.2470910335387</v>
      </c>
      <c r="AB624" s="22" t="n">
        <f aca="false">IF(T624="Y",0,IF(OR(D624="Expired (verified)",D624="Expiring: notice window (verified)",D624="Expiring: 10-yr horizon (verified)",D624="Past 30-yr mark (verify)",D624="30-yr mark: notice window (est.)",D624="Year-15 window"),1,0)+IF(ISNUMBER(O624),IF(O624&gt;=Scoring!$B$10,1,0),0)+IF(AND(ISNUMBER(L624),ISNUMBER(J624)),IF(J624&gt;0,IF(L624/J624&gt;=Scoring!$B$11,1,0),0),0)+IF(ISNUMBER(Z624),MIN(Z624,3),0))</f>
        <v>0</v>
      </c>
      <c r="AC624" s="22" t="n">
        <f aca="false">IF(AB624&gt;=3,Scoring!$C$24,IF(AB624=2,Scoring!$C$23,IF(AB624=1,Scoring!$C$22,0)))</f>
        <v>0</v>
      </c>
      <c r="AD624" s="22" t="n">
        <f aca="false">IF(T624="Y",0,IF(ISNUMBER(X624),IF(X624&gt;0.7,Scoring!$C$25,IF(X624&gt;=0.5,Scoring!$C$26,IF(X624&gt;=0.3,Scoring!$C$27,Scoring!$C$28))),Scoring!$C$29))</f>
        <v>10</v>
      </c>
      <c r="AE624" s="22" t="n">
        <f aca="false">IF(D624="Expiring: notice window (verified)",Scoring!$C$30,IF(OR(D624="Expired (verified)",D624="30-yr mark: notice window (est.)",D624="Year-15 window"),Scoring!$C$31,IF(D624="Expiring: 10-yr horizon (verified)",Scoring!$C$32,IF(D624="Past 30-yr mark (verify)",Scoring!$C$33,IF(OR(D624="Credit period",D624="Superseded record"),Scoring!$C$35,Scoring!$C$34)))))</f>
        <v>4</v>
      </c>
      <c r="AF624" s="22" t="n">
        <f aca="false">IF(T624="Y",0,IF(ISNUMBER(V624),IF(Scoring!$B$4-V624&gt;15,Scoring!$C$36,IF(Scoring!$B$4-V624&gt;=10,Scoring!$C$37,IF(Scoring!$B$4-V624&gt;=5,Scoring!$C$38,Scoring!$C$39))),IF(OR(N624="",D624="Out of program"),Scoring!$C$40,IF(O624&gt;15,Scoring!$C$36,IF(O624&gt;=10,Scoring!$C$37,IF(O624&gt;=5,Scoring!$C$38,Scoring!$C$39))))))</f>
        <v>15</v>
      </c>
      <c r="AG624" s="22" t="n">
        <f aca="false">IF(T624="Y",0,IF(Y624="Y",Scoring!$C$41,IF(ISNUMBER(O624),IF(O624&gt;=25,Scoring!$C$42,IF(O624&gt;=15,Scoring!$C$43,Scoring!$C$44)),Scoring!$C$44)))</f>
        <v>5</v>
      </c>
      <c r="AH624" s="22" t="n">
        <f aca="false">IF(T624="Y",0,IF(W624="",Scoring!$C$49,IFERROR(VLOOKUP(W624,Scoring!$B$45:$C$48,2,FALSE()),Scoring!$C$49)))</f>
        <v>5</v>
      </c>
      <c r="AI624" s="23" t="n">
        <f aca="false">C624+IF(ISNUMBER(J624),J624,0)/100000+(10000-ROW())/1000000000</f>
        <v>39.000169376</v>
      </c>
      <c r="AJ624" s="18"/>
      <c r="AK624" s="18"/>
      <c r="AL624" s="18"/>
      <c r="AM624" s="18"/>
    </row>
    <row r="625" customFormat="false" ht="15" hidden="false" customHeight="false" outlineLevel="0" collapsed="false">
      <c r="A625" s="15" t="n">
        <f aca="false">RANK(AI625,$AI$2:$AI$755)</f>
        <v>624</v>
      </c>
      <c r="B625" s="16" t="str">
        <f aca="false">IF(T625="Y","Superseded",IF(C625&gt;=Scoring!$B$16,"Immediate",IF(C625&gt;=Scoring!$B$17,"This week",IF(C625&gt;=Scoring!$B$18,"Nurture","Low"))))</f>
        <v>Nurture</v>
      </c>
      <c r="C625" s="3" t="n">
        <f aca="false">SUM(AC625:AH625)</f>
        <v>39</v>
      </c>
      <c r="D625" s="15" t="str">
        <f aca="false">IF(T625="Y","Superseded record",IF(AND(U625&lt;&gt;"",AA625&lt;0),"Expired (verified)",IF(AND(U625&lt;&gt;"",AA625&lt;=Scoring!$B$5),"Expiring: notice window (verified)",IF(AND(U625&lt;&gt;"",AA625&lt;=Scoring!$B$6),"Expiring: 10-yr horizon (verified)",IF(M625="No Longer Monitored","Out of program",IF(N625="","Unknown vintage",IF(N625&lt;Scoring!$B$12,"Pre-1990, still listed",IF(AND(U625="",AA625&lt;0),"Past 30-yr mark (verify)",IF(AND(U625="",AA625&lt;=Scoring!$B$5),"30-yr mark: notice window (est.)",IF(AND(O625&gt;=Scoring!$B$7,O625&lt;=Scoring!$B$8),"Year-15 window",IF(O625&gt;=Scoring!$B$9,"Recap window",IF(O625&gt;=11,"Late compliance","Credit period"))))))))))))</f>
        <v>Recap window</v>
      </c>
      <c r="E625" s="15" t="s">
        <v>2191</v>
      </c>
      <c r="F625" s="15" t="s">
        <v>2192</v>
      </c>
      <c r="G625" s="15" t="s">
        <v>2193</v>
      </c>
      <c r="H625" s="15" t="s">
        <v>97</v>
      </c>
      <c r="I625" s="15" t="s">
        <v>1393</v>
      </c>
      <c r="J625" s="15" t="n">
        <v>15</v>
      </c>
      <c r="K625" s="15" t="n">
        <v>15</v>
      </c>
      <c r="L625" s="15" t="n">
        <f aca="false">IF(OR(J625="",K625=""),"",MAX(J625-K625,0))</f>
        <v>0</v>
      </c>
      <c r="M625" s="15" t="s">
        <v>99</v>
      </c>
      <c r="N625" s="17" t="n">
        <v>2007</v>
      </c>
      <c r="O625" s="15" t="n">
        <f aca="false">IF(N625="","",Scoring!$B$4-N625)</f>
        <v>19</v>
      </c>
      <c r="P625" s="15" t="n">
        <f aca="false">IF(N625="","",N625+14)</f>
        <v>2021</v>
      </c>
      <c r="Q625" s="15" t="n">
        <f aca="false">IF(N625="","",IF(N625&lt;Scoring!$B$12,"n/a (pre-1990)",N625+Scoring!$B$13))</f>
        <v>2036</v>
      </c>
      <c r="R625" s="15" t="str">
        <f aca="false">IF(J625="","Unknown",IF(J625&gt;=5,"Yes","No (under 5 units)"))</f>
        <v>Yes</v>
      </c>
      <c r="S625" s="15"/>
      <c r="T625" s="18"/>
      <c r="U625" s="19"/>
      <c r="V625" s="18"/>
      <c r="W625" s="18"/>
      <c r="X625" s="20"/>
      <c r="Y625" s="18"/>
      <c r="Z625" s="18"/>
      <c r="AA625" s="21" t="n">
        <f aca="false">IF(U625&lt;&gt;"",(U625-Scoring!$B$3)/365.25,IF(N625="","",IF(N625&lt;Scoring!$B$12,"",(DATE(N625+Scoring!$B$13,12,31)-Scoring!$B$3)/365.25)))</f>
        <v>10.2477754962355</v>
      </c>
      <c r="AB625" s="22" t="n">
        <f aca="false">IF(T625="Y",0,IF(OR(D625="Expired (verified)",D625="Expiring: notice window (verified)",D625="Expiring: 10-yr horizon (verified)",D625="Past 30-yr mark (verify)",D625="30-yr mark: notice window (est.)",D625="Year-15 window"),1,0)+IF(ISNUMBER(O625),IF(O625&gt;=Scoring!$B$10,1,0),0)+IF(AND(ISNUMBER(L625),ISNUMBER(J625)),IF(J625&gt;0,IF(L625/J625&gt;=Scoring!$B$11,1,0),0),0)+IF(ISNUMBER(Z625),MIN(Z625,3),0))</f>
        <v>0</v>
      </c>
      <c r="AC625" s="22" t="n">
        <f aca="false">IF(AB625&gt;=3,Scoring!$C$24,IF(AB625=2,Scoring!$C$23,IF(AB625=1,Scoring!$C$22,0)))</f>
        <v>0</v>
      </c>
      <c r="AD625" s="22" t="n">
        <f aca="false">IF(T625="Y",0,IF(ISNUMBER(X625),IF(X625&gt;0.7,Scoring!$C$25,IF(X625&gt;=0.5,Scoring!$C$26,IF(X625&gt;=0.3,Scoring!$C$27,Scoring!$C$28))),Scoring!$C$29))</f>
        <v>10</v>
      </c>
      <c r="AE625" s="22" t="n">
        <f aca="false">IF(D625="Expiring: notice window (verified)",Scoring!$C$30,IF(OR(D625="Expired (verified)",D625="30-yr mark: notice window (est.)",D625="Year-15 window"),Scoring!$C$31,IF(D625="Expiring: 10-yr horizon (verified)",Scoring!$C$32,IF(D625="Past 30-yr mark (verify)",Scoring!$C$33,IF(OR(D625="Credit period",D625="Superseded record"),Scoring!$C$35,Scoring!$C$34)))))</f>
        <v>4</v>
      </c>
      <c r="AF625" s="22" t="n">
        <f aca="false">IF(T625="Y",0,IF(ISNUMBER(V625),IF(Scoring!$B$4-V625&gt;15,Scoring!$C$36,IF(Scoring!$B$4-V625&gt;=10,Scoring!$C$37,IF(Scoring!$B$4-V625&gt;=5,Scoring!$C$38,Scoring!$C$39))),IF(OR(N625="",D625="Out of program"),Scoring!$C$40,IF(O625&gt;15,Scoring!$C$36,IF(O625&gt;=10,Scoring!$C$37,IF(O625&gt;=5,Scoring!$C$38,Scoring!$C$39))))))</f>
        <v>15</v>
      </c>
      <c r="AG625" s="22" t="n">
        <f aca="false">IF(T625="Y",0,IF(Y625="Y",Scoring!$C$41,IF(ISNUMBER(O625),IF(O625&gt;=25,Scoring!$C$42,IF(O625&gt;=15,Scoring!$C$43,Scoring!$C$44)),Scoring!$C$44)))</f>
        <v>5</v>
      </c>
      <c r="AH625" s="22" t="n">
        <f aca="false">IF(T625="Y",0,IF(W625="",Scoring!$C$49,IFERROR(VLOOKUP(W625,Scoring!$B$45:$C$48,2,FALSE()),Scoring!$C$49)))</f>
        <v>5</v>
      </c>
      <c r="AI625" s="23" t="n">
        <f aca="false">C625+IF(ISNUMBER(J625),J625,0)/100000+(10000-ROW())/1000000000</f>
        <v>39.000159375</v>
      </c>
      <c r="AJ625" s="18"/>
      <c r="AK625" s="18"/>
      <c r="AL625" s="18"/>
      <c r="AM625" s="18"/>
    </row>
    <row r="626" customFormat="false" ht="15" hidden="false" customHeight="false" outlineLevel="0" collapsed="false">
      <c r="A626" s="15" t="n">
        <f aca="false">RANK(AI626,$AI$2:$AI$755)</f>
        <v>625</v>
      </c>
      <c r="B626" s="16" t="str">
        <f aca="false">IF(T626="Y","Superseded",IF(C626&gt;=Scoring!$B$16,"Immediate",IF(C626&gt;=Scoring!$B$17,"This week",IF(C626&gt;=Scoring!$B$18,"Nurture","Low"))))</f>
        <v>Nurture</v>
      </c>
      <c r="C626" s="3" t="n">
        <f aca="false">SUM(AC626:AH626)</f>
        <v>39</v>
      </c>
      <c r="D626" s="15" t="str">
        <f aca="false">IF(T626="Y","Superseded record",IF(AND(U626&lt;&gt;"",AA626&lt;0),"Expired (verified)",IF(AND(U626&lt;&gt;"",AA626&lt;=Scoring!$B$5),"Expiring: notice window (verified)",IF(AND(U626&lt;&gt;"",AA626&lt;=Scoring!$B$6),"Expiring: 10-yr horizon (verified)",IF(M626="No Longer Monitored","Out of program",IF(N626="","Unknown vintage",IF(N626&lt;Scoring!$B$12,"Pre-1990, still listed",IF(AND(U626="",AA626&lt;0),"Past 30-yr mark (verify)",IF(AND(U626="",AA626&lt;=Scoring!$B$5),"30-yr mark: notice window (est.)",IF(AND(O626&gt;=Scoring!$B$7,O626&lt;=Scoring!$B$8),"Year-15 window",IF(O626&gt;=Scoring!$B$9,"Recap window",IF(O626&gt;=11,"Late compliance","Credit period"))))))))))))</f>
        <v>Recap window</v>
      </c>
      <c r="E626" s="15" t="s">
        <v>2194</v>
      </c>
      <c r="F626" s="15" t="s">
        <v>2195</v>
      </c>
      <c r="G626" s="15" t="s">
        <v>2196</v>
      </c>
      <c r="H626" s="15" t="s">
        <v>275</v>
      </c>
      <c r="I626" s="15" t="s">
        <v>276</v>
      </c>
      <c r="J626" s="15" t="n">
        <v>15</v>
      </c>
      <c r="K626" s="15" t="n">
        <v>15</v>
      </c>
      <c r="L626" s="15" t="n">
        <f aca="false">IF(OR(J626="",K626=""),"",MAX(J626-K626,0))</f>
        <v>0</v>
      </c>
      <c r="M626" s="15" t="s">
        <v>99</v>
      </c>
      <c r="N626" s="17" t="n">
        <v>2008</v>
      </c>
      <c r="O626" s="15" t="n">
        <f aca="false">IF(N626="","",Scoring!$B$4-N626)</f>
        <v>18</v>
      </c>
      <c r="P626" s="15" t="n">
        <f aca="false">IF(N626="","",N626+14)</f>
        <v>2022</v>
      </c>
      <c r="Q626" s="15" t="n">
        <f aca="false">IF(N626="","",IF(N626&lt;Scoring!$B$12,"n/a (pre-1990)",N626+Scoring!$B$13))</f>
        <v>2037</v>
      </c>
      <c r="R626" s="15" t="str">
        <f aca="false">IF(J626="","Unknown",IF(J626&gt;=5,"Yes","No (under 5 units)"))</f>
        <v>Yes</v>
      </c>
      <c r="S626" s="15"/>
      <c r="T626" s="18"/>
      <c r="U626" s="19"/>
      <c r="V626" s="18"/>
      <c r="W626" s="18"/>
      <c r="X626" s="20"/>
      <c r="Y626" s="18"/>
      <c r="Z626" s="18"/>
      <c r="AA626" s="21" t="n">
        <f aca="false">IF(U626&lt;&gt;"",(U626-Scoring!$B$3)/365.25,IF(N626="","",IF(N626&lt;Scoring!$B$12,"",(DATE(N626+Scoring!$B$13,12,31)-Scoring!$B$3)/365.25)))</f>
        <v>11.2470910335387</v>
      </c>
      <c r="AB626" s="22" t="n">
        <f aca="false">IF(T626="Y",0,IF(OR(D626="Expired (verified)",D626="Expiring: notice window (verified)",D626="Expiring: 10-yr horizon (verified)",D626="Past 30-yr mark (verify)",D626="30-yr mark: notice window (est.)",D626="Year-15 window"),1,0)+IF(ISNUMBER(O626),IF(O626&gt;=Scoring!$B$10,1,0),0)+IF(AND(ISNUMBER(L626),ISNUMBER(J626)),IF(J626&gt;0,IF(L626/J626&gt;=Scoring!$B$11,1,0),0),0)+IF(ISNUMBER(Z626),MIN(Z626,3),0))</f>
        <v>0</v>
      </c>
      <c r="AC626" s="22" t="n">
        <f aca="false">IF(AB626&gt;=3,Scoring!$C$24,IF(AB626=2,Scoring!$C$23,IF(AB626=1,Scoring!$C$22,0)))</f>
        <v>0</v>
      </c>
      <c r="AD626" s="22" t="n">
        <f aca="false">IF(T626="Y",0,IF(ISNUMBER(X626),IF(X626&gt;0.7,Scoring!$C$25,IF(X626&gt;=0.5,Scoring!$C$26,IF(X626&gt;=0.3,Scoring!$C$27,Scoring!$C$28))),Scoring!$C$29))</f>
        <v>10</v>
      </c>
      <c r="AE626" s="22" t="n">
        <f aca="false">IF(D626="Expiring: notice window (verified)",Scoring!$C$30,IF(OR(D626="Expired (verified)",D626="30-yr mark: notice window (est.)",D626="Year-15 window"),Scoring!$C$31,IF(D626="Expiring: 10-yr horizon (verified)",Scoring!$C$32,IF(D626="Past 30-yr mark (verify)",Scoring!$C$33,IF(OR(D626="Credit period",D626="Superseded record"),Scoring!$C$35,Scoring!$C$34)))))</f>
        <v>4</v>
      </c>
      <c r="AF626" s="22" t="n">
        <f aca="false">IF(T626="Y",0,IF(ISNUMBER(V626),IF(Scoring!$B$4-V626&gt;15,Scoring!$C$36,IF(Scoring!$B$4-V626&gt;=10,Scoring!$C$37,IF(Scoring!$B$4-V626&gt;=5,Scoring!$C$38,Scoring!$C$39))),IF(OR(N626="",D626="Out of program"),Scoring!$C$40,IF(O626&gt;15,Scoring!$C$36,IF(O626&gt;=10,Scoring!$C$37,IF(O626&gt;=5,Scoring!$C$38,Scoring!$C$39))))))</f>
        <v>15</v>
      </c>
      <c r="AG626" s="22" t="n">
        <f aca="false">IF(T626="Y",0,IF(Y626="Y",Scoring!$C$41,IF(ISNUMBER(O626),IF(O626&gt;=25,Scoring!$C$42,IF(O626&gt;=15,Scoring!$C$43,Scoring!$C$44)),Scoring!$C$44)))</f>
        <v>5</v>
      </c>
      <c r="AH626" s="22" t="n">
        <f aca="false">IF(T626="Y",0,IF(W626="",Scoring!$C$49,IFERROR(VLOOKUP(W626,Scoring!$B$45:$C$48,2,FALSE()),Scoring!$C$49)))</f>
        <v>5</v>
      </c>
      <c r="AI626" s="23" t="n">
        <f aca="false">C626+IF(ISNUMBER(J626),J626,0)/100000+(10000-ROW())/1000000000</f>
        <v>39.000159374</v>
      </c>
      <c r="AJ626" s="18"/>
      <c r="AK626" s="18"/>
      <c r="AL626" s="18"/>
      <c r="AM626" s="18"/>
    </row>
    <row r="627" customFormat="false" ht="15" hidden="false" customHeight="false" outlineLevel="0" collapsed="false">
      <c r="A627" s="15" t="n">
        <f aca="false">RANK(AI627,$AI$2:$AI$755)</f>
        <v>626</v>
      </c>
      <c r="B627" s="16" t="str">
        <f aca="false">IF(T627="Y","Superseded",IF(C627&gt;=Scoring!$B$16,"Immediate",IF(C627&gt;=Scoring!$B$17,"This week",IF(C627&gt;=Scoring!$B$18,"Nurture","Low"))))</f>
        <v>Nurture</v>
      </c>
      <c r="C627" s="3" t="n">
        <f aca="false">SUM(AC627:AH627)</f>
        <v>39</v>
      </c>
      <c r="D627" s="15" t="str">
        <f aca="false">IF(T627="Y","Superseded record",IF(AND(U627&lt;&gt;"",AA627&lt;0),"Expired (verified)",IF(AND(U627&lt;&gt;"",AA627&lt;=Scoring!$B$5),"Expiring: notice window (verified)",IF(AND(U627&lt;&gt;"",AA627&lt;=Scoring!$B$6),"Expiring: 10-yr horizon (verified)",IF(M627="No Longer Monitored","Out of program",IF(N627="","Unknown vintage",IF(N627&lt;Scoring!$B$12,"Pre-1990, still listed",IF(AND(U627="",AA627&lt;0),"Past 30-yr mark (verify)",IF(AND(U627="",AA627&lt;=Scoring!$B$5),"30-yr mark: notice window (est.)",IF(AND(O627&gt;=Scoring!$B$7,O627&lt;=Scoring!$B$8),"Year-15 window",IF(O627&gt;=Scoring!$B$9,"Recap window",IF(O627&gt;=11,"Late compliance","Credit period"))))))))))))</f>
        <v>Recap window</v>
      </c>
      <c r="E627" s="15" t="s">
        <v>2197</v>
      </c>
      <c r="F627" s="15" t="s">
        <v>2198</v>
      </c>
      <c r="G627" s="15" t="s">
        <v>2199</v>
      </c>
      <c r="H627" s="15" t="s">
        <v>1818</v>
      </c>
      <c r="I627" s="15" t="s">
        <v>1819</v>
      </c>
      <c r="J627" s="15" t="n">
        <v>8</v>
      </c>
      <c r="K627" s="15" t="n">
        <v>8</v>
      </c>
      <c r="L627" s="15" t="n">
        <f aca="false">IF(OR(J627="",K627=""),"",MAX(J627-K627,0))</f>
        <v>0</v>
      </c>
      <c r="M627" s="15" t="s">
        <v>99</v>
      </c>
      <c r="N627" s="17" t="n">
        <v>2008</v>
      </c>
      <c r="O627" s="15" t="n">
        <f aca="false">IF(N627="","",Scoring!$B$4-N627)</f>
        <v>18</v>
      </c>
      <c r="P627" s="15" t="n">
        <f aca="false">IF(N627="","",N627+14)</f>
        <v>2022</v>
      </c>
      <c r="Q627" s="15" t="n">
        <f aca="false">IF(N627="","",IF(N627&lt;Scoring!$B$12,"n/a (pre-1990)",N627+Scoring!$B$13))</f>
        <v>2037</v>
      </c>
      <c r="R627" s="15" t="str">
        <f aca="false">IF(J627="","Unknown",IF(J627&gt;=5,"Yes","No (under 5 units)"))</f>
        <v>Yes</v>
      </c>
      <c r="S627" s="15"/>
      <c r="T627" s="18"/>
      <c r="U627" s="19"/>
      <c r="V627" s="18"/>
      <c r="W627" s="18"/>
      <c r="X627" s="20"/>
      <c r="Y627" s="18"/>
      <c r="Z627" s="18"/>
      <c r="AA627" s="21" t="n">
        <f aca="false">IF(U627&lt;&gt;"",(U627-Scoring!$B$3)/365.25,IF(N627="","",IF(N627&lt;Scoring!$B$12,"",(DATE(N627+Scoring!$B$13,12,31)-Scoring!$B$3)/365.25)))</f>
        <v>11.2470910335387</v>
      </c>
      <c r="AB627" s="22" t="n">
        <f aca="false">IF(T627="Y",0,IF(OR(D627="Expired (verified)",D627="Expiring: notice window (verified)",D627="Expiring: 10-yr horizon (verified)",D627="Past 30-yr mark (verify)",D627="30-yr mark: notice window (est.)",D627="Year-15 window"),1,0)+IF(ISNUMBER(O627),IF(O627&gt;=Scoring!$B$10,1,0),0)+IF(AND(ISNUMBER(L627),ISNUMBER(J627)),IF(J627&gt;0,IF(L627/J627&gt;=Scoring!$B$11,1,0),0),0)+IF(ISNUMBER(Z627),MIN(Z627,3),0))</f>
        <v>0</v>
      </c>
      <c r="AC627" s="22" t="n">
        <f aca="false">IF(AB627&gt;=3,Scoring!$C$24,IF(AB627=2,Scoring!$C$23,IF(AB627=1,Scoring!$C$22,0)))</f>
        <v>0</v>
      </c>
      <c r="AD627" s="22" t="n">
        <f aca="false">IF(T627="Y",0,IF(ISNUMBER(X627),IF(X627&gt;0.7,Scoring!$C$25,IF(X627&gt;=0.5,Scoring!$C$26,IF(X627&gt;=0.3,Scoring!$C$27,Scoring!$C$28))),Scoring!$C$29))</f>
        <v>10</v>
      </c>
      <c r="AE627" s="22" t="n">
        <f aca="false">IF(D627="Expiring: notice window (verified)",Scoring!$C$30,IF(OR(D627="Expired (verified)",D627="30-yr mark: notice window (est.)",D627="Year-15 window"),Scoring!$C$31,IF(D627="Expiring: 10-yr horizon (verified)",Scoring!$C$32,IF(D627="Past 30-yr mark (verify)",Scoring!$C$33,IF(OR(D627="Credit period",D627="Superseded record"),Scoring!$C$35,Scoring!$C$34)))))</f>
        <v>4</v>
      </c>
      <c r="AF627" s="22" t="n">
        <f aca="false">IF(T627="Y",0,IF(ISNUMBER(V627),IF(Scoring!$B$4-V627&gt;15,Scoring!$C$36,IF(Scoring!$B$4-V627&gt;=10,Scoring!$C$37,IF(Scoring!$B$4-V627&gt;=5,Scoring!$C$38,Scoring!$C$39))),IF(OR(N627="",D627="Out of program"),Scoring!$C$40,IF(O627&gt;15,Scoring!$C$36,IF(O627&gt;=10,Scoring!$C$37,IF(O627&gt;=5,Scoring!$C$38,Scoring!$C$39))))))</f>
        <v>15</v>
      </c>
      <c r="AG627" s="22" t="n">
        <f aca="false">IF(T627="Y",0,IF(Y627="Y",Scoring!$C$41,IF(ISNUMBER(O627),IF(O627&gt;=25,Scoring!$C$42,IF(O627&gt;=15,Scoring!$C$43,Scoring!$C$44)),Scoring!$C$44)))</f>
        <v>5</v>
      </c>
      <c r="AH627" s="22" t="n">
        <f aca="false">IF(T627="Y",0,IF(W627="",Scoring!$C$49,IFERROR(VLOOKUP(W627,Scoring!$B$45:$C$48,2,FALSE()),Scoring!$C$49)))</f>
        <v>5</v>
      </c>
      <c r="AI627" s="23" t="n">
        <f aca="false">C627+IF(ISNUMBER(J627),J627,0)/100000+(10000-ROW())/1000000000</f>
        <v>39.000089373</v>
      </c>
      <c r="AJ627" s="18"/>
      <c r="AK627" s="18"/>
      <c r="AL627" s="18"/>
      <c r="AM627" s="18"/>
    </row>
    <row r="628" customFormat="false" ht="15" hidden="false" customHeight="false" outlineLevel="0" collapsed="false">
      <c r="A628" s="15" t="n">
        <f aca="false">RANK(AI628,$AI$2:$AI$755)</f>
        <v>627</v>
      </c>
      <c r="B628" s="16" t="str">
        <f aca="false">IF(T628="Y","Superseded",IF(C628&gt;=Scoring!$B$16,"Immediate",IF(C628&gt;=Scoring!$B$17,"This week",IF(C628&gt;=Scoring!$B$18,"Nurture","Low"))))</f>
        <v>Nurture</v>
      </c>
      <c r="C628" s="3" t="n">
        <f aca="false">SUM(AC628:AH628)</f>
        <v>39</v>
      </c>
      <c r="D628" s="15" t="str">
        <f aca="false">IF(T628="Y","Superseded record",IF(AND(U628&lt;&gt;"",AA628&lt;0),"Expired (verified)",IF(AND(U628&lt;&gt;"",AA628&lt;=Scoring!$B$5),"Expiring: notice window (verified)",IF(AND(U628&lt;&gt;"",AA628&lt;=Scoring!$B$6),"Expiring: 10-yr horizon (verified)",IF(M628="No Longer Monitored","Out of program",IF(N628="","Unknown vintage",IF(N628&lt;Scoring!$B$12,"Pre-1990, still listed",IF(AND(U628="",AA628&lt;0),"Past 30-yr mark (verify)",IF(AND(U628="",AA628&lt;=Scoring!$B$5),"30-yr mark: notice window (est.)",IF(AND(O628&gt;=Scoring!$B$7,O628&lt;=Scoring!$B$8),"Year-15 window",IF(O628&gt;=Scoring!$B$9,"Recap window",IF(O628&gt;=11,"Late compliance","Credit period"))))))))))))</f>
        <v>Recap window</v>
      </c>
      <c r="E628" s="15" t="s">
        <v>2200</v>
      </c>
      <c r="F628" s="15" t="s">
        <v>2201</v>
      </c>
      <c r="G628" s="15" t="s">
        <v>2202</v>
      </c>
      <c r="H628" s="15" t="s">
        <v>1818</v>
      </c>
      <c r="I628" s="15" t="s">
        <v>1819</v>
      </c>
      <c r="J628" s="15" t="n">
        <v>8</v>
      </c>
      <c r="K628" s="15" t="n">
        <v>8</v>
      </c>
      <c r="L628" s="15" t="n">
        <f aca="false">IF(OR(J628="",K628=""),"",MAX(J628-K628,0))</f>
        <v>0</v>
      </c>
      <c r="M628" s="15" t="s">
        <v>99</v>
      </c>
      <c r="N628" s="17" t="n">
        <v>2008</v>
      </c>
      <c r="O628" s="15" t="n">
        <f aca="false">IF(N628="","",Scoring!$B$4-N628)</f>
        <v>18</v>
      </c>
      <c r="P628" s="15" t="n">
        <f aca="false">IF(N628="","",N628+14)</f>
        <v>2022</v>
      </c>
      <c r="Q628" s="15" t="n">
        <f aca="false">IF(N628="","",IF(N628&lt;Scoring!$B$12,"n/a (pre-1990)",N628+Scoring!$B$13))</f>
        <v>2037</v>
      </c>
      <c r="R628" s="15" t="str">
        <f aca="false">IF(J628="","Unknown",IF(J628&gt;=5,"Yes","No (under 5 units)"))</f>
        <v>Yes</v>
      </c>
      <c r="S628" s="15"/>
      <c r="T628" s="18"/>
      <c r="U628" s="19"/>
      <c r="V628" s="18"/>
      <c r="W628" s="18"/>
      <c r="X628" s="20"/>
      <c r="Y628" s="18"/>
      <c r="Z628" s="18"/>
      <c r="AA628" s="21" t="n">
        <f aca="false">IF(U628&lt;&gt;"",(U628-Scoring!$B$3)/365.25,IF(N628="","",IF(N628&lt;Scoring!$B$12,"",(DATE(N628+Scoring!$B$13,12,31)-Scoring!$B$3)/365.25)))</f>
        <v>11.2470910335387</v>
      </c>
      <c r="AB628" s="22" t="n">
        <f aca="false">IF(T628="Y",0,IF(OR(D628="Expired (verified)",D628="Expiring: notice window (verified)",D628="Expiring: 10-yr horizon (verified)",D628="Past 30-yr mark (verify)",D628="30-yr mark: notice window (est.)",D628="Year-15 window"),1,0)+IF(ISNUMBER(O628),IF(O628&gt;=Scoring!$B$10,1,0),0)+IF(AND(ISNUMBER(L628),ISNUMBER(J628)),IF(J628&gt;0,IF(L628/J628&gt;=Scoring!$B$11,1,0),0),0)+IF(ISNUMBER(Z628),MIN(Z628,3),0))</f>
        <v>0</v>
      </c>
      <c r="AC628" s="22" t="n">
        <f aca="false">IF(AB628&gt;=3,Scoring!$C$24,IF(AB628=2,Scoring!$C$23,IF(AB628=1,Scoring!$C$22,0)))</f>
        <v>0</v>
      </c>
      <c r="AD628" s="22" t="n">
        <f aca="false">IF(T628="Y",0,IF(ISNUMBER(X628),IF(X628&gt;0.7,Scoring!$C$25,IF(X628&gt;=0.5,Scoring!$C$26,IF(X628&gt;=0.3,Scoring!$C$27,Scoring!$C$28))),Scoring!$C$29))</f>
        <v>10</v>
      </c>
      <c r="AE628" s="22" t="n">
        <f aca="false">IF(D628="Expiring: notice window (verified)",Scoring!$C$30,IF(OR(D628="Expired (verified)",D628="30-yr mark: notice window (est.)",D628="Year-15 window"),Scoring!$C$31,IF(D628="Expiring: 10-yr horizon (verified)",Scoring!$C$32,IF(D628="Past 30-yr mark (verify)",Scoring!$C$33,IF(OR(D628="Credit period",D628="Superseded record"),Scoring!$C$35,Scoring!$C$34)))))</f>
        <v>4</v>
      </c>
      <c r="AF628" s="22" t="n">
        <f aca="false">IF(T628="Y",0,IF(ISNUMBER(V628),IF(Scoring!$B$4-V628&gt;15,Scoring!$C$36,IF(Scoring!$B$4-V628&gt;=10,Scoring!$C$37,IF(Scoring!$B$4-V628&gt;=5,Scoring!$C$38,Scoring!$C$39))),IF(OR(N628="",D628="Out of program"),Scoring!$C$40,IF(O628&gt;15,Scoring!$C$36,IF(O628&gt;=10,Scoring!$C$37,IF(O628&gt;=5,Scoring!$C$38,Scoring!$C$39))))))</f>
        <v>15</v>
      </c>
      <c r="AG628" s="22" t="n">
        <f aca="false">IF(T628="Y",0,IF(Y628="Y",Scoring!$C$41,IF(ISNUMBER(O628),IF(O628&gt;=25,Scoring!$C$42,IF(O628&gt;=15,Scoring!$C$43,Scoring!$C$44)),Scoring!$C$44)))</f>
        <v>5</v>
      </c>
      <c r="AH628" s="22" t="n">
        <f aca="false">IF(T628="Y",0,IF(W628="",Scoring!$C$49,IFERROR(VLOOKUP(W628,Scoring!$B$45:$C$48,2,FALSE()),Scoring!$C$49)))</f>
        <v>5</v>
      </c>
      <c r="AI628" s="23" t="n">
        <f aca="false">C628+IF(ISNUMBER(J628),J628,0)/100000+(10000-ROW())/1000000000</f>
        <v>39.000089372</v>
      </c>
      <c r="AJ628" s="18"/>
      <c r="AK628" s="18"/>
      <c r="AL628" s="18"/>
      <c r="AM628" s="18"/>
    </row>
    <row r="629" customFormat="false" ht="15" hidden="false" customHeight="false" outlineLevel="0" collapsed="false">
      <c r="A629" s="15" t="n">
        <f aca="false">RANK(AI629,$AI$2:$AI$755)</f>
        <v>628</v>
      </c>
      <c r="B629" s="16" t="str">
        <f aca="false">IF(T629="Y","Superseded",IF(C629&gt;=Scoring!$B$16,"Immediate",IF(C629&gt;=Scoring!$B$17,"This week",IF(C629&gt;=Scoring!$B$18,"Nurture","Low"))))</f>
        <v>Nurture</v>
      </c>
      <c r="C629" s="3" t="n">
        <f aca="false">SUM(AC629:AH629)</f>
        <v>35</v>
      </c>
      <c r="D629" s="15" t="str">
        <f aca="false">IF(T629="Y","Superseded record",IF(AND(U629&lt;&gt;"",AA629&lt;0),"Expired (verified)",IF(AND(U629&lt;&gt;"",AA629&lt;=Scoring!$B$5),"Expiring: notice window (verified)",IF(AND(U629&lt;&gt;"",AA629&lt;=Scoring!$B$6),"Expiring: 10-yr horizon (verified)",IF(M629="No Longer Monitored","Out of program",IF(N629="","Unknown vintage",IF(N629&lt;Scoring!$B$12,"Pre-1990, still listed",IF(AND(U629="",AA629&lt;0),"Past 30-yr mark (verify)",IF(AND(U629="",AA629&lt;=Scoring!$B$5),"30-yr mark: notice window (est.)",IF(AND(O629&gt;=Scoring!$B$7,O629&lt;=Scoring!$B$8),"Year-15 window",IF(O629&gt;=Scoring!$B$9,"Recap window",IF(O629&gt;=11,"Late compliance","Credit period"))))))))))))</f>
        <v>Credit period</v>
      </c>
      <c r="E629" s="15" t="s">
        <v>2203</v>
      </c>
      <c r="F629" s="15" t="s">
        <v>2204</v>
      </c>
      <c r="G629" s="15" t="s">
        <v>2205</v>
      </c>
      <c r="H629" s="15" t="s">
        <v>1642</v>
      </c>
      <c r="I629" s="15" t="s">
        <v>1643</v>
      </c>
      <c r="J629" s="15" t="n">
        <v>48</v>
      </c>
      <c r="K629" s="15" t="n">
        <v>31</v>
      </c>
      <c r="L629" s="15" t="n">
        <f aca="false">IF(OR(J629="",K629=""),"",MAX(J629-K629,0))</f>
        <v>17</v>
      </c>
      <c r="M629" s="15" t="s">
        <v>99</v>
      </c>
      <c r="N629" s="17" t="n">
        <v>2021</v>
      </c>
      <c r="O629" s="15" t="n">
        <f aca="false">IF(N629="","",Scoring!$B$4-N629)</f>
        <v>5</v>
      </c>
      <c r="P629" s="15" t="n">
        <f aca="false">IF(N629="","",N629+14)</f>
        <v>2035</v>
      </c>
      <c r="Q629" s="15" t="n">
        <f aca="false">IF(N629="","",IF(N629&lt;Scoring!$B$12,"n/a (pre-1990)",N629+Scoring!$B$13))</f>
        <v>2050</v>
      </c>
      <c r="R629" s="15" t="str">
        <f aca="false">IF(J629="","Unknown",IF(J629&gt;=5,"Yes","No (under 5 units)"))</f>
        <v>Yes</v>
      </c>
      <c r="S629" s="15"/>
      <c r="T629" s="18"/>
      <c r="U629" s="19"/>
      <c r="V629" s="18"/>
      <c r="W629" s="18"/>
      <c r="X629" s="20"/>
      <c r="Y629" s="18"/>
      <c r="Z629" s="18"/>
      <c r="AA629" s="21" t="n">
        <f aca="false">IF(U629&lt;&gt;"",(U629-Scoring!$B$3)/365.25,IF(N629="","",IF(N629&lt;Scoring!$B$12,"",(DATE(N629+Scoring!$B$13,12,31)-Scoring!$B$3)/365.25)))</f>
        <v>24.2464065708419</v>
      </c>
      <c r="AB629" s="22" t="n">
        <f aca="false">IF(T629="Y",0,IF(OR(D629="Expired (verified)",D629="Expiring: notice window (verified)",D629="Expiring: 10-yr horizon (verified)",D629="Past 30-yr mark (verify)",D629="30-yr mark: notice window (est.)",D629="Year-15 window"),1,0)+IF(ISNUMBER(O629),IF(O629&gt;=Scoring!$B$10,1,0),0)+IF(AND(ISNUMBER(L629),ISNUMBER(J629)),IF(J629&gt;0,IF(L629/J629&gt;=Scoring!$B$11,1,0),0),0)+IF(ISNUMBER(Z629),MIN(Z629,3),0))</f>
        <v>1</v>
      </c>
      <c r="AC629" s="22" t="n">
        <f aca="false">IF(AB629&gt;=3,Scoring!$C$24,IF(AB629=2,Scoring!$C$23,IF(AB629=1,Scoring!$C$22,0)))</f>
        <v>10</v>
      </c>
      <c r="AD629" s="22" t="n">
        <f aca="false">IF(T629="Y",0,IF(ISNUMBER(X629),IF(X629&gt;0.7,Scoring!$C$25,IF(X629&gt;=0.5,Scoring!$C$26,IF(X629&gt;=0.3,Scoring!$C$27,Scoring!$C$28))),Scoring!$C$29))</f>
        <v>10</v>
      </c>
      <c r="AE629" s="22" t="n">
        <f aca="false">IF(D629="Expiring: notice window (verified)",Scoring!$C$30,IF(OR(D629="Expired (verified)",D629="30-yr mark: notice window (est.)",D629="Year-15 window"),Scoring!$C$31,IF(D629="Expiring: 10-yr horizon (verified)",Scoring!$C$32,IF(D629="Past 30-yr mark (verify)",Scoring!$C$33,IF(OR(D629="Credit period",D629="Superseded record"),Scoring!$C$35,Scoring!$C$34)))))</f>
        <v>0</v>
      </c>
      <c r="AF629" s="22" t="n">
        <f aca="false">IF(T629="Y",0,IF(ISNUMBER(V629),IF(Scoring!$B$4-V629&gt;15,Scoring!$C$36,IF(Scoring!$B$4-V629&gt;=10,Scoring!$C$37,IF(Scoring!$B$4-V629&gt;=5,Scoring!$C$38,Scoring!$C$39))),IF(OR(N629="",D629="Out of program"),Scoring!$C$40,IF(O629&gt;15,Scoring!$C$36,IF(O629&gt;=10,Scoring!$C$37,IF(O629&gt;=5,Scoring!$C$38,Scoring!$C$39))))))</f>
        <v>8</v>
      </c>
      <c r="AG629" s="22" t="n">
        <f aca="false">IF(T629="Y",0,IF(Y629="Y",Scoring!$C$41,IF(ISNUMBER(O629),IF(O629&gt;=25,Scoring!$C$42,IF(O629&gt;=15,Scoring!$C$43,Scoring!$C$44)),Scoring!$C$44)))</f>
        <v>2</v>
      </c>
      <c r="AH629" s="22" t="n">
        <f aca="false">IF(T629="Y",0,IF(W629="",Scoring!$C$49,IFERROR(VLOOKUP(W629,Scoring!$B$45:$C$48,2,FALSE()),Scoring!$C$49)))</f>
        <v>5</v>
      </c>
      <c r="AI629" s="23" t="n">
        <f aca="false">C629+IF(ISNUMBER(J629),J629,0)/100000+(10000-ROW())/1000000000</f>
        <v>35.000489371</v>
      </c>
      <c r="AJ629" s="18"/>
      <c r="AK629" s="18"/>
      <c r="AL629" s="18"/>
      <c r="AM629" s="18"/>
    </row>
    <row r="630" customFormat="false" ht="15" hidden="false" customHeight="false" outlineLevel="0" collapsed="false">
      <c r="A630" s="15" t="n">
        <f aca="false">RANK(AI630,$AI$2:$AI$755)</f>
        <v>629</v>
      </c>
      <c r="B630" s="16" t="str">
        <f aca="false">IF(T630="Y","Superseded",IF(C630&gt;=Scoring!$B$16,"Immediate",IF(C630&gt;=Scoring!$B$17,"This week",IF(C630&gt;=Scoring!$B$18,"Nurture","Low"))))</f>
        <v>Nurture</v>
      </c>
      <c r="C630" s="3" t="n">
        <f aca="false">SUM(AC630:AH630)</f>
        <v>33</v>
      </c>
      <c r="D630" s="15" t="str">
        <f aca="false">IF(T630="Y","Superseded record",IF(AND(U630&lt;&gt;"",AA630&lt;0),"Expired (verified)",IF(AND(U630&lt;&gt;"",AA630&lt;=Scoring!$B$5),"Expiring: notice window (verified)",IF(AND(U630&lt;&gt;"",AA630&lt;=Scoring!$B$6),"Expiring: 10-yr horizon (verified)",IF(M630="No Longer Monitored","Out of program",IF(N630="","Unknown vintage",IF(N630&lt;Scoring!$B$12,"Pre-1990, still listed",IF(AND(U630="",AA630&lt;0),"Past 30-yr mark (verify)",IF(AND(U630="",AA630&lt;=Scoring!$B$5),"30-yr mark: notice window (est.)",IF(AND(O630&gt;=Scoring!$B$7,O630&lt;=Scoring!$B$8),"Year-15 window",IF(O630&gt;=Scoring!$B$9,"Recap window",IF(O630&gt;=11,"Late compliance","Credit period"))))))))))))</f>
        <v>Late compliance</v>
      </c>
      <c r="E630" s="15" t="s">
        <v>2206</v>
      </c>
      <c r="F630" s="15" t="s">
        <v>2207</v>
      </c>
      <c r="G630" s="15" t="s">
        <v>2208</v>
      </c>
      <c r="H630" s="15" t="s">
        <v>877</v>
      </c>
      <c r="I630" s="15" t="s">
        <v>878</v>
      </c>
      <c r="J630" s="15" t="n">
        <v>264</v>
      </c>
      <c r="K630" s="15" t="n">
        <v>263</v>
      </c>
      <c r="L630" s="15" t="n">
        <f aca="false">IF(OR(J630="",K630=""),"",MAX(J630-K630,0))</f>
        <v>1</v>
      </c>
      <c r="M630" s="15" t="s">
        <v>99</v>
      </c>
      <c r="N630" s="17" t="n">
        <v>2014</v>
      </c>
      <c r="O630" s="15" t="n">
        <f aca="false">IF(N630="","",Scoring!$B$4-N630)</f>
        <v>12</v>
      </c>
      <c r="P630" s="15" t="n">
        <f aca="false">IF(N630="","",N630+14)</f>
        <v>2028</v>
      </c>
      <c r="Q630" s="15" t="n">
        <f aca="false">IF(N630="","",IF(N630&lt;Scoring!$B$12,"n/a (pre-1990)",N630+Scoring!$B$13))</f>
        <v>2043</v>
      </c>
      <c r="R630" s="15" t="str">
        <f aca="false">IF(J630="","Unknown",IF(J630&gt;=5,"Yes","No (under 5 units)"))</f>
        <v>Yes</v>
      </c>
      <c r="S630" s="15"/>
      <c r="T630" s="18"/>
      <c r="U630" s="19"/>
      <c r="V630" s="18"/>
      <c r="W630" s="18"/>
      <c r="X630" s="20"/>
      <c r="Y630" s="18"/>
      <c r="Z630" s="18"/>
      <c r="AA630" s="21" t="n">
        <f aca="false">IF(U630&lt;&gt;"",(U630-Scoring!$B$3)/365.25,IF(N630="","",IF(N630&lt;Scoring!$B$12,"",(DATE(N630+Scoring!$B$13,12,31)-Scoring!$B$3)/365.25)))</f>
        <v>17.2457221081451</v>
      </c>
      <c r="AB630" s="22" t="n">
        <f aca="false">IF(T630="Y",0,IF(OR(D630="Expired (verified)",D630="Expiring: notice window (verified)",D630="Expiring: 10-yr horizon (verified)",D630="Past 30-yr mark (verify)",D630="30-yr mark: notice window (est.)",D630="Year-15 window"),1,0)+IF(ISNUMBER(O630),IF(O630&gt;=Scoring!$B$10,1,0),0)+IF(AND(ISNUMBER(L630),ISNUMBER(J630)),IF(J630&gt;0,IF(L630/J630&gt;=Scoring!$B$11,1,0),0),0)+IF(ISNUMBER(Z630),MIN(Z630,3),0))</f>
        <v>0</v>
      </c>
      <c r="AC630" s="22" t="n">
        <f aca="false">IF(AB630&gt;=3,Scoring!$C$24,IF(AB630=2,Scoring!$C$23,IF(AB630=1,Scoring!$C$22,0)))</f>
        <v>0</v>
      </c>
      <c r="AD630" s="22" t="n">
        <f aca="false">IF(T630="Y",0,IF(ISNUMBER(X630),IF(X630&gt;0.7,Scoring!$C$25,IF(X630&gt;=0.5,Scoring!$C$26,IF(X630&gt;=0.3,Scoring!$C$27,Scoring!$C$28))),Scoring!$C$29))</f>
        <v>10</v>
      </c>
      <c r="AE630" s="22" t="n">
        <f aca="false">IF(D630="Expiring: notice window (verified)",Scoring!$C$30,IF(OR(D630="Expired (verified)",D630="30-yr mark: notice window (est.)",D630="Year-15 window"),Scoring!$C$31,IF(D630="Expiring: 10-yr horizon (verified)",Scoring!$C$32,IF(D630="Past 30-yr mark (verify)",Scoring!$C$33,IF(OR(D630="Credit period",D630="Superseded record"),Scoring!$C$35,Scoring!$C$34)))))</f>
        <v>4</v>
      </c>
      <c r="AF630" s="22" t="n">
        <f aca="false">IF(T630="Y",0,IF(ISNUMBER(V630),IF(Scoring!$B$4-V630&gt;15,Scoring!$C$36,IF(Scoring!$B$4-V630&gt;=10,Scoring!$C$37,IF(Scoring!$B$4-V630&gt;=5,Scoring!$C$38,Scoring!$C$39))),IF(OR(N630="",D630="Out of program"),Scoring!$C$40,IF(O630&gt;15,Scoring!$C$36,IF(O630&gt;=10,Scoring!$C$37,IF(O630&gt;=5,Scoring!$C$38,Scoring!$C$39))))))</f>
        <v>12</v>
      </c>
      <c r="AG630" s="22" t="n">
        <f aca="false">IF(T630="Y",0,IF(Y630="Y",Scoring!$C$41,IF(ISNUMBER(O630),IF(O630&gt;=25,Scoring!$C$42,IF(O630&gt;=15,Scoring!$C$43,Scoring!$C$44)),Scoring!$C$44)))</f>
        <v>2</v>
      </c>
      <c r="AH630" s="22" t="n">
        <f aca="false">IF(T630="Y",0,IF(W630="",Scoring!$C$49,IFERROR(VLOOKUP(W630,Scoring!$B$45:$C$48,2,FALSE()),Scoring!$C$49)))</f>
        <v>5</v>
      </c>
      <c r="AI630" s="23" t="n">
        <f aca="false">C630+IF(ISNUMBER(J630),J630,0)/100000+(10000-ROW())/1000000000</f>
        <v>33.00264937</v>
      </c>
      <c r="AJ630" s="18"/>
      <c r="AK630" s="18"/>
      <c r="AL630" s="18"/>
      <c r="AM630" s="18"/>
    </row>
    <row r="631" customFormat="false" ht="15" hidden="false" customHeight="false" outlineLevel="0" collapsed="false">
      <c r="A631" s="15" t="n">
        <f aca="false">RANK(AI631,$AI$2:$AI$755)</f>
        <v>630</v>
      </c>
      <c r="B631" s="16" t="str">
        <f aca="false">IF(T631="Y","Superseded",IF(C631&gt;=Scoring!$B$16,"Immediate",IF(C631&gt;=Scoring!$B$17,"This week",IF(C631&gt;=Scoring!$B$18,"Nurture","Low"))))</f>
        <v>Nurture</v>
      </c>
      <c r="C631" s="3" t="n">
        <f aca="false">SUM(AC631:AH631)</f>
        <v>33</v>
      </c>
      <c r="D631" s="15" t="str">
        <f aca="false">IF(T631="Y","Superseded record",IF(AND(U631&lt;&gt;"",AA631&lt;0),"Expired (verified)",IF(AND(U631&lt;&gt;"",AA631&lt;=Scoring!$B$5),"Expiring: notice window (verified)",IF(AND(U631&lt;&gt;"",AA631&lt;=Scoring!$B$6),"Expiring: 10-yr horizon (verified)",IF(M631="No Longer Monitored","Out of program",IF(N631="","Unknown vintage",IF(N631&lt;Scoring!$B$12,"Pre-1990, still listed",IF(AND(U631="",AA631&lt;0),"Past 30-yr mark (verify)",IF(AND(U631="",AA631&lt;=Scoring!$B$5),"30-yr mark: notice window (est.)",IF(AND(O631&gt;=Scoring!$B$7,O631&lt;=Scoring!$B$8),"Year-15 window",IF(O631&gt;=Scoring!$B$9,"Recap window",IF(O631&gt;=11,"Late compliance","Credit period"))))))))))))</f>
        <v>Late compliance</v>
      </c>
      <c r="E631" s="15" t="s">
        <v>2209</v>
      </c>
      <c r="F631" s="15" t="s">
        <v>2210</v>
      </c>
      <c r="G631" s="15" t="s">
        <v>2211</v>
      </c>
      <c r="H631" s="15" t="s">
        <v>97</v>
      </c>
      <c r="I631" s="15" t="s">
        <v>164</v>
      </c>
      <c r="J631" s="15" t="n">
        <v>124</v>
      </c>
      <c r="K631" s="15" t="n">
        <v>124</v>
      </c>
      <c r="L631" s="15" t="n">
        <f aca="false">IF(OR(J631="",K631=""),"",MAX(J631-K631,0))</f>
        <v>0</v>
      </c>
      <c r="M631" s="15" t="s">
        <v>99</v>
      </c>
      <c r="N631" s="17" t="n">
        <v>2014</v>
      </c>
      <c r="O631" s="15" t="n">
        <f aca="false">IF(N631="","",Scoring!$B$4-N631)</f>
        <v>12</v>
      </c>
      <c r="P631" s="15" t="n">
        <f aca="false">IF(N631="","",N631+14)</f>
        <v>2028</v>
      </c>
      <c r="Q631" s="15" t="n">
        <f aca="false">IF(N631="","",IF(N631&lt;Scoring!$B$12,"n/a (pre-1990)",N631+Scoring!$B$13))</f>
        <v>2043</v>
      </c>
      <c r="R631" s="15" t="str">
        <f aca="false">IF(J631="","Unknown",IF(J631&gt;=5,"Yes","No (under 5 units)"))</f>
        <v>Yes</v>
      </c>
      <c r="S631" s="15"/>
      <c r="T631" s="18"/>
      <c r="U631" s="19"/>
      <c r="V631" s="18"/>
      <c r="W631" s="18"/>
      <c r="X631" s="20"/>
      <c r="Y631" s="18"/>
      <c r="Z631" s="18"/>
      <c r="AA631" s="21" t="n">
        <f aca="false">IF(U631&lt;&gt;"",(U631-Scoring!$B$3)/365.25,IF(N631="","",IF(N631&lt;Scoring!$B$12,"",(DATE(N631+Scoring!$B$13,12,31)-Scoring!$B$3)/365.25)))</f>
        <v>17.2457221081451</v>
      </c>
      <c r="AB631" s="22" t="n">
        <f aca="false">IF(T631="Y",0,IF(OR(D631="Expired (verified)",D631="Expiring: notice window (verified)",D631="Expiring: 10-yr horizon (verified)",D631="Past 30-yr mark (verify)",D631="30-yr mark: notice window (est.)",D631="Year-15 window"),1,0)+IF(ISNUMBER(O631),IF(O631&gt;=Scoring!$B$10,1,0),0)+IF(AND(ISNUMBER(L631),ISNUMBER(J631)),IF(J631&gt;0,IF(L631/J631&gt;=Scoring!$B$11,1,0),0),0)+IF(ISNUMBER(Z631),MIN(Z631,3),0))</f>
        <v>0</v>
      </c>
      <c r="AC631" s="22" t="n">
        <f aca="false">IF(AB631&gt;=3,Scoring!$C$24,IF(AB631=2,Scoring!$C$23,IF(AB631=1,Scoring!$C$22,0)))</f>
        <v>0</v>
      </c>
      <c r="AD631" s="22" t="n">
        <f aca="false">IF(T631="Y",0,IF(ISNUMBER(X631),IF(X631&gt;0.7,Scoring!$C$25,IF(X631&gt;=0.5,Scoring!$C$26,IF(X631&gt;=0.3,Scoring!$C$27,Scoring!$C$28))),Scoring!$C$29))</f>
        <v>10</v>
      </c>
      <c r="AE631" s="22" t="n">
        <f aca="false">IF(D631="Expiring: notice window (verified)",Scoring!$C$30,IF(OR(D631="Expired (verified)",D631="30-yr mark: notice window (est.)",D631="Year-15 window"),Scoring!$C$31,IF(D631="Expiring: 10-yr horizon (verified)",Scoring!$C$32,IF(D631="Past 30-yr mark (verify)",Scoring!$C$33,IF(OR(D631="Credit period",D631="Superseded record"),Scoring!$C$35,Scoring!$C$34)))))</f>
        <v>4</v>
      </c>
      <c r="AF631" s="22" t="n">
        <f aca="false">IF(T631="Y",0,IF(ISNUMBER(V631),IF(Scoring!$B$4-V631&gt;15,Scoring!$C$36,IF(Scoring!$B$4-V631&gt;=10,Scoring!$C$37,IF(Scoring!$B$4-V631&gt;=5,Scoring!$C$38,Scoring!$C$39))),IF(OR(N631="",D631="Out of program"),Scoring!$C$40,IF(O631&gt;15,Scoring!$C$36,IF(O631&gt;=10,Scoring!$C$37,IF(O631&gt;=5,Scoring!$C$38,Scoring!$C$39))))))</f>
        <v>12</v>
      </c>
      <c r="AG631" s="22" t="n">
        <f aca="false">IF(T631="Y",0,IF(Y631="Y",Scoring!$C$41,IF(ISNUMBER(O631),IF(O631&gt;=25,Scoring!$C$42,IF(O631&gt;=15,Scoring!$C$43,Scoring!$C$44)),Scoring!$C$44)))</f>
        <v>2</v>
      </c>
      <c r="AH631" s="22" t="n">
        <f aca="false">IF(T631="Y",0,IF(W631="",Scoring!$C$49,IFERROR(VLOOKUP(W631,Scoring!$B$45:$C$48,2,FALSE()),Scoring!$C$49)))</f>
        <v>5</v>
      </c>
      <c r="AI631" s="23" t="n">
        <f aca="false">C631+IF(ISNUMBER(J631),J631,0)/100000+(10000-ROW())/1000000000</f>
        <v>33.001249369</v>
      </c>
      <c r="AJ631" s="18"/>
      <c r="AK631" s="18"/>
      <c r="AL631" s="18"/>
      <c r="AM631" s="18"/>
    </row>
    <row r="632" customFormat="false" ht="15" hidden="false" customHeight="false" outlineLevel="0" collapsed="false">
      <c r="A632" s="15" t="n">
        <f aca="false">RANK(AI632,$AI$2:$AI$755)</f>
        <v>631</v>
      </c>
      <c r="B632" s="16" t="str">
        <f aca="false">IF(T632="Y","Superseded",IF(C632&gt;=Scoring!$B$16,"Immediate",IF(C632&gt;=Scoring!$B$17,"This week",IF(C632&gt;=Scoring!$B$18,"Nurture","Low"))))</f>
        <v>Nurture</v>
      </c>
      <c r="C632" s="3" t="n">
        <f aca="false">SUM(AC632:AH632)</f>
        <v>33</v>
      </c>
      <c r="D632" s="15" t="str">
        <f aca="false">IF(T632="Y","Superseded record",IF(AND(U632&lt;&gt;"",AA632&lt;0),"Expired (verified)",IF(AND(U632&lt;&gt;"",AA632&lt;=Scoring!$B$5),"Expiring: notice window (verified)",IF(AND(U632&lt;&gt;"",AA632&lt;=Scoring!$B$6),"Expiring: 10-yr horizon (verified)",IF(M632="No Longer Monitored","Out of program",IF(N632="","Unknown vintage",IF(N632&lt;Scoring!$B$12,"Pre-1990, still listed",IF(AND(U632="",AA632&lt;0),"Past 30-yr mark (verify)",IF(AND(U632="",AA632&lt;=Scoring!$B$5),"30-yr mark: notice window (est.)",IF(AND(O632&gt;=Scoring!$B$7,O632&lt;=Scoring!$B$8),"Year-15 window",IF(O632&gt;=Scoring!$B$9,"Recap window",IF(O632&gt;=11,"Late compliance","Credit period"))))))))))))</f>
        <v>Late compliance</v>
      </c>
      <c r="E632" s="15" t="s">
        <v>2212</v>
      </c>
      <c r="F632" s="15" t="s">
        <v>2213</v>
      </c>
      <c r="G632" s="15" t="s">
        <v>2214</v>
      </c>
      <c r="H632" s="15" t="s">
        <v>107</v>
      </c>
      <c r="I632" s="15" t="s">
        <v>594</v>
      </c>
      <c r="J632" s="15" t="n">
        <v>108</v>
      </c>
      <c r="K632" s="15" t="n">
        <v>108</v>
      </c>
      <c r="L632" s="15" t="n">
        <f aca="false">IF(OR(J632="",K632=""),"",MAX(J632-K632,0))</f>
        <v>0</v>
      </c>
      <c r="M632" s="15" t="s">
        <v>99</v>
      </c>
      <c r="N632" s="17" t="n">
        <v>2014</v>
      </c>
      <c r="O632" s="15" t="n">
        <f aca="false">IF(N632="","",Scoring!$B$4-N632)</f>
        <v>12</v>
      </c>
      <c r="P632" s="15" t="n">
        <f aca="false">IF(N632="","",N632+14)</f>
        <v>2028</v>
      </c>
      <c r="Q632" s="15" t="n">
        <f aca="false">IF(N632="","",IF(N632&lt;Scoring!$B$12,"n/a (pre-1990)",N632+Scoring!$B$13))</f>
        <v>2043</v>
      </c>
      <c r="R632" s="15" t="str">
        <f aca="false">IF(J632="","Unknown",IF(J632&gt;=5,"Yes","No (under 5 units)"))</f>
        <v>Yes</v>
      </c>
      <c r="S632" s="15" t="s">
        <v>2215</v>
      </c>
      <c r="T632" s="18"/>
      <c r="U632" s="19"/>
      <c r="V632" s="18"/>
      <c r="W632" s="18"/>
      <c r="X632" s="20"/>
      <c r="Y632" s="18"/>
      <c r="Z632" s="18"/>
      <c r="AA632" s="21" t="n">
        <f aca="false">IF(U632&lt;&gt;"",(U632-Scoring!$B$3)/365.25,IF(N632="","",IF(N632&lt;Scoring!$B$12,"",(DATE(N632+Scoring!$B$13,12,31)-Scoring!$B$3)/365.25)))</f>
        <v>17.2457221081451</v>
      </c>
      <c r="AB632" s="22" t="n">
        <f aca="false">IF(T632="Y",0,IF(OR(D632="Expired (verified)",D632="Expiring: notice window (verified)",D632="Expiring: 10-yr horizon (verified)",D632="Past 30-yr mark (verify)",D632="30-yr mark: notice window (est.)",D632="Year-15 window"),1,0)+IF(ISNUMBER(O632),IF(O632&gt;=Scoring!$B$10,1,0),0)+IF(AND(ISNUMBER(L632),ISNUMBER(J632)),IF(J632&gt;0,IF(L632/J632&gt;=Scoring!$B$11,1,0),0),0)+IF(ISNUMBER(Z632),MIN(Z632,3),0))</f>
        <v>0</v>
      </c>
      <c r="AC632" s="22" t="n">
        <f aca="false">IF(AB632&gt;=3,Scoring!$C$24,IF(AB632=2,Scoring!$C$23,IF(AB632=1,Scoring!$C$22,0)))</f>
        <v>0</v>
      </c>
      <c r="AD632" s="22" t="n">
        <f aca="false">IF(T632="Y",0,IF(ISNUMBER(X632),IF(X632&gt;0.7,Scoring!$C$25,IF(X632&gt;=0.5,Scoring!$C$26,IF(X632&gt;=0.3,Scoring!$C$27,Scoring!$C$28))),Scoring!$C$29))</f>
        <v>10</v>
      </c>
      <c r="AE632" s="22" t="n">
        <f aca="false">IF(D632="Expiring: notice window (verified)",Scoring!$C$30,IF(OR(D632="Expired (verified)",D632="30-yr mark: notice window (est.)",D632="Year-15 window"),Scoring!$C$31,IF(D632="Expiring: 10-yr horizon (verified)",Scoring!$C$32,IF(D632="Past 30-yr mark (verify)",Scoring!$C$33,IF(OR(D632="Credit period",D632="Superseded record"),Scoring!$C$35,Scoring!$C$34)))))</f>
        <v>4</v>
      </c>
      <c r="AF632" s="22" t="n">
        <f aca="false">IF(T632="Y",0,IF(ISNUMBER(V632),IF(Scoring!$B$4-V632&gt;15,Scoring!$C$36,IF(Scoring!$B$4-V632&gt;=10,Scoring!$C$37,IF(Scoring!$B$4-V632&gt;=5,Scoring!$C$38,Scoring!$C$39))),IF(OR(N632="",D632="Out of program"),Scoring!$C$40,IF(O632&gt;15,Scoring!$C$36,IF(O632&gt;=10,Scoring!$C$37,IF(O632&gt;=5,Scoring!$C$38,Scoring!$C$39))))))</f>
        <v>12</v>
      </c>
      <c r="AG632" s="22" t="n">
        <f aca="false">IF(T632="Y",0,IF(Y632="Y",Scoring!$C$41,IF(ISNUMBER(O632),IF(O632&gt;=25,Scoring!$C$42,IF(O632&gt;=15,Scoring!$C$43,Scoring!$C$44)),Scoring!$C$44)))</f>
        <v>2</v>
      </c>
      <c r="AH632" s="22" t="n">
        <f aca="false">IF(T632="Y",0,IF(W632="",Scoring!$C$49,IFERROR(VLOOKUP(W632,Scoring!$B$45:$C$48,2,FALSE()),Scoring!$C$49)))</f>
        <v>5</v>
      </c>
      <c r="AI632" s="23" t="n">
        <f aca="false">C632+IF(ISNUMBER(J632),J632,0)/100000+(10000-ROW())/1000000000</f>
        <v>33.001089368</v>
      </c>
      <c r="AJ632" s="18"/>
      <c r="AK632" s="18"/>
      <c r="AL632" s="18"/>
      <c r="AM632" s="18"/>
    </row>
    <row r="633" customFormat="false" ht="15" hidden="false" customHeight="false" outlineLevel="0" collapsed="false">
      <c r="A633" s="15" t="n">
        <f aca="false">RANK(AI633,$AI$2:$AI$755)</f>
        <v>632</v>
      </c>
      <c r="B633" s="16" t="str">
        <f aca="false">IF(T633="Y","Superseded",IF(C633&gt;=Scoring!$B$16,"Immediate",IF(C633&gt;=Scoring!$B$17,"This week",IF(C633&gt;=Scoring!$B$18,"Nurture","Low"))))</f>
        <v>Nurture</v>
      </c>
      <c r="C633" s="3" t="n">
        <f aca="false">SUM(AC633:AH633)</f>
        <v>33</v>
      </c>
      <c r="D633" s="15" t="str">
        <f aca="false">IF(T633="Y","Superseded record",IF(AND(U633&lt;&gt;"",AA633&lt;0),"Expired (verified)",IF(AND(U633&lt;&gt;"",AA633&lt;=Scoring!$B$5),"Expiring: notice window (verified)",IF(AND(U633&lt;&gt;"",AA633&lt;=Scoring!$B$6),"Expiring: 10-yr horizon (verified)",IF(M633="No Longer Monitored","Out of program",IF(N633="","Unknown vintage",IF(N633&lt;Scoring!$B$12,"Pre-1990, still listed",IF(AND(U633="",AA633&lt;0),"Past 30-yr mark (verify)",IF(AND(U633="",AA633&lt;=Scoring!$B$5),"30-yr mark: notice window (est.)",IF(AND(O633&gt;=Scoring!$B$7,O633&lt;=Scoring!$B$8),"Year-15 window",IF(O633&gt;=Scoring!$B$9,"Recap window",IF(O633&gt;=11,"Late compliance","Credit period"))))))))))))</f>
        <v>Late compliance</v>
      </c>
      <c r="E633" s="15" t="s">
        <v>2216</v>
      </c>
      <c r="F633" s="15" t="s">
        <v>2217</v>
      </c>
      <c r="G633" s="15" t="s">
        <v>2218</v>
      </c>
      <c r="H633" s="15" t="s">
        <v>107</v>
      </c>
      <c r="I633" s="15" t="s">
        <v>108</v>
      </c>
      <c r="J633" s="15" t="n">
        <v>78</v>
      </c>
      <c r="K633" s="15" t="n">
        <v>78</v>
      </c>
      <c r="L633" s="15" t="n">
        <f aca="false">IF(OR(J633="",K633=""),"",MAX(J633-K633,0))</f>
        <v>0</v>
      </c>
      <c r="M633" s="15" t="s">
        <v>99</v>
      </c>
      <c r="N633" s="17" t="n">
        <v>2014</v>
      </c>
      <c r="O633" s="15" t="n">
        <f aca="false">IF(N633="","",Scoring!$B$4-N633)</f>
        <v>12</v>
      </c>
      <c r="P633" s="15" t="n">
        <f aca="false">IF(N633="","",N633+14)</f>
        <v>2028</v>
      </c>
      <c r="Q633" s="15" t="n">
        <f aca="false">IF(N633="","",IF(N633&lt;Scoring!$B$12,"n/a (pre-1990)",N633+Scoring!$B$13))</f>
        <v>2043</v>
      </c>
      <c r="R633" s="15" t="str">
        <f aca="false">IF(J633="","Unknown",IF(J633&gt;=5,"Yes","No (under 5 units)"))</f>
        <v>Yes</v>
      </c>
      <c r="S633" s="15"/>
      <c r="T633" s="18"/>
      <c r="U633" s="19"/>
      <c r="V633" s="18"/>
      <c r="W633" s="18"/>
      <c r="X633" s="20"/>
      <c r="Y633" s="18"/>
      <c r="Z633" s="18"/>
      <c r="AA633" s="21" t="n">
        <f aca="false">IF(U633&lt;&gt;"",(U633-Scoring!$B$3)/365.25,IF(N633="","",IF(N633&lt;Scoring!$B$12,"",(DATE(N633+Scoring!$B$13,12,31)-Scoring!$B$3)/365.25)))</f>
        <v>17.2457221081451</v>
      </c>
      <c r="AB633" s="22" t="n">
        <f aca="false">IF(T633="Y",0,IF(OR(D633="Expired (verified)",D633="Expiring: notice window (verified)",D633="Expiring: 10-yr horizon (verified)",D633="Past 30-yr mark (verify)",D633="30-yr mark: notice window (est.)",D633="Year-15 window"),1,0)+IF(ISNUMBER(O633),IF(O633&gt;=Scoring!$B$10,1,0),0)+IF(AND(ISNUMBER(L633),ISNUMBER(J633)),IF(J633&gt;0,IF(L633/J633&gt;=Scoring!$B$11,1,0),0),0)+IF(ISNUMBER(Z633),MIN(Z633,3),0))</f>
        <v>0</v>
      </c>
      <c r="AC633" s="22" t="n">
        <f aca="false">IF(AB633&gt;=3,Scoring!$C$24,IF(AB633=2,Scoring!$C$23,IF(AB633=1,Scoring!$C$22,0)))</f>
        <v>0</v>
      </c>
      <c r="AD633" s="22" t="n">
        <f aca="false">IF(T633="Y",0,IF(ISNUMBER(X633),IF(X633&gt;0.7,Scoring!$C$25,IF(X633&gt;=0.5,Scoring!$C$26,IF(X633&gt;=0.3,Scoring!$C$27,Scoring!$C$28))),Scoring!$C$29))</f>
        <v>10</v>
      </c>
      <c r="AE633" s="22" t="n">
        <f aca="false">IF(D633="Expiring: notice window (verified)",Scoring!$C$30,IF(OR(D633="Expired (verified)",D633="30-yr mark: notice window (est.)",D633="Year-15 window"),Scoring!$C$31,IF(D633="Expiring: 10-yr horizon (verified)",Scoring!$C$32,IF(D633="Past 30-yr mark (verify)",Scoring!$C$33,IF(OR(D633="Credit period",D633="Superseded record"),Scoring!$C$35,Scoring!$C$34)))))</f>
        <v>4</v>
      </c>
      <c r="AF633" s="22" t="n">
        <f aca="false">IF(T633="Y",0,IF(ISNUMBER(V633),IF(Scoring!$B$4-V633&gt;15,Scoring!$C$36,IF(Scoring!$B$4-V633&gt;=10,Scoring!$C$37,IF(Scoring!$B$4-V633&gt;=5,Scoring!$C$38,Scoring!$C$39))),IF(OR(N633="",D633="Out of program"),Scoring!$C$40,IF(O633&gt;15,Scoring!$C$36,IF(O633&gt;=10,Scoring!$C$37,IF(O633&gt;=5,Scoring!$C$38,Scoring!$C$39))))))</f>
        <v>12</v>
      </c>
      <c r="AG633" s="22" t="n">
        <f aca="false">IF(T633="Y",0,IF(Y633="Y",Scoring!$C$41,IF(ISNUMBER(O633),IF(O633&gt;=25,Scoring!$C$42,IF(O633&gt;=15,Scoring!$C$43,Scoring!$C$44)),Scoring!$C$44)))</f>
        <v>2</v>
      </c>
      <c r="AH633" s="22" t="n">
        <f aca="false">IF(T633="Y",0,IF(W633="",Scoring!$C$49,IFERROR(VLOOKUP(W633,Scoring!$B$45:$C$48,2,FALSE()),Scoring!$C$49)))</f>
        <v>5</v>
      </c>
      <c r="AI633" s="23" t="n">
        <f aca="false">C633+IF(ISNUMBER(J633),J633,0)/100000+(10000-ROW())/1000000000</f>
        <v>33.000789367</v>
      </c>
      <c r="AJ633" s="18"/>
      <c r="AK633" s="18"/>
      <c r="AL633" s="18"/>
      <c r="AM633" s="18"/>
    </row>
    <row r="634" customFormat="false" ht="15" hidden="false" customHeight="false" outlineLevel="0" collapsed="false">
      <c r="A634" s="15" t="n">
        <f aca="false">RANK(AI634,$AI$2:$AI$755)</f>
        <v>633</v>
      </c>
      <c r="B634" s="16" t="str">
        <f aca="false">IF(T634="Y","Superseded",IF(C634&gt;=Scoring!$B$16,"Immediate",IF(C634&gt;=Scoring!$B$17,"This week",IF(C634&gt;=Scoring!$B$18,"Nurture","Low"))))</f>
        <v>Nurture</v>
      </c>
      <c r="C634" s="3" t="n">
        <f aca="false">SUM(AC634:AH634)</f>
        <v>33</v>
      </c>
      <c r="D634" s="15" t="str">
        <f aca="false">IF(T634="Y","Superseded record",IF(AND(U634&lt;&gt;"",AA634&lt;0),"Expired (verified)",IF(AND(U634&lt;&gt;"",AA634&lt;=Scoring!$B$5),"Expiring: notice window (verified)",IF(AND(U634&lt;&gt;"",AA634&lt;=Scoring!$B$6),"Expiring: 10-yr horizon (verified)",IF(M634="No Longer Monitored","Out of program",IF(N634="","Unknown vintage",IF(N634&lt;Scoring!$B$12,"Pre-1990, still listed",IF(AND(U634="",AA634&lt;0),"Past 30-yr mark (verify)",IF(AND(U634="",AA634&lt;=Scoring!$B$5),"30-yr mark: notice window (est.)",IF(AND(O634&gt;=Scoring!$B$7,O634&lt;=Scoring!$B$8),"Year-15 window",IF(O634&gt;=Scoring!$B$9,"Recap window",IF(O634&gt;=11,"Late compliance","Credit period"))))))))))))</f>
        <v>Late compliance</v>
      </c>
      <c r="E634" s="15" t="s">
        <v>2219</v>
      </c>
      <c r="F634" s="15" t="s">
        <v>2220</v>
      </c>
      <c r="G634" s="15" t="s">
        <v>2221</v>
      </c>
      <c r="H634" s="15" t="s">
        <v>777</v>
      </c>
      <c r="I634" s="15" t="s">
        <v>778</v>
      </c>
      <c r="J634" s="15" t="n">
        <v>76</v>
      </c>
      <c r="K634" s="15" t="n">
        <v>76</v>
      </c>
      <c r="L634" s="15" t="n">
        <f aca="false">IF(OR(J634="",K634=""),"",MAX(J634-K634,0))</f>
        <v>0</v>
      </c>
      <c r="M634" s="15" t="s">
        <v>99</v>
      </c>
      <c r="N634" s="17" t="n">
        <v>2014</v>
      </c>
      <c r="O634" s="15" t="n">
        <f aca="false">IF(N634="","",Scoring!$B$4-N634)</f>
        <v>12</v>
      </c>
      <c r="P634" s="15" t="n">
        <f aca="false">IF(N634="","",N634+14)</f>
        <v>2028</v>
      </c>
      <c r="Q634" s="15" t="n">
        <f aca="false">IF(N634="","",IF(N634&lt;Scoring!$B$12,"n/a (pre-1990)",N634+Scoring!$B$13))</f>
        <v>2043</v>
      </c>
      <c r="R634" s="15" t="str">
        <f aca="false">IF(J634="","Unknown",IF(J634&gt;=5,"Yes","No (under 5 units)"))</f>
        <v>Yes</v>
      </c>
      <c r="S634" s="15" t="s">
        <v>2222</v>
      </c>
      <c r="T634" s="18"/>
      <c r="U634" s="19"/>
      <c r="V634" s="18"/>
      <c r="W634" s="18"/>
      <c r="X634" s="20"/>
      <c r="Y634" s="18"/>
      <c r="Z634" s="18"/>
      <c r="AA634" s="21" t="n">
        <f aca="false">IF(U634&lt;&gt;"",(U634-Scoring!$B$3)/365.25,IF(N634="","",IF(N634&lt;Scoring!$B$12,"",(DATE(N634+Scoring!$B$13,12,31)-Scoring!$B$3)/365.25)))</f>
        <v>17.2457221081451</v>
      </c>
      <c r="AB634" s="22" t="n">
        <f aca="false">IF(T634="Y",0,IF(OR(D634="Expired (verified)",D634="Expiring: notice window (verified)",D634="Expiring: 10-yr horizon (verified)",D634="Past 30-yr mark (verify)",D634="30-yr mark: notice window (est.)",D634="Year-15 window"),1,0)+IF(ISNUMBER(O634),IF(O634&gt;=Scoring!$B$10,1,0),0)+IF(AND(ISNUMBER(L634),ISNUMBER(J634)),IF(J634&gt;0,IF(L634/J634&gt;=Scoring!$B$11,1,0),0),0)+IF(ISNUMBER(Z634),MIN(Z634,3),0))</f>
        <v>0</v>
      </c>
      <c r="AC634" s="22" t="n">
        <f aca="false">IF(AB634&gt;=3,Scoring!$C$24,IF(AB634=2,Scoring!$C$23,IF(AB634=1,Scoring!$C$22,0)))</f>
        <v>0</v>
      </c>
      <c r="AD634" s="22" t="n">
        <f aca="false">IF(T634="Y",0,IF(ISNUMBER(X634),IF(X634&gt;0.7,Scoring!$C$25,IF(X634&gt;=0.5,Scoring!$C$26,IF(X634&gt;=0.3,Scoring!$C$27,Scoring!$C$28))),Scoring!$C$29))</f>
        <v>10</v>
      </c>
      <c r="AE634" s="22" t="n">
        <f aca="false">IF(D634="Expiring: notice window (verified)",Scoring!$C$30,IF(OR(D634="Expired (verified)",D634="30-yr mark: notice window (est.)",D634="Year-15 window"),Scoring!$C$31,IF(D634="Expiring: 10-yr horizon (verified)",Scoring!$C$32,IF(D634="Past 30-yr mark (verify)",Scoring!$C$33,IF(OR(D634="Credit period",D634="Superseded record"),Scoring!$C$35,Scoring!$C$34)))))</f>
        <v>4</v>
      </c>
      <c r="AF634" s="22" t="n">
        <f aca="false">IF(T634="Y",0,IF(ISNUMBER(V634),IF(Scoring!$B$4-V634&gt;15,Scoring!$C$36,IF(Scoring!$B$4-V634&gt;=10,Scoring!$C$37,IF(Scoring!$B$4-V634&gt;=5,Scoring!$C$38,Scoring!$C$39))),IF(OR(N634="",D634="Out of program"),Scoring!$C$40,IF(O634&gt;15,Scoring!$C$36,IF(O634&gt;=10,Scoring!$C$37,IF(O634&gt;=5,Scoring!$C$38,Scoring!$C$39))))))</f>
        <v>12</v>
      </c>
      <c r="AG634" s="22" t="n">
        <f aca="false">IF(T634="Y",0,IF(Y634="Y",Scoring!$C$41,IF(ISNUMBER(O634),IF(O634&gt;=25,Scoring!$C$42,IF(O634&gt;=15,Scoring!$C$43,Scoring!$C$44)),Scoring!$C$44)))</f>
        <v>2</v>
      </c>
      <c r="AH634" s="22" t="n">
        <f aca="false">IF(T634="Y",0,IF(W634="",Scoring!$C$49,IFERROR(VLOOKUP(W634,Scoring!$B$45:$C$48,2,FALSE()),Scoring!$C$49)))</f>
        <v>5</v>
      </c>
      <c r="AI634" s="23" t="n">
        <f aca="false">C634+IF(ISNUMBER(J634),J634,0)/100000+(10000-ROW())/1000000000</f>
        <v>33.000769366</v>
      </c>
      <c r="AJ634" s="18"/>
      <c r="AK634" s="18"/>
      <c r="AL634" s="18"/>
      <c r="AM634" s="18"/>
    </row>
    <row r="635" customFormat="false" ht="15" hidden="false" customHeight="false" outlineLevel="0" collapsed="false">
      <c r="A635" s="15" t="n">
        <f aca="false">RANK(AI635,$AI$2:$AI$755)</f>
        <v>634</v>
      </c>
      <c r="B635" s="16" t="str">
        <f aca="false">IF(T635="Y","Superseded",IF(C635&gt;=Scoring!$B$16,"Immediate",IF(C635&gt;=Scoring!$B$17,"This week",IF(C635&gt;=Scoring!$B$18,"Nurture","Low"))))</f>
        <v>Nurture</v>
      </c>
      <c r="C635" s="3" t="n">
        <f aca="false">SUM(AC635:AH635)</f>
        <v>33</v>
      </c>
      <c r="D635" s="15" t="str">
        <f aca="false">IF(T635="Y","Superseded record",IF(AND(U635&lt;&gt;"",AA635&lt;0),"Expired (verified)",IF(AND(U635&lt;&gt;"",AA635&lt;=Scoring!$B$5),"Expiring: notice window (verified)",IF(AND(U635&lt;&gt;"",AA635&lt;=Scoring!$B$6),"Expiring: 10-yr horizon (verified)",IF(M635="No Longer Monitored","Out of program",IF(N635="","Unknown vintage",IF(N635&lt;Scoring!$B$12,"Pre-1990, still listed",IF(AND(U635="",AA635&lt;0),"Past 30-yr mark (verify)",IF(AND(U635="",AA635&lt;=Scoring!$B$5),"30-yr mark: notice window (est.)",IF(AND(O635&gt;=Scoring!$B$7,O635&lt;=Scoring!$B$8),"Year-15 window",IF(O635&gt;=Scoring!$B$9,"Recap window",IF(O635&gt;=11,"Late compliance","Credit period"))))))))))))</f>
        <v>Late compliance</v>
      </c>
      <c r="E635" s="15" t="s">
        <v>2223</v>
      </c>
      <c r="F635" s="15" t="s">
        <v>2224</v>
      </c>
      <c r="G635" s="15" t="s">
        <v>2225</v>
      </c>
      <c r="H635" s="15" t="s">
        <v>97</v>
      </c>
      <c r="I635" s="15" t="s">
        <v>1393</v>
      </c>
      <c r="J635" s="15" t="n">
        <v>75</v>
      </c>
      <c r="K635" s="15" t="n">
        <v>75</v>
      </c>
      <c r="L635" s="15" t="n">
        <f aca="false">IF(OR(J635="",K635=""),"",MAX(J635-K635,0))</f>
        <v>0</v>
      </c>
      <c r="M635" s="15" t="s">
        <v>99</v>
      </c>
      <c r="N635" s="17" t="n">
        <v>2014</v>
      </c>
      <c r="O635" s="15" t="n">
        <f aca="false">IF(N635="","",Scoring!$B$4-N635)</f>
        <v>12</v>
      </c>
      <c r="P635" s="15" t="n">
        <f aca="false">IF(N635="","",N635+14)</f>
        <v>2028</v>
      </c>
      <c r="Q635" s="15" t="n">
        <f aca="false">IF(N635="","",IF(N635&lt;Scoring!$B$12,"n/a (pre-1990)",N635+Scoring!$B$13))</f>
        <v>2043</v>
      </c>
      <c r="R635" s="15" t="str">
        <f aca="false">IF(J635="","Unknown",IF(J635&gt;=5,"Yes","No (under 5 units)"))</f>
        <v>Yes</v>
      </c>
      <c r="S635" s="15"/>
      <c r="T635" s="18"/>
      <c r="U635" s="19"/>
      <c r="V635" s="18"/>
      <c r="W635" s="18"/>
      <c r="X635" s="20"/>
      <c r="Y635" s="18"/>
      <c r="Z635" s="18"/>
      <c r="AA635" s="21" t="n">
        <f aca="false">IF(U635&lt;&gt;"",(U635-Scoring!$B$3)/365.25,IF(N635="","",IF(N635&lt;Scoring!$B$12,"",(DATE(N635+Scoring!$B$13,12,31)-Scoring!$B$3)/365.25)))</f>
        <v>17.2457221081451</v>
      </c>
      <c r="AB635" s="22" t="n">
        <f aca="false">IF(T635="Y",0,IF(OR(D635="Expired (verified)",D635="Expiring: notice window (verified)",D635="Expiring: 10-yr horizon (verified)",D635="Past 30-yr mark (verify)",D635="30-yr mark: notice window (est.)",D635="Year-15 window"),1,0)+IF(ISNUMBER(O635),IF(O635&gt;=Scoring!$B$10,1,0),0)+IF(AND(ISNUMBER(L635),ISNUMBER(J635)),IF(J635&gt;0,IF(L635/J635&gt;=Scoring!$B$11,1,0),0),0)+IF(ISNUMBER(Z635),MIN(Z635,3),0))</f>
        <v>0</v>
      </c>
      <c r="AC635" s="22" t="n">
        <f aca="false">IF(AB635&gt;=3,Scoring!$C$24,IF(AB635=2,Scoring!$C$23,IF(AB635=1,Scoring!$C$22,0)))</f>
        <v>0</v>
      </c>
      <c r="AD635" s="22" t="n">
        <f aca="false">IF(T635="Y",0,IF(ISNUMBER(X635),IF(X635&gt;0.7,Scoring!$C$25,IF(X635&gt;=0.5,Scoring!$C$26,IF(X635&gt;=0.3,Scoring!$C$27,Scoring!$C$28))),Scoring!$C$29))</f>
        <v>10</v>
      </c>
      <c r="AE635" s="22" t="n">
        <f aca="false">IF(D635="Expiring: notice window (verified)",Scoring!$C$30,IF(OR(D635="Expired (verified)",D635="30-yr mark: notice window (est.)",D635="Year-15 window"),Scoring!$C$31,IF(D635="Expiring: 10-yr horizon (verified)",Scoring!$C$32,IF(D635="Past 30-yr mark (verify)",Scoring!$C$33,IF(OR(D635="Credit period",D635="Superseded record"),Scoring!$C$35,Scoring!$C$34)))))</f>
        <v>4</v>
      </c>
      <c r="AF635" s="22" t="n">
        <f aca="false">IF(T635="Y",0,IF(ISNUMBER(V635),IF(Scoring!$B$4-V635&gt;15,Scoring!$C$36,IF(Scoring!$B$4-V635&gt;=10,Scoring!$C$37,IF(Scoring!$B$4-V635&gt;=5,Scoring!$C$38,Scoring!$C$39))),IF(OR(N635="",D635="Out of program"),Scoring!$C$40,IF(O635&gt;15,Scoring!$C$36,IF(O635&gt;=10,Scoring!$C$37,IF(O635&gt;=5,Scoring!$C$38,Scoring!$C$39))))))</f>
        <v>12</v>
      </c>
      <c r="AG635" s="22" t="n">
        <f aca="false">IF(T635="Y",0,IF(Y635="Y",Scoring!$C$41,IF(ISNUMBER(O635),IF(O635&gt;=25,Scoring!$C$42,IF(O635&gt;=15,Scoring!$C$43,Scoring!$C$44)),Scoring!$C$44)))</f>
        <v>2</v>
      </c>
      <c r="AH635" s="22" t="n">
        <f aca="false">IF(T635="Y",0,IF(W635="",Scoring!$C$49,IFERROR(VLOOKUP(W635,Scoring!$B$45:$C$48,2,FALSE()),Scoring!$C$49)))</f>
        <v>5</v>
      </c>
      <c r="AI635" s="23" t="n">
        <f aca="false">C635+IF(ISNUMBER(J635),J635,0)/100000+(10000-ROW())/1000000000</f>
        <v>33.000759365</v>
      </c>
      <c r="AJ635" s="18"/>
      <c r="AK635" s="18"/>
      <c r="AL635" s="18"/>
      <c r="AM635" s="18"/>
    </row>
    <row r="636" customFormat="false" ht="15" hidden="false" customHeight="false" outlineLevel="0" collapsed="false">
      <c r="A636" s="15" t="n">
        <f aca="false">RANK(AI636,$AI$2:$AI$755)</f>
        <v>635</v>
      </c>
      <c r="B636" s="16" t="str">
        <f aca="false">IF(T636="Y","Superseded",IF(C636&gt;=Scoring!$B$16,"Immediate",IF(C636&gt;=Scoring!$B$17,"This week",IF(C636&gt;=Scoring!$B$18,"Nurture","Low"))))</f>
        <v>Nurture</v>
      </c>
      <c r="C636" s="3" t="n">
        <f aca="false">SUM(AC636:AH636)</f>
        <v>33</v>
      </c>
      <c r="D636" s="15" t="str">
        <f aca="false">IF(T636="Y","Superseded record",IF(AND(U636&lt;&gt;"",AA636&lt;0),"Expired (verified)",IF(AND(U636&lt;&gt;"",AA636&lt;=Scoring!$B$5),"Expiring: notice window (verified)",IF(AND(U636&lt;&gt;"",AA636&lt;=Scoring!$B$6),"Expiring: 10-yr horizon (verified)",IF(M636="No Longer Monitored","Out of program",IF(N636="","Unknown vintage",IF(N636&lt;Scoring!$B$12,"Pre-1990, still listed",IF(AND(U636="",AA636&lt;0),"Past 30-yr mark (verify)",IF(AND(U636="",AA636&lt;=Scoring!$B$5),"30-yr mark: notice window (est.)",IF(AND(O636&gt;=Scoring!$B$7,O636&lt;=Scoring!$B$8),"Year-15 window",IF(O636&gt;=Scoring!$B$9,"Recap window",IF(O636&gt;=11,"Late compliance","Credit period"))))))))))))</f>
        <v>Late compliance</v>
      </c>
      <c r="E636" s="15" t="s">
        <v>2226</v>
      </c>
      <c r="F636" s="15" t="s">
        <v>2227</v>
      </c>
      <c r="G636" s="15" t="s">
        <v>2228</v>
      </c>
      <c r="H636" s="15" t="s">
        <v>185</v>
      </c>
      <c r="I636" s="15" t="s">
        <v>1488</v>
      </c>
      <c r="J636" s="15" t="n">
        <v>70</v>
      </c>
      <c r="K636" s="15" t="n">
        <v>70</v>
      </c>
      <c r="L636" s="15" t="n">
        <f aca="false">IF(OR(J636="",K636=""),"",MAX(J636-K636,0))</f>
        <v>0</v>
      </c>
      <c r="M636" s="15" t="s">
        <v>99</v>
      </c>
      <c r="N636" s="17" t="n">
        <v>2014</v>
      </c>
      <c r="O636" s="15" t="n">
        <f aca="false">IF(N636="","",Scoring!$B$4-N636)</f>
        <v>12</v>
      </c>
      <c r="P636" s="15" t="n">
        <f aca="false">IF(N636="","",N636+14)</f>
        <v>2028</v>
      </c>
      <c r="Q636" s="15" t="n">
        <f aca="false">IF(N636="","",IF(N636&lt;Scoring!$B$12,"n/a (pre-1990)",N636+Scoring!$B$13))</f>
        <v>2043</v>
      </c>
      <c r="R636" s="15" t="str">
        <f aca="false">IF(J636="","Unknown",IF(J636&gt;=5,"Yes","No (under 5 units)"))</f>
        <v>Yes</v>
      </c>
      <c r="S636" s="15" t="s">
        <v>2229</v>
      </c>
      <c r="T636" s="18"/>
      <c r="U636" s="19"/>
      <c r="V636" s="18"/>
      <c r="W636" s="18"/>
      <c r="X636" s="20"/>
      <c r="Y636" s="18"/>
      <c r="Z636" s="18"/>
      <c r="AA636" s="21" t="n">
        <f aca="false">IF(U636&lt;&gt;"",(U636-Scoring!$B$3)/365.25,IF(N636="","",IF(N636&lt;Scoring!$B$12,"",(DATE(N636+Scoring!$B$13,12,31)-Scoring!$B$3)/365.25)))</f>
        <v>17.2457221081451</v>
      </c>
      <c r="AB636" s="22" t="n">
        <f aca="false">IF(T636="Y",0,IF(OR(D636="Expired (verified)",D636="Expiring: notice window (verified)",D636="Expiring: 10-yr horizon (verified)",D636="Past 30-yr mark (verify)",D636="30-yr mark: notice window (est.)",D636="Year-15 window"),1,0)+IF(ISNUMBER(O636),IF(O636&gt;=Scoring!$B$10,1,0),0)+IF(AND(ISNUMBER(L636),ISNUMBER(J636)),IF(J636&gt;0,IF(L636/J636&gt;=Scoring!$B$11,1,0),0),0)+IF(ISNUMBER(Z636),MIN(Z636,3),0))</f>
        <v>0</v>
      </c>
      <c r="AC636" s="22" t="n">
        <f aca="false">IF(AB636&gt;=3,Scoring!$C$24,IF(AB636=2,Scoring!$C$23,IF(AB636=1,Scoring!$C$22,0)))</f>
        <v>0</v>
      </c>
      <c r="AD636" s="22" t="n">
        <f aca="false">IF(T636="Y",0,IF(ISNUMBER(X636),IF(X636&gt;0.7,Scoring!$C$25,IF(X636&gt;=0.5,Scoring!$C$26,IF(X636&gt;=0.3,Scoring!$C$27,Scoring!$C$28))),Scoring!$C$29))</f>
        <v>10</v>
      </c>
      <c r="AE636" s="22" t="n">
        <f aca="false">IF(D636="Expiring: notice window (verified)",Scoring!$C$30,IF(OR(D636="Expired (verified)",D636="30-yr mark: notice window (est.)",D636="Year-15 window"),Scoring!$C$31,IF(D636="Expiring: 10-yr horizon (verified)",Scoring!$C$32,IF(D636="Past 30-yr mark (verify)",Scoring!$C$33,IF(OR(D636="Credit period",D636="Superseded record"),Scoring!$C$35,Scoring!$C$34)))))</f>
        <v>4</v>
      </c>
      <c r="AF636" s="22" t="n">
        <f aca="false">IF(T636="Y",0,IF(ISNUMBER(V636),IF(Scoring!$B$4-V636&gt;15,Scoring!$C$36,IF(Scoring!$B$4-V636&gt;=10,Scoring!$C$37,IF(Scoring!$B$4-V636&gt;=5,Scoring!$C$38,Scoring!$C$39))),IF(OR(N636="",D636="Out of program"),Scoring!$C$40,IF(O636&gt;15,Scoring!$C$36,IF(O636&gt;=10,Scoring!$C$37,IF(O636&gt;=5,Scoring!$C$38,Scoring!$C$39))))))</f>
        <v>12</v>
      </c>
      <c r="AG636" s="22" t="n">
        <f aca="false">IF(T636="Y",0,IF(Y636="Y",Scoring!$C$41,IF(ISNUMBER(O636),IF(O636&gt;=25,Scoring!$C$42,IF(O636&gt;=15,Scoring!$C$43,Scoring!$C$44)),Scoring!$C$44)))</f>
        <v>2</v>
      </c>
      <c r="AH636" s="22" t="n">
        <f aca="false">IF(T636="Y",0,IF(W636="",Scoring!$C$49,IFERROR(VLOOKUP(W636,Scoring!$B$45:$C$48,2,FALSE()),Scoring!$C$49)))</f>
        <v>5</v>
      </c>
      <c r="AI636" s="23" t="n">
        <f aca="false">C636+IF(ISNUMBER(J636),J636,0)/100000+(10000-ROW())/1000000000</f>
        <v>33.000709364</v>
      </c>
      <c r="AJ636" s="18"/>
      <c r="AK636" s="18"/>
      <c r="AL636" s="18"/>
      <c r="AM636" s="18"/>
    </row>
    <row r="637" customFormat="false" ht="15" hidden="false" customHeight="false" outlineLevel="0" collapsed="false">
      <c r="A637" s="15" t="n">
        <f aca="false">RANK(AI637,$AI$2:$AI$755)</f>
        <v>636</v>
      </c>
      <c r="B637" s="16" t="str">
        <f aca="false">IF(T637="Y","Superseded",IF(C637&gt;=Scoring!$B$16,"Immediate",IF(C637&gt;=Scoring!$B$17,"This week",IF(C637&gt;=Scoring!$B$18,"Nurture","Low"))))</f>
        <v>Nurture</v>
      </c>
      <c r="C637" s="3" t="n">
        <f aca="false">SUM(AC637:AH637)</f>
        <v>33</v>
      </c>
      <c r="D637" s="15" t="str">
        <f aca="false">IF(T637="Y","Superseded record",IF(AND(U637&lt;&gt;"",AA637&lt;0),"Expired (verified)",IF(AND(U637&lt;&gt;"",AA637&lt;=Scoring!$B$5),"Expiring: notice window (verified)",IF(AND(U637&lt;&gt;"",AA637&lt;=Scoring!$B$6),"Expiring: 10-yr horizon (verified)",IF(M637="No Longer Monitored","Out of program",IF(N637="","Unknown vintage",IF(N637&lt;Scoring!$B$12,"Pre-1990, still listed",IF(AND(U637="",AA637&lt;0),"Past 30-yr mark (verify)",IF(AND(U637="",AA637&lt;=Scoring!$B$5),"30-yr mark: notice window (est.)",IF(AND(O637&gt;=Scoring!$B$7,O637&lt;=Scoring!$B$8),"Year-15 window",IF(O637&gt;=Scoring!$B$9,"Recap window",IF(O637&gt;=11,"Late compliance","Credit period"))))))))))))</f>
        <v>Late compliance</v>
      </c>
      <c r="E637" s="15" t="s">
        <v>2230</v>
      </c>
      <c r="F637" s="15" t="s">
        <v>2231</v>
      </c>
      <c r="G637" s="15" t="s">
        <v>2232</v>
      </c>
      <c r="H637" s="15" t="s">
        <v>185</v>
      </c>
      <c r="I637" s="15" t="s">
        <v>1488</v>
      </c>
      <c r="J637" s="15" t="n">
        <v>70</v>
      </c>
      <c r="K637" s="15" t="n">
        <v>70</v>
      </c>
      <c r="L637" s="15" t="n">
        <f aca="false">IF(OR(J637="",K637=""),"",MAX(J637-K637,0))</f>
        <v>0</v>
      </c>
      <c r="M637" s="15" t="s">
        <v>99</v>
      </c>
      <c r="N637" s="17" t="n">
        <v>2014</v>
      </c>
      <c r="O637" s="15" t="n">
        <f aca="false">IF(N637="","",Scoring!$B$4-N637)</f>
        <v>12</v>
      </c>
      <c r="P637" s="15" t="n">
        <f aca="false">IF(N637="","",N637+14)</f>
        <v>2028</v>
      </c>
      <c r="Q637" s="15" t="n">
        <f aca="false">IF(N637="","",IF(N637&lt;Scoring!$B$12,"n/a (pre-1990)",N637+Scoring!$B$13))</f>
        <v>2043</v>
      </c>
      <c r="R637" s="15" t="str">
        <f aca="false">IF(J637="","Unknown",IF(J637&gt;=5,"Yes","No (under 5 units)"))</f>
        <v>Yes</v>
      </c>
      <c r="S637" s="15" t="s">
        <v>2233</v>
      </c>
      <c r="T637" s="18"/>
      <c r="U637" s="19"/>
      <c r="V637" s="18"/>
      <c r="W637" s="18"/>
      <c r="X637" s="20"/>
      <c r="Y637" s="18"/>
      <c r="Z637" s="18"/>
      <c r="AA637" s="21" t="n">
        <f aca="false">IF(U637&lt;&gt;"",(U637-Scoring!$B$3)/365.25,IF(N637="","",IF(N637&lt;Scoring!$B$12,"",(DATE(N637+Scoring!$B$13,12,31)-Scoring!$B$3)/365.25)))</f>
        <v>17.2457221081451</v>
      </c>
      <c r="AB637" s="22" t="n">
        <f aca="false">IF(T637="Y",0,IF(OR(D637="Expired (verified)",D637="Expiring: notice window (verified)",D637="Expiring: 10-yr horizon (verified)",D637="Past 30-yr mark (verify)",D637="30-yr mark: notice window (est.)",D637="Year-15 window"),1,0)+IF(ISNUMBER(O637),IF(O637&gt;=Scoring!$B$10,1,0),0)+IF(AND(ISNUMBER(L637),ISNUMBER(J637)),IF(J637&gt;0,IF(L637/J637&gt;=Scoring!$B$11,1,0),0),0)+IF(ISNUMBER(Z637),MIN(Z637,3),0))</f>
        <v>0</v>
      </c>
      <c r="AC637" s="22" t="n">
        <f aca="false">IF(AB637&gt;=3,Scoring!$C$24,IF(AB637=2,Scoring!$C$23,IF(AB637=1,Scoring!$C$22,0)))</f>
        <v>0</v>
      </c>
      <c r="AD637" s="22" t="n">
        <f aca="false">IF(T637="Y",0,IF(ISNUMBER(X637),IF(X637&gt;0.7,Scoring!$C$25,IF(X637&gt;=0.5,Scoring!$C$26,IF(X637&gt;=0.3,Scoring!$C$27,Scoring!$C$28))),Scoring!$C$29))</f>
        <v>10</v>
      </c>
      <c r="AE637" s="22" t="n">
        <f aca="false">IF(D637="Expiring: notice window (verified)",Scoring!$C$30,IF(OR(D637="Expired (verified)",D637="30-yr mark: notice window (est.)",D637="Year-15 window"),Scoring!$C$31,IF(D637="Expiring: 10-yr horizon (verified)",Scoring!$C$32,IF(D637="Past 30-yr mark (verify)",Scoring!$C$33,IF(OR(D637="Credit period",D637="Superseded record"),Scoring!$C$35,Scoring!$C$34)))))</f>
        <v>4</v>
      </c>
      <c r="AF637" s="22" t="n">
        <f aca="false">IF(T637="Y",0,IF(ISNUMBER(V637),IF(Scoring!$B$4-V637&gt;15,Scoring!$C$36,IF(Scoring!$B$4-V637&gt;=10,Scoring!$C$37,IF(Scoring!$B$4-V637&gt;=5,Scoring!$C$38,Scoring!$C$39))),IF(OR(N637="",D637="Out of program"),Scoring!$C$40,IF(O637&gt;15,Scoring!$C$36,IF(O637&gt;=10,Scoring!$C$37,IF(O637&gt;=5,Scoring!$C$38,Scoring!$C$39))))))</f>
        <v>12</v>
      </c>
      <c r="AG637" s="22" t="n">
        <f aca="false">IF(T637="Y",0,IF(Y637="Y",Scoring!$C$41,IF(ISNUMBER(O637),IF(O637&gt;=25,Scoring!$C$42,IF(O637&gt;=15,Scoring!$C$43,Scoring!$C$44)),Scoring!$C$44)))</f>
        <v>2</v>
      </c>
      <c r="AH637" s="22" t="n">
        <f aca="false">IF(T637="Y",0,IF(W637="",Scoring!$C$49,IFERROR(VLOOKUP(W637,Scoring!$B$45:$C$48,2,FALSE()),Scoring!$C$49)))</f>
        <v>5</v>
      </c>
      <c r="AI637" s="23" t="n">
        <f aca="false">C637+IF(ISNUMBER(J637),J637,0)/100000+(10000-ROW())/1000000000</f>
        <v>33.000709363</v>
      </c>
      <c r="AJ637" s="18"/>
      <c r="AK637" s="18"/>
      <c r="AL637" s="18"/>
      <c r="AM637" s="18"/>
    </row>
    <row r="638" customFormat="false" ht="15" hidden="false" customHeight="false" outlineLevel="0" collapsed="false">
      <c r="A638" s="15" t="n">
        <f aca="false">RANK(AI638,$AI$2:$AI$755)</f>
        <v>637</v>
      </c>
      <c r="B638" s="16" t="str">
        <f aca="false">IF(T638="Y","Superseded",IF(C638&gt;=Scoring!$B$16,"Immediate",IF(C638&gt;=Scoring!$B$17,"This week",IF(C638&gt;=Scoring!$B$18,"Nurture","Low"))))</f>
        <v>Nurture</v>
      </c>
      <c r="C638" s="3" t="n">
        <f aca="false">SUM(AC638:AH638)</f>
        <v>33</v>
      </c>
      <c r="D638" s="15" t="str">
        <f aca="false">IF(T638="Y","Superseded record",IF(AND(U638&lt;&gt;"",AA638&lt;0),"Expired (verified)",IF(AND(U638&lt;&gt;"",AA638&lt;=Scoring!$B$5),"Expiring: notice window (verified)",IF(AND(U638&lt;&gt;"",AA638&lt;=Scoring!$B$6),"Expiring: 10-yr horizon (verified)",IF(M638="No Longer Monitored","Out of program",IF(N638="","Unknown vintage",IF(N638&lt;Scoring!$B$12,"Pre-1990, still listed",IF(AND(U638="",AA638&lt;0),"Past 30-yr mark (verify)",IF(AND(U638="",AA638&lt;=Scoring!$B$5),"30-yr mark: notice window (est.)",IF(AND(O638&gt;=Scoring!$B$7,O638&lt;=Scoring!$B$8),"Year-15 window",IF(O638&gt;=Scoring!$B$9,"Recap window",IF(O638&gt;=11,"Late compliance","Credit period"))))))))))))</f>
        <v>Late compliance</v>
      </c>
      <c r="E638" s="15" t="s">
        <v>2234</v>
      </c>
      <c r="F638" s="15" t="s">
        <v>2235</v>
      </c>
      <c r="G638" s="15" t="s">
        <v>2236</v>
      </c>
      <c r="H638" s="15" t="s">
        <v>97</v>
      </c>
      <c r="I638" s="15" t="s">
        <v>859</v>
      </c>
      <c r="J638" s="15" t="n">
        <v>67</v>
      </c>
      <c r="K638" s="15" t="n">
        <v>67</v>
      </c>
      <c r="L638" s="15" t="n">
        <f aca="false">IF(OR(J638="",K638=""),"",MAX(J638-K638,0))</f>
        <v>0</v>
      </c>
      <c r="M638" s="15" t="s">
        <v>99</v>
      </c>
      <c r="N638" s="17" t="n">
        <v>2014</v>
      </c>
      <c r="O638" s="15" t="n">
        <f aca="false">IF(N638="","",Scoring!$B$4-N638)</f>
        <v>12</v>
      </c>
      <c r="P638" s="15" t="n">
        <f aca="false">IF(N638="","",N638+14)</f>
        <v>2028</v>
      </c>
      <c r="Q638" s="15" t="n">
        <f aca="false">IF(N638="","",IF(N638&lt;Scoring!$B$12,"n/a (pre-1990)",N638+Scoring!$B$13))</f>
        <v>2043</v>
      </c>
      <c r="R638" s="15" t="str">
        <f aca="false">IF(J638="","Unknown",IF(J638&gt;=5,"Yes","No (under 5 units)"))</f>
        <v>Yes</v>
      </c>
      <c r="S638" s="15"/>
      <c r="T638" s="18"/>
      <c r="U638" s="19"/>
      <c r="V638" s="18"/>
      <c r="W638" s="18"/>
      <c r="X638" s="20"/>
      <c r="Y638" s="18"/>
      <c r="Z638" s="18"/>
      <c r="AA638" s="21" t="n">
        <f aca="false">IF(U638&lt;&gt;"",(U638-Scoring!$B$3)/365.25,IF(N638="","",IF(N638&lt;Scoring!$B$12,"",(DATE(N638+Scoring!$B$13,12,31)-Scoring!$B$3)/365.25)))</f>
        <v>17.2457221081451</v>
      </c>
      <c r="AB638" s="22" t="n">
        <f aca="false">IF(T638="Y",0,IF(OR(D638="Expired (verified)",D638="Expiring: notice window (verified)",D638="Expiring: 10-yr horizon (verified)",D638="Past 30-yr mark (verify)",D638="30-yr mark: notice window (est.)",D638="Year-15 window"),1,0)+IF(ISNUMBER(O638),IF(O638&gt;=Scoring!$B$10,1,0),0)+IF(AND(ISNUMBER(L638),ISNUMBER(J638)),IF(J638&gt;0,IF(L638/J638&gt;=Scoring!$B$11,1,0),0),0)+IF(ISNUMBER(Z638),MIN(Z638,3),0))</f>
        <v>0</v>
      </c>
      <c r="AC638" s="22" t="n">
        <f aca="false">IF(AB638&gt;=3,Scoring!$C$24,IF(AB638=2,Scoring!$C$23,IF(AB638=1,Scoring!$C$22,0)))</f>
        <v>0</v>
      </c>
      <c r="AD638" s="22" t="n">
        <f aca="false">IF(T638="Y",0,IF(ISNUMBER(X638),IF(X638&gt;0.7,Scoring!$C$25,IF(X638&gt;=0.5,Scoring!$C$26,IF(X638&gt;=0.3,Scoring!$C$27,Scoring!$C$28))),Scoring!$C$29))</f>
        <v>10</v>
      </c>
      <c r="AE638" s="22" t="n">
        <f aca="false">IF(D638="Expiring: notice window (verified)",Scoring!$C$30,IF(OR(D638="Expired (verified)",D638="30-yr mark: notice window (est.)",D638="Year-15 window"),Scoring!$C$31,IF(D638="Expiring: 10-yr horizon (verified)",Scoring!$C$32,IF(D638="Past 30-yr mark (verify)",Scoring!$C$33,IF(OR(D638="Credit period",D638="Superseded record"),Scoring!$C$35,Scoring!$C$34)))))</f>
        <v>4</v>
      </c>
      <c r="AF638" s="22" t="n">
        <f aca="false">IF(T638="Y",0,IF(ISNUMBER(V638),IF(Scoring!$B$4-V638&gt;15,Scoring!$C$36,IF(Scoring!$B$4-V638&gt;=10,Scoring!$C$37,IF(Scoring!$B$4-V638&gt;=5,Scoring!$C$38,Scoring!$C$39))),IF(OR(N638="",D638="Out of program"),Scoring!$C$40,IF(O638&gt;15,Scoring!$C$36,IF(O638&gt;=10,Scoring!$C$37,IF(O638&gt;=5,Scoring!$C$38,Scoring!$C$39))))))</f>
        <v>12</v>
      </c>
      <c r="AG638" s="22" t="n">
        <f aca="false">IF(T638="Y",0,IF(Y638="Y",Scoring!$C$41,IF(ISNUMBER(O638),IF(O638&gt;=25,Scoring!$C$42,IF(O638&gt;=15,Scoring!$C$43,Scoring!$C$44)),Scoring!$C$44)))</f>
        <v>2</v>
      </c>
      <c r="AH638" s="22" t="n">
        <f aca="false">IF(T638="Y",0,IF(W638="",Scoring!$C$49,IFERROR(VLOOKUP(W638,Scoring!$B$45:$C$48,2,FALSE()),Scoring!$C$49)))</f>
        <v>5</v>
      </c>
      <c r="AI638" s="23" t="n">
        <f aca="false">C638+IF(ISNUMBER(J638),J638,0)/100000+(10000-ROW())/1000000000</f>
        <v>33.000679362</v>
      </c>
      <c r="AJ638" s="18"/>
      <c r="AK638" s="18"/>
      <c r="AL638" s="18"/>
      <c r="AM638" s="18"/>
    </row>
    <row r="639" customFormat="false" ht="15" hidden="false" customHeight="false" outlineLevel="0" collapsed="false">
      <c r="A639" s="15" t="n">
        <f aca="false">RANK(AI639,$AI$2:$AI$755)</f>
        <v>638</v>
      </c>
      <c r="B639" s="16" t="str">
        <f aca="false">IF(T639="Y","Superseded",IF(C639&gt;=Scoring!$B$16,"Immediate",IF(C639&gt;=Scoring!$B$17,"This week",IF(C639&gt;=Scoring!$B$18,"Nurture","Low"))))</f>
        <v>Nurture</v>
      </c>
      <c r="C639" s="3" t="n">
        <f aca="false">SUM(AC639:AH639)</f>
        <v>33</v>
      </c>
      <c r="D639" s="15" t="str">
        <f aca="false">IF(T639="Y","Superseded record",IF(AND(U639&lt;&gt;"",AA639&lt;0),"Expired (verified)",IF(AND(U639&lt;&gt;"",AA639&lt;=Scoring!$B$5),"Expiring: notice window (verified)",IF(AND(U639&lt;&gt;"",AA639&lt;=Scoring!$B$6),"Expiring: 10-yr horizon (verified)",IF(M639="No Longer Monitored","Out of program",IF(N639="","Unknown vintage",IF(N639&lt;Scoring!$B$12,"Pre-1990, still listed",IF(AND(U639="",AA639&lt;0),"Past 30-yr mark (verify)",IF(AND(U639="",AA639&lt;=Scoring!$B$5),"30-yr mark: notice window (est.)",IF(AND(O639&gt;=Scoring!$B$7,O639&lt;=Scoring!$B$8),"Year-15 window",IF(O639&gt;=Scoring!$B$9,"Recap window",IF(O639&gt;=11,"Late compliance","Credit period"))))))))))))</f>
        <v>Late compliance</v>
      </c>
      <c r="E639" s="15" t="s">
        <v>2237</v>
      </c>
      <c r="F639" s="15" t="s">
        <v>2238</v>
      </c>
      <c r="G639" s="15" t="s">
        <v>2239</v>
      </c>
      <c r="H639" s="15" t="s">
        <v>97</v>
      </c>
      <c r="I639" s="15" t="s">
        <v>859</v>
      </c>
      <c r="J639" s="15" t="n">
        <v>60</v>
      </c>
      <c r="K639" s="15" t="n">
        <v>60</v>
      </c>
      <c r="L639" s="15" t="n">
        <f aca="false">IF(OR(J639="",K639=""),"",MAX(J639-K639,0))</f>
        <v>0</v>
      </c>
      <c r="M639" s="15" t="s">
        <v>99</v>
      </c>
      <c r="N639" s="17" t="n">
        <v>2015</v>
      </c>
      <c r="O639" s="15" t="n">
        <f aca="false">IF(N639="","",Scoring!$B$4-N639)</f>
        <v>11</v>
      </c>
      <c r="P639" s="15" t="n">
        <f aca="false">IF(N639="","",N639+14)</f>
        <v>2029</v>
      </c>
      <c r="Q639" s="15" t="n">
        <f aca="false">IF(N639="","",IF(N639&lt;Scoring!$B$12,"n/a (pre-1990)",N639+Scoring!$B$13))</f>
        <v>2044</v>
      </c>
      <c r="R639" s="15" t="str">
        <f aca="false">IF(J639="","Unknown",IF(J639&gt;=5,"Yes","No (under 5 units)"))</f>
        <v>Yes</v>
      </c>
      <c r="S639" s="15"/>
      <c r="T639" s="18"/>
      <c r="U639" s="19"/>
      <c r="V639" s="18"/>
      <c r="W639" s="18"/>
      <c r="X639" s="20"/>
      <c r="Y639" s="18"/>
      <c r="Z639" s="18"/>
      <c r="AA639" s="21" t="n">
        <f aca="false">IF(U639&lt;&gt;"",(U639-Scoring!$B$3)/365.25,IF(N639="","",IF(N639&lt;Scoring!$B$12,"",(DATE(N639+Scoring!$B$13,12,31)-Scoring!$B$3)/365.25)))</f>
        <v>18.2477754962355</v>
      </c>
      <c r="AB639" s="22" t="n">
        <f aca="false">IF(T639="Y",0,IF(OR(D639="Expired (verified)",D639="Expiring: notice window (verified)",D639="Expiring: 10-yr horizon (verified)",D639="Past 30-yr mark (verify)",D639="30-yr mark: notice window (est.)",D639="Year-15 window"),1,0)+IF(ISNUMBER(O639),IF(O639&gt;=Scoring!$B$10,1,0),0)+IF(AND(ISNUMBER(L639),ISNUMBER(J639)),IF(J639&gt;0,IF(L639/J639&gt;=Scoring!$B$11,1,0),0),0)+IF(ISNUMBER(Z639),MIN(Z639,3),0))</f>
        <v>0</v>
      </c>
      <c r="AC639" s="22" t="n">
        <f aca="false">IF(AB639&gt;=3,Scoring!$C$24,IF(AB639=2,Scoring!$C$23,IF(AB639=1,Scoring!$C$22,0)))</f>
        <v>0</v>
      </c>
      <c r="AD639" s="22" t="n">
        <f aca="false">IF(T639="Y",0,IF(ISNUMBER(X639),IF(X639&gt;0.7,Scoring!$C$25,IF(X639&gt;=0.5,Scoring!$C$26,IF(X639&gt;=0.3,Scoring!$C$27,Scoring!$C$28))),Scoring!$C$29))</f>
        <v>10</v>
      </c>
      <c r="AE639" s="22" t="n">
        <f aca="false">IF(D639="Expiring: notice window (verified)",Scoring!$C$30,IF(OR(D639="Expired (verified)",D639="30-yr mark: notice window (est.)",D639="Year-15 window"),Scoring!$C$31,IF(D639="Expiring: 10-yr horizon (verified)",Scoring!$C$32,IF(D639="Past 30-yr mark (verify)",Scoring!$C$33,IF(OR(D639="Credit period",D639="Superseded record"),Scoring!$C$35,Scoring!$C$34)))))</f>
        <v>4</v>
      </c>
      <c r="AF639" s="22" t="n">
        <f aca="false">IF(T639="Y",0,IF(ISNUMBER(V639),IF(Scoring!$B$4-V639&gt;15,Scoring!$C$36,IF(Scoring!$B$4-V639&gt;=10,Scoring!$C$37,IF(Scoring!$B$4-V639&gt;=5,Scoring!$C$38,Scoring!$C$39))),IF(OR(N639="",D639="Out of program"),Scoring!$C$40,IF(O639&gt;15,Scoring!$C$36,IF(O639&gt;=10,Scoring!$C$37,IF(O639&gt;=5,Scoring!$C$38,Scoring!$C$39))))))</f>
        <v>12</v>
      </c>
      <c r="AG639" s="22" t="n">
        <f aca="false">IF(T639="Y",0,IF(Y639="Y",Scoring!$C$41,IF(ISNUMBER(O639),IF(O639&gt;=25,Scoring!$C$42,IF(O639&gt;=15,Scoring!$C$43,Scoring!$C$44)),Scoring!$C$44)))</f>
        <v>2</v>
      </c>
      <c r="AH639" s="22" t="n">
        <f aca="false">IF(T639="Y",0,IF(W639="",Scoring!$C$49,IFERROR(VLOOKUP(W639,Scoring!$B$45:$C$48,2,FALSE()),Scoring!$C$49)))</f>
        <v>5</v>
      </c>
      <c r="AI639" s="23" t="n">
        <f aca="false">C639+IF(ISNUMBER(J639),J639,0)/100000+(10000-ROW())/1000000000</f>
        <v>33.000609361</v>
      </c>
      <c r="AJ639" s="18"/>
      <c r="AK639" s="18"/>
      <c r="AL639" s="18"/>
      <c r="AM639" s="18"/>
    </row>
    <row r="640" customFormat="false" ht="15" hidden="false" customHeight="false" outlineLevel="0" collapsed="false">
      <c r="A640" s="15" t="n">
        <f aca="false">RANK(AI640,$AI$2:$AI$755)</f>
        <v>639</v>
      </c>
      <c r="B640" s="16" t="str">
        <f aca="false">IF(T640="Y","Superseded",IF(C640&gt;=Scoring!$B$16,"Immediate",IF(C640&gt;=Scoring!$B$17,"This week",IF(C640&gt;=Scoring!$B$18,"Nurture","Low"))))</f>
        <v>Nurture</v>
      </c>
      <c r="C640" s="3" t="n">
        <f aca="false">SUM(AC640:AH640)</f>
        <v>33</v>
      </c>
      <c r="D640" s="15" t="str">
        <f aca="false">IF(T640="Y","Superseded record",IF(AND(U640&lt;&gt;"",AA640&lt;0),"Expired (verified)",IF(AND(U640&lt;&gt;"",AA640&lt;=Scoring!$B$5),"Expiring: notice window (verified)",IF(AND(U640&lt;&gt;"",AA640&lt;=Scoring!$B$6),"Expiring: 10-yr horizon (verified)",IF(M640="No Longer Monitored","Out of program",IF(N640="","Unknown vintage",IF(N640&lt;Scoring!$B$12,"Pre-1990, still listed",IF(AND(U640="",AA640&lt;0),"Past 30-yr mark (verify)",IF(AND(U640="",AA640&lt;=Scoring!$B$5),"30-yr mark: notice window (est.)",IF(AND(O640&gt;=Scoring!$B$7,O640&lt;=Scoring!$B$8),"Year-15 window",IF(O640&gt;=Scoring!$B$9,"Recap window",IF(O640&gt;=11,"Late compliance","Credit period"))))))))))))</f>
        <v>Late compliance</v>
      </c>
      <c r="E640" s="15" t="s">
        <v>2240</v>
      </c>
      <c r="F640" s="15" t="s">
        <v>2241</v>
      </c>
      <c r="G640" s="15" t="s">
        <v>2242</v>
      </c>
      <c r="H640" s="15" t="s">
        <v>151</v>
      </c>
      <c r="I640" s="15" t="s">
        <v>1174</v>
      </c>
      <c r="J640" s="15" t="n">
        <v>57</v>
      </c>
      <c r="K640" s="15" t="n">
        <v>57</v>
      </c>
      <c r="L640" s="15" t="n">
        <f aca="false">IF(OR(J640="",K640=""),"",MAX(J640-K640,0))</f>
        <v>0</v>
      </c>
      <c r="M640" s="15" t="s">
        <v>99</v>
      </c>
      <c r="N640" s="17" t="n">
        <v>2015</v>
      </c>
      <c r="O640" s="15" t="n">
        <f aca="false">IF(N640="","",Scoring!$B$4-N640)</f>
        <v>11</v>
      </c>
      <c r="P640" s="15" t="n">
        <f aca="false">IF(N640="","",N640+14)</f>
        <v>2029</v>
      </c>
      <c r="Q640" s="15" t="n">
        <f aca="false">IF(N640="","",IF(N640&lt;Scoring!$B$12,"n/a (pre-1990)",N640+Scoring!$B$13))</f>
        <v>2044</v>
      </c>
      <c r="R640" s="15" t="str">
        <f aca="false">IF(J640="","Unknown",IF(J640&gt;=5,"Yes","No (under 5 units)"))</f>
        <v>Yes</v>
      </c>
      <c r="S640" s="15"/>
      <c r="T640" s="18"/>
      <c r="U640" s="19"/>
      <c r="V640" s="18"/>
      <c r="W640" s="18"/>
      <c r="X640" s="20"/>
      <c r="Y640" s="18"/>
      <c r="Z640" s="18"/>
      <c r="AA640" s="21" t="n">
        <f aca="false">IF(U640&lt;&gt;"",(U640-Scoring!$B$3)/365.25,IF(N640="","",IF(N640&lt;Scoring!$B$12,"",(DATE(N640+Scoring!$B$13,12,31)-Scoring!$B$3)/365.25)))</f>
        <v>18.2477754962355</v>
      </c>
      <c r="AB640" s="22" t="n">
        <f aca="false">IF(T640="Y",0,IF(OR(D640="Expired (verified)",D640="Expiring: notice window (verified)",D640="Expiring: 10-yr horizon (verified)",D640="Past 30-yr mark (verify)",D640="30-yr mark: notice window (est.)",D640="Year-15 window"),1,0)+IF(ISNUMBER(O640),IF(O640&gt;=Scoring!$B$10,1,0),0)+IF(AND(ISNUMBER(L640),ISNUMBER(J640)),IF(J640&gt;0,IF(L640/J640&gt;=Scoring!$B$11,1,0),0),0)+IF(ISNUMBER(Z640),MIN(Z640,3),0))</f>
        <v>0</v>
      </c>
      <c r="AC640" s="22" t="n">
        <f aca="false">IF(AB640&gt;=3,Scoring!$C$24,IF(AB640=2,Scoring!$C$23,IF(AB640=1,Scoring!$C$22,0)))</f>
        <v>0</v>
      </c>
      <c r="AD640" s="22" t="n">
        <f aca="false">IF(T640="Y",0,IF(ISNUMBER(X640),IF(X640&gt;0.7,Scoring!$C$25,IF(X640&gt;=0.5,Scoring!$C$26,IF(X640&gt;=0.3,Scoring!$C$27,Scoring!$C$28))),Scoring!$C$29))</f>
        <v>10</v>
      </c>
      <c r="AE640" s="22" t="n">
        <f aca="false">IF(D640="Expiring: notice window (verified)",Scoring!$C$30,IF(OR(D640="Expired (verified)",D640="30-yr mark: notice window (est.)",D640="Year-15 window"),Scoring!$C$31,IF(D640="Expiring: 10-yr horizon (verified)",Scoring!$C$32,IF(D640="Past 30-yr mark (verify)",Scoring!$C$33,IF(OR(D640="Credit period",D640="Superseded record"),Scoring!$C$35,Scoring!$C$34)))))</f>
        <v>4</v>
      </c>
      <c r="AF640" s="22" t="n">
        <f aca="false">IF(T640="Y",0,IF(ISNUMBER(V640),IF(Scoring!$B$4-V640&gt;15,Scoring!$C$36,IF(Scoring!$B$4-V640&gt;=10,Scoring!$C$37,IF(Scoring!$B$4-V640&gt;=5,Scoring!$C$38,Scoring!$C$39))),IF(OR(N640="",D640="Out of program"),Scoring!$C$40,IF(O640&gt;15,Scoring!$C$36,IF(O640&gt;=10,Scoring!$C$37,IF(O640&gt;=5,Scoring!$C$38,Scoring!$C$39))))))</f>
        <v>12</v>
      </c>
      <c r="AG640" s="22" t="n">
        <f aca="false">IF(T640="Y",0,IF(Y640="Y",Scoring!$C$41,IF(ISNUMBER(O640),IF(O640&gt;=25,Scoring!$C$42,IF(O640&gt;=15,Scoring!$C$43,Scoring!$C$44)),Scoring!$C$44)))</f>
        <v>2</v>
      </c>
      <c r="AH640" s="22" t="n">
        <f aca="false">IF(T640="Y",0,IF(W640="",Scoring!$C$49,IFERROR(VLOOKUP(W640,Scoring!$B$45:$C$48,2,FALSE()),Scoring!$C$49)))</f>
        <v>5</v>
      </c>
      <c r="AI640" s="23" t="n">
        <f aca="false">C640+IF(ISNUMBER(J640),J640,0)/100000+(10000-ROW())/1000000000</f>
        <v>33.00057936</v>
      </c>
      <c r="AJ640" s="18"/>
      <c r="AK640" s="18"/>
      <c r="AL640" s="18"/>
      <c r="AM640" s="18"/>
    </row>
    <row r="641" customFormat="false" ht="15" hidden="false" customHeight="false" outlineLevel="0" collapsed="false">
      <c r="A641" s="15" t="n">
        <f aca="false">RANK(AI641,$AI$2:$AI$755)</f>
        <v>640</v>
      </c>
      <c r="B641" s="16" t="str">
        <f aca="false">IF(T641="Y","Superseded",IF(C641&gt;=Scoring!$B$16,"Immediate",IF(C641&gt;=Scoring!$B$17,"This week",IF(C641&gt;=Scoring!$B$18,"Nurture","Low"))))</f>
        <v>Nurture</v>
      </c>
      <c r="C641" s="3" t="n">
        <f aca="false">SUM(AC641:AH641)</f>
        <v>33</v>
      </c>
      <c r="D641" s="15" t="str">
        <f aca="false">IF(T641="Y","Superseded record",IF(AND(U641&lt;&gt;"",AA641&lt;0),"Expired (verified)",IF(AND(U641&lt;&gt;"",AA641&lt;=Scoring!$B$5),"Expiring: notice window (verified)",IF(AND(U641&lt;&gt;"",AA641&lt;=Scoring!$B$6),"Expiring: 10-yr horizon (verified)",IF(M641="No Longer Monitored","Out of program",IF(N641="","Unknown vintage",IF(N641&lt;Scoring!$B$12,"Pre-1990, still listed",IF(AND(U641="",AA641&lt;0),"Past 30-yr mark (verify)",IF(AND(U641="",AA641&lt;=Scoring!$B$5),"30-yr mark: notice window (est.)",IF(AND(O641&gt;=Scoring!$B$7,O641&lt;=Scoring!$B$8),"Year-15 window",IF(O641&gt;=Scoring!$B$9,"Recap window",IF(O641&gt;=11,"Late compliance","Credit period"))))))))))))</f>
        <v>Late compliance</v>
      </c>
      <c r="E641" s="15" t="s">
        <v>2243</v>
      </c>
      <c r="F641" s="15" t="s">
        <v>2244</v>
      </c>
      <c r="G641" s="15" t="s">
        <v>2245</v>
      </c>
      <c r="H641" s="15" t="s">
        <v>760</v>
      </c>
      <c r="I641" s="15" t="s">
        <v>761</v>
      </c>
      <c r="J641" s="15" t="n">
        <v>56</v>
      </c>
      <c r="K641" s="15" t="n">
        <v>55</v>
      </c>
      <c r="L641" s="15" t="n">
        <f aca="false">IF(OR(J641="",K641=""),"",MAX(J641-K641,0))</f>
        <v>1</v>
      </c>
      <c r="M641" s="15" t="s">
        <v>99</v>
      </c>
      <c r="N641" s="17" t="n">
        <v>2014</v>
      </c>
      <c r="O641" s="15" t="n">
        <f aca="false">IF(N641="","",Scoring!$B$4-N641)</f>
        <v>12</v>
      </c>
      <c r="P641" s="15" t="n">
        <f aca="false">IF(N641="","",N641+14)</f>
        <v>2028</v>
      </c>
      <c r="Q641" s="15" t="n">
        <f aca="false">IF(N641="","",IF(N641&lt;Scoring!$B$12,"n/a (pre-1990)",N641+Scoring!$B$13))</f>
        <v>2043</v>
      </c>
      <c r="R641" s="15" t="str">
        <f aca="false">IF(J641="","Unknown",IF(J641&gt;=5,"Yes","No (under 5 units)"))</f>
        <v>Yes</v>
      </c>
      <c r="S641" s="15"/>
      <c r="T641" s="18"/>
      <c r="U641" s="19"/>
      <c r="V641" s="18"/>
      <c r="W641" s="18"/>
      <c r="X641" s="20"/>
      <c r="Y641" s="18"/>
      <c r="Z641" s="18"/>
      <c r="AA641" s="21" t="n">
        <f aca="false">IF(U641&lt;&gt;"",(U641-Scoring!$B$3)/365.25,IF(N641="","",IF(N641&lt;Scoring!$B$12,"",(DATE(N641+Scoring!$B$13,12,31)-Scoring!$B$3)/365.25)))</f>
        <v>17.2457221081451</v>
      </c>
      <c r="AB641" s="22" t="n">
        <f aca="false">IF(T641="Y",0,IF(OR(D641="Expired (verified)",D641="Expiring: notice window (verified)",D641="Expiring: 10-yr horizon (verified)",D641="Past 30-yr mark (verify)",D641="30-yr mark: notice window (est.)",D641="Year-15 window"),1,0)+IF(ISNUMBER(O641),IF(O641&gt;=Scoring!$B$10,1,0),0)+IF(AND(ISNUMBER(L641),ISNUMBER(J641)),IF(J641&gt;0,IF(L641/J641&gt;=Scoring!$B$11,1,0),0),0)+IF(ISNUMBER(Z641),MIN(Z641,3),0))</f>
        <v>0</v>
      </c>
      <c r="AC641" s="22" t="n">
        <f aca="false">IF(AB641&gt;=3,Scoring!$C$24,IF(AB641=2,Scoring!$C$23,IF(AB641=1,Scoring!$C$22,0)))</f>
        <v>0</v>
      </c>
      <c r="AD641" s="22" t="n">
        <f aca="false">IF(T641="Y",0,IF(ISNUMBER(X641),IF(X641&gt;0.7,Scoring!$C$25,IF(X641&gt;=0.5,Scoring!$C$26,IF(X641&gt;=0.3,Scoring!$C$27,Scoring!$C$28))),Scoring!$C$29))</f>
        <v>10</v>
      </c>
      <c r="AE641" s="22" t="n">
        <f aca="false">IF(D641="Expiring: notice window (verified)",Scoring!$C$30,IF(OR(D641="Expired (verified)",D641="30-yr mark: notice window (est.)",D641="Year-15 window"),Scoring!$C$31,IF(D641="Expiring: 10-yr horizon (verified)",Scoring!$C$32,IF(D641="Past 30-yr mark (verify)",Scoring!$C$33,IF(OR(D641="Credit period",D641="Superseded record"),Scoring!$C$35,Scoring!$C$34)))))</f>
        <v>4</v>
      </c>
      <c r="AF641" s="22" t="n">
        <f aca="false">IF(T641="Y",0,IF(ISNUMBER(V641),IF(Scoring!$B$4-V641&gt;15,Scoring!$C$36,IF(Scoring!$B$4-V641&gt;=10,Scoring!$C$37,IF(Scoring!$B$4-V641&gt;=5,Scoring!$C$38,Scoring!$C$39))),IF(OR(N641="",D641="Out of program"),Scoring!$C$40,IF(O641&gt;15,Scoring!$C$36,IF(O641&gt;=10,Scoring!$C$37,IF(O641&gt;=5,Scoring!$C$38,Scoring!$C$39))))))</f>
        <v>12</v>
      </c>
      <c r="AG641" s="22" t="n">
        <f aca="false">IF(T641="Y",0,IF(Y641="Y",Scoring!$C$41,IF(ISNUMBER(O641),IF(O641&gt;=25,Scoring!$C$42,IF(O641&gt;=15,Scoring!$C$43,Scoring!$C$44)),Scoring!$C$44)))</f>
        <v>2</v>
      </c>
      <c r="AH641" s="22" t="n">
        <f aca="false">IF(T641="Y",0,IF(W641="",Scoring!$C$49,IFERROR(VLOOKUP(W641,Scoring!$B$45:$C$48,2,FALSE()),Scoring!$C$49)))</f>
        <v>5</v>
      </c>
      <c r="AI641" s="23" t="n">
        <f aca="false">C641+IF(ISNUMBER(J641),J641,0)/100000+(10000-ROW())/1000000000</f>
        <v>33.000569359</v>
      </c>
      <c r="AJ641" s="18"/>
      <c r="AK641" s="18"/>
      <c r="AL641" s="18"/>
      <c r="AM641" s="18"/>
    </row>
    <row r="642" customFormat="false" ht="15" hidden="false" customHeight="false" outlineLevel="0" collapsed="false">
      <c r="A642" s="15" t="n">
        <f aca="false">RANK(AI642,$AI$2:$AI$755)</f>
        <v>641</v>
      </c>
      <c r="B642" s="16" t="str">
        <f aca="false">IF(T642="Y","Superseded",IF(C642&gt;=Scoring!$B$16,"Immediate",IF(C642&gt;=Scoring!$B$17,"This week",IF(C642&gt;=Scoring!$B$18,"Nurture","Low"))))</f>
        <v>Nurture</v>
      </c>
      <c r="C642" s="3" t="n">
        <f aca="false">SUM(AC642:AH642)</f>
        <v>33</v>
      </c>
      <c r="D642" s="15" t="str">
        <f aca="false">IF(T642="Y","Superseded record",IF(AND(U642&lt;&gt;"",AA642&lt;0),"Expired (verified)",IF(AND(U642&lt;&gt;"",AA642&lt;=Scoring!$B$5),"Expiring: notice window (verified)",IF(AND(U642&lt;&gt;"",AA642&lt;=Scoring!$B$6),"Expiring: 10-yr horizon (verified)",IF(M642="No Longer Monitored","Out of program",IF(N642="","Unknown vintage",IF(N642&lt;Scoring!$B$12,"Pre-1990, still listed",IF(AND(U642="",AA642&lt;0),"Past 30-yr mark (verify)",IF(AND(U642="",AA642&lt;=Scoring!$B$5),"30-yr mark: notice window (est.)",IF(AND(O642&gt;=Scoring!$B$7,O642&lt;=Scoring!$B$8),"Year-15 window",IF(O642&gt;=Scoring!$B$9,"Recap window",IF(O642&gt;=11,"Late compliance","Credit period"))))))))))))</f>
        <v>Late compliance</v>
      </c>
      <c r="E642" s="15" t="s">
        <v>2246</v>
      </c>
      <c r="F642" s="15" t="s">
        <v>2247</v>
      </c>
      <c r="G642" s="15" t="s">
        <v>2248</v>
      </c>
      <c r="H642" s="15" t="s">
        <v>423</v>
      </c>
      <c r="I642" s="15" t="s">
        <v>424</v>
      </c>
      <c r="J642" s="15" t="n">
        <v>54</v>
      </c>
      <c r="K642" s="15" t="n">
        <v>54</v>
      </c>
      <c r="L642" s="15" t="n">
        <f aca="false">IF(OR(J642="",K642=""),"",MAX(J642-K642,0))</f>
        <v>0</v>
      </c>
      <c r="M642" s="15" t="s">
        <v>99</v>
      </c>
      <c r="N642" s="17" t="n">
        <v>2015</v>
      </c>
      <c r="O642" s="15" t="n">
        <f aca="false">IF(N642="","",Scoring!$B$4-N642)</f>
        <v>11</v>
      </c>
      <c r="P642" s="15" t="n">
        <f aca="false">IF(N642="","",N642+14)</f>
        <v>2029</v>
      </c>
      <c r="Q642" s="15" t="n">
        <f aca="false">IF(N642="","",IF(N642&lt;Scoring!$B$12,"n/a (pre-1990)",N642+Scoring!$B$13))</f>
        <v>2044</v>
      </c>
      <c r="R642" s="15" t="str">
        <f aca="false">IF(J642="","Unknown",IF(J642&gt;=5,"Yes","No (under 5 units)"))</f>
        <v>Yes</v>
      </c>
      <c r="S642" s="15"/>
      <c r="T642" s="18"/>
      <c r="U642" s="19"/>
      <c r="V642" s="18"/>
      <c r="W642" s="18"/>
      <c r="X642" s="20"/>
      <c r="Y642" s="18"/>
      <c r="Z642" s="18"/>
      <c r="AA642" s="21" t="n">
        <f aca="false">IF(U642&lt;&gt;"",(U642-Scoring!$B$3)/365.25,IF(N642="","",IF(N642&lt;Scoring!$B$12,"",(DATE(N642+Scoring!$B$13,12,31)-Scoring!$B$3)/365.25)))</f>
        <v>18.2477754962355</v>
      </c>
      <c r="AB642" s="22" t="n">
        <f aca="false">IF(T642="Y",0,IF(OR(D642="Expired (verified)",D642="Expiring: notice window (verified)",D642="Expiring: 10-yr horizon (verified)",D642="Past 30-yr mark (verify)",D642="30-yr mark: notice window (est.)",D642="Year-15 window"),1,0)+IF(ISNUMBER(O642),IF(O642&gt;=Scoring!$B$10,1,0),0)+IF(AND(ISNUMBER(L642),ISNUMBER(J642)),IF(J642&gt;0,IF(L642/J642&gt;=Scoring!$B$11,1,0),0),0)+IF(ISNUMBER(Z642),MIN(Z642,3),0))</f>
        <v>0</v>
      </c>
      <c r="AC642" s="22" t="n">
        <f aca="false">IF(AB642&gt;=3,Scoring!$C$24,IF(AB642=2,Scoring!$C$23,IF(AB642=1,Scoring!$C$22,0)))</f>
        <v>0</v>
      </c>
      <c r="AD642" s="22" t="n">
        <f aca="false">IF(T642="Y",0,IF(ISNUMBER(X642),IF(X642&gt;0.7,Scoring!$C$25,IF(X642&gt;=0.5,Scoring!$C$26,IF(X642&gt;=0.3,Scoring!$C$27,Scoring!$C$28))),Scoring!$C$29))</f>
        <v>10</v>
      </c>
      <c r="AE642" s="22" t="n">
        <f aca="false">IF(D642="Expiring: notice window (verified)",Scoring!$C$30,IF(OR(D642="Expired (verified)",D642="30-yr mark: notice window (est.)",D642="Year-15 window"),Scoring!$C$31,IF(D642="Expiring: 10-yr horizon (verified)",Scoring!$C$32,IF(D642="Past 30-yr mark (verify)",Scoring!$C$33,IF(OR(D642="Credit period",D642="Superseded record"),Scoring!$C$35,Scoring!$C$34)))))</f>
        <v>4</v>
      </c>
      <c r="AF642" s="22" t="n">
        <f aca="false">IF(T642="Y",0,IF(ISNUMBER(V642),IF(Scoring!$B$4-V642&gt;15,Scoring!$C$36,IF(Scoring!$B$4-V642&gt;=10,Scoring!$C$37,IF(Scoring!$B$4-V642&gt;=5,Scoring!$C$38,Scoring!$C$39))),IF(OR(N642="",D642="Out of program"),Scoring!$C$40,IF(O642&gt;15,Scoring!$C$36,IF(O642&gt;=10,Scoring!$C$37,IF(O642&gt;=5,Scoring!$C$38,Scoring!$C$39))))))</f>
        <v>12</v>
      </c>
      <c r="AG642" s="22" t="n">
        <f aca="false">IF(T642="Y",0,IF(Y642="Y",Scoring!$C$41,IF(ISNUMBER(O642),IF(O642&gt;=25,Scoring!$C$42,IF(O642&gt;=15,Scoring!$C$43,Scoring!$C$44)),Scoring!$C$44)))</f>
        <v>2</v>
      </c>
      <c r="AH642" s="22" t="n">
        <f aca="false">IF(T642="Y",0,IF(W642="",Scoring!$C$49,IFERROR(VLOOKUP(W642,Scoring!$B$45:$C$48,2,FALSE()),Scoring!$C$49)))</f>
        <v>5</v>
      </c>
      <c r="AI642" s="23" t="n">
        <f aca="false">C642+IF(ISNUMBER(J642),J642,0)/100000+(10000-ROW())/1000000000</f>
        <v>33.000549358</v>
      </c>
      <c r="AJ642" s="18"/>
      <c r="AK642" s="18"/>
      <c r="AL642" s="18"/>
      <c r="AM642" s="18"/>
    </row>
    <row r="643" customFormat="false" ht="15" hidden="false" customHeight="false" outlineLevel="0" collapsed="false">
      <c r="A643" s="15" t="n">
        <f aca="false">RANK(AI643,$AI$2:$AI$755)</f>
        <v>642</v>
      </c>
      <c r="B643" s="16" t="str">
        <f aca="false">IF(T643="Y","Superseded",IF(C643&gt;=Scoring!$B$16,"Immediate",IF(C643&gt;=Scoring!$B$17,"This week",IF(C643&gt;=Scoring!$B$18,"Nurture","Low"))))</f>
        <v>Nurture</v>
      </c>
      <c r="C643" s="3" t="n">
        <f aca="false">SUM(AC643:AH643)</f>
        <v>33</v>
      </c>
      <c r="D643" s="15" t="str">
        <f aca="false">IF(T643="Y","Superseded record",IF(AND(U643&lt;&gt;"",AA643&lt;0),"Expired (verified)",IF(AND(U643&lt;&gt;"",AA643&lt;=Scoring!$B$5),"Expiring: notice window (verified)",IF(AND(U643&lt;&gt;"",AA643&lt;=Scoring!$B$6),"Expiring: 10-yr horizon (verified)",IF(M643="No Longer Monitored","Out of program",IF(N643="","Unknown vintage",IF(N643&lt;Scoring!$B$12,"Pre-1990, still listed",IF(AND(U643="",AA643&lt;0),"Past 30-yr mark (verify)",IF(AND(U643="",AA643&lt;=Scoring!$B$5),"30-yr mark: notice window (est.)",IF(AND(O643&gt;=Scoring!$B$7,O643&lt;=Scoring!$B$8),"Year-15 window",IF(O643&gt;=Scoring!$B$9,"Recap window",IF(O643&gt;=11,"Late compliance","Credit period"))))))))))))</f>
        <v>Late compliance</v>
      </c>
      <c r="E643" s="15" t="s">
        <v>2249</v>
      </c>
      <c r="F643" s="15" t="s">
        <v>2250</v>
      </c>
      <c r="G643" s="15" t="s">
        <v>2251</v>
      </c>
      <c r="H643" s="15" t="s">
        <v>232</v>
      </c>
      <c r="I643" s="15" t="s">
        <v>2252</v>
      </c>
      <c r="J643" s="15" t="n">
        <v>53</v>
      </c>
      <c r="K643" s="15" t="n">
        <v>53</v>
      </c>
      <c r="L643" s="15" t="n">
        <f aca="false">IF(OR(J643="",K643=""),"",MAX(J643-K643,0))</f>
        <v>0</v>
      </c>
      <c r="M643" s="15" t="s">
        <v>99</v>
      </c>
      <c r="N643" s="17" t="n">
        <v>2015</v>
      </c>
      <c r="O643" s="15" t="n">
        <f aca="false">IF(N643="","",Scoring!$B$4-N643)</f>
        <v>11</v>
      </c>
      <c r="P643" s="15" t="n">
        <f aca="false">IF(N643="","",N643+14)</f>
        <v>2029</v>
      </c>
      <c r="Q643" s="15" t="n">
        <f aca="false">IF(N643="","",IF(N643&lt;Scoring!$B$12,"n/a (pre-1990)",N643+Scoring!$B$13))</f>
        <v>2044</v>
      </c>
      <c r="R643" s="15" t="str">
        <f aca="false">IF(J643="","Unknown",IF(J643&gt;=5,"Yes","No (under 5 units)"))</f>
        <v>Yes</v>
      </c>
      <c r="S643" s="15"/>
      <c r="T643" s="18"/>
      <c r="U643" s="19"/>
      <c r="V643" s="18"/>
      <c r="W643" s="18"/>
      <c r="X643" s="20"/>
      <c r="Y643" s="18"/>
      <c r="Z643" s="18"/>
      <c r="AA643" s="21" t="n">
        <f aca="false">IF(U643&lt;&gt;"",(U643-Scoring!$B$3)/365.25,IF(N643="","",IF(N643&lt;Scoring!$B$12,"",(DATE(N643+Scoring!$B$13,12,31)-Scoring!$B$3)/365.25)))</f>
        <v>18.2477754962355</v>
      </c>
      <c r="AB643" s="22" t="n">
        <f aca="false">IF(T643="Y",0,IF(OR(D643="Expired (verified)",D643="Expiring: notice window (verified)",D643="Expiring: 10-yr horizon (verified)",D643="Past 30-yr mark (verify)",D643="30-yr mark: notice window (est.)",D643="Year-15 window"),1,0)+IF(ISNUMBER(O643),IF(O643&gt;=Scoring!$B$10,1,0),0)+IF(AND(ISNUMBER(L643),ISNUMBER(J643)),IF(J643&gt;0,IF(L643/J643&gt;=Scoring!$B$11,1,0),0),0)+IF(ISNUMBER(Z643),MIN(Z643,3),0))</f>
        <v>0</v>
      </c>
      <c r="AC643" s="22" t="n">
        <f aca="false">IF(AB643&gt;=3,Scoring!$C$24,IF(AB643=2,Scoring!$C$23,IF(AB643=1,Scoring!$C$22,0)))</f>
        <v>0</v>
      </c>
      <c r="AD643" s="22" t="n">
        <f aca="false">IF(T643="Y",0,IF(ISNUMBER(X643),IF(X643&gt;0.7,Scoring!$C$25,IF(X643&gt;=0.5,Scoring!$C$26,IF(X643&gt;=0.3,Scoring!$C$27,Scoring!$C$28))),Scoring!$C$29))</f>
        <v>10</v>
      </c>
      <c r="AE643" s="22" t="n">
        <f aca="false">IF(D643="Expiring: notice window (verified)",Scoring!$C$30,IF(OR(D643="Expired (verified)",D643="30-yr mark: notice window (est.)",D643="Year-15 window"),Scoring!$C$31,IF(D643="Expiring: 10-yr horizon (verified)",Scoring!$C$32,IF(D643="Past 30-yr mark (verify)",Scoring!$C$33,IF(OR(D643="Credit period",D643="Superseded record"),Scoring!$C$35,Scoring!$C$34)))))</f>
        <v>4</v>
      </c>
      <c r="AF643" s="22" t="n">
        <f aca="false">IF(T643="Y",0,IF(ISNUMBER(V643),IF(Scoring!$B$4-V643&gt;15,Scoring!$C$36,IF(Scoring!$B$4-V643&gt;=10,Scoring!$C$37,IF(Scoring!$B$4-V643&gt;=5,Scoring!$C$38,Scoring!$C$39))),IF(OR(N643="",D643="Out of program"),Scoring!$C$40,IF(O643&gt;15,Scoring!$C$36,IF(O643&gt;=10,Scoring!$C$37,IF(O643&gt;=5,Scoring!$C$38,Scoring!$C$39))))))</f>
        <v>12</v>
      </c>
      <c r="AG643" s="22" t="n">
        <f aca="false">IF(T643="Y",0,IF(Y643="Y",Scoring!$C$41,IF(ISNUMBER(O643),IF(O643&gt;=25,Scoring!$C$42,IF(O643&gt;=15,Scoring!$C$43,Scoring!$C$44)),Scoring!$C$44)))</f>
        <v>2</v>
      </c>
      <c r="AH643" s="22" t="n">
        <f aca="false">IF(T643="Y",0,IF(W643="",Scoring!$C$49,IFERROR(VLOOKUP(W643,Scoring!$B$45:$C$48,2,FALSE()),Scoring!$C$49)))</f>
        <v>5</v>
      </c>
      <c r="AI643" s="23" t="n">
        <f aca="false">C643+IF(ISNUMBER(J643),J643,0)/100000+(10000-ROW())/1000000000</f>
        <v>33.000539357</v>
      </c>
      <c r="AJ643" s="18"/>
      <c r="AK643" s="18"/>
      <c r="AL643" s="18"/>
      <c r="AM643" s="18"/>
    </row>
    <row r="644" customFormat="false" ht="15" hidden="false" customHeight="false" outlineLevel="0" collapsed="false">
      <c r="A644" s="15" t="n">
        <f aca="false">RANK(AI644,$AI$2:$AI$755)</f>
        <v>643</v>
      </c>
      <c r="B644" s="16" t="str">
        <f aca="false">IF(T644="Y","Superseded",IF(C644&gt;=Scoring!$B$16,"Immediate",IF(C644&gt;=Scoring!$B$17,"This week",IF(C644&gt;=Scoring!$B$18,"Nurture","Low"))))</f>
        <v>Nurture</v>
      </c>
      <c r="C644" s="3" t="n">
        <f aca="false">SUM(AC644:AH644)</f>
        <v>33</v>
      </c>
      <c r="D644" s="15" t="str">
        <f aca="false">IF(T644="Y","Superseded record",IF(AND(U644&lt;&gt;"",AA644&lt;0),"Expired (verified)",IF(AND(U644&lt;&gt;"",AA644&lt;=Scoring!$B$5),"Expiring: notice window (verified)",IF(AND(U644&lt;&gt;"",AA644&lt;=Scoring!$B$6),"Expiring: 10-yr horizon (verified)",IF(M644="No Longer Monitored","Out of program",IF(N644="","Unknown vintage",IF(N644&lt;Scoring!$B$12,"Pre-1990, still listed",IF(AND(U644="",AA644&lt;0),"Past 30-yr mark (verify)",IF(AND(U644="",AA644&lt;=Scoring!$B$5),"30-yr mark: notice window (est.)",IF(AND(O644&gt;=Scoring!$B$7,O644&lt;=Scoring!$B$8),"Year-15 window",IF(O644&gt;=Scoring!$B$9,"Recap window",IF(O644&gt;=11,"Late compliance","Credit period"))))))))))))</f>
        <v>Late compliance</v>
      </c>
      <c r="E644" s="15" t="s">
        <v>2253</v>
      </c>
      <c r="F644" s="15" t="s">
        <v>2254</v>
      </c>
      <c r="G644" s="15" t="s">
        <v>2255</v>
      </c>
      <c r="H644" s="15" t="s">
        <v>536</v>
      </c>
      <c r="I644" s="15" t="s">
        <v>537</v>
      </c>
      <c r="J644" s="15" t="n">
        <v>50</v>
      </c>
      <c r="K644" s="15" t="n">
        <v>49</v>
      </c>
      <c r="L644" s="15" t="n">
        <f aca="false">IF(OR(J644="",K644=""),"",MAX(J644-K644,0))</f>
        <v>1</v>
      </c>
      <c r="M644" s="15" t="s">
        <v>99</v>
      </c>
      <c r="N644" s="17" t="n">
        <v>2014</v>
      </c>
      <c r="O644" s="15" t="n">
        <f aca="false">IF(N644="","",Scoring!$B$4-N644)</f>
        <v>12</v>
      </c>
      <c r="P644" s="15" t="n">
        <f aca="false">IF(N644="","",N644+14)</f>
        <v>2028</v>
      </c>
      <c r="Q644" s="15" t="n">
        <f aca="false">IF(N644="","",IF(N644&lt;Scoring!$B$12,"n/a (pre-1990)",N644+Scoring!$B$13))</f>
        <v>2043</v>
      </c>
      <c r="R644" s="15" t="str">
        <f aca="false">IF(J644="","Unknown",IF(J644&gt;=5,"Yes","No (under 5 units)"))</f>
        <v>Yes</v>
      </c>
      <c r="S644" s="15"/>
      <c r="T644" s="18"/>
      <c r="U644" s="19"/>
      <c r="V644" s="18"/>
      <c r="W644" s="18"/>
      <c r="X644" s="20"/>
      <c r="Y644" s="18"/>
      <c r="Z644" s="18"/>
      <c r="AA644" s="21" t="n">
        <f aca="false">IF(U644&lt;&gt;"",(U644-Scoring!$B$3)/365.25,IF(N644="","",IF(N644&lt;Scoring!$B$12,"",(DATE(N644+Scoring!$B$13,12,31)-Scoring!$B$3)/365.25)))</f>
        <v>17.2457221081451</v>
      </c>
      <c r="AB644" s="22" t="n">
        <f aca="false">IF(T644="Y",0,IF(OR(D644="Expired (verified)",D644="Expiring: notice window (verified)",D644="Expiring: 10-yr horizon (verified)",D644="Past 30-yr mark (verify)",D644="30-yr mark: notice window (est.)",D644="Year-15 window"),1,0)+IF(ISNUMBER(O644),IF(O644&gt;=Scoring!$B$10,1,0),0)+IF(AND(ISNUMBER(L644),ISNUMBER(J644)),IF(J644&gt;0,IF(L644/J644&gt;=Scoring!$B$11,1,0),0),0)+IF(ISNUMBER(Z644),MIN(Z644,3),0))</f>
        <v>0</v>
      </c>
      <c r="AC644" s="22" t="n">
        <f aca="false">IF(AB644&gt;=3,Scoring!$C$24,IF(AB644=2,Scoring!$C$23,IF(AB644=1,Scoring!$C$22,0)))</f>
        <v>0</v>
      </c>
      <c r="AD644" s="22" t="n">
        <f aca="false">IF(T644="Y",0,IF(ISNUMBER(X644),IF(X644&gt;0.7,Scoring!$C$25,IF(X644&gt;=0.5,Scoring!$C$26,IF(X644&gt;=0.3,Scoring!$C$27,Scoring!$C$28))),Scoring!$C$29))</f>
        <v>10</v>
      </c>
      <c r="AE644" s="22" t="n">
        <f aca="false">IF(D644="Expiring: notice window (verified)",Scoring!$C$30,IF(OR(D644="Expired (verified)",D644="30-yr mark: notice window (est.)",D644="Year-15 window"),Scoring!$C$31,IF(D644="Expiring: 10-yr horizon (verified)",Scoring!$C$32,IF(D644="Past 30-yr mark (verify)",Scoring!$C$33,IF(OR(D644="Credit period",D644="Superseded record"),Scoring!$C$35,Scoring!$C$34)))))</f>
        <v>4</v>
      </c>
      <c r="AF644" s="22" t="n">
        <f aca="false">IF(T644="Y",0,IF(ISNUMBER(V644),IF(Scoring!$B$4-V644&gt;15,Scoring!$C$36,IF(Scoring!$B$4-V644&gt;=10,Scoring!$C$37,IF(Scoring!$B$4-V644&gt;=5,Scoring!$C$38,Scoring!$C$39))),IF(OR(N644="",D644="Out of program"),Scoring!$C$40,IF(O644&gt;15,Scoring!$C$36,IF(O644&gt;=10,Scoring!$C$37,IF(O644&gt;=5,Scoring!$C$38,Scoring!$C$39))))))</f>
        <v>12</v>
      </c>
      <c r="AG644" s="22" t="n">
        <f aca="false">IF(T644="Y",0,IF(Y644="Y",Scoring!$C$41,IF(ISNUMBER(O644),IF(O644&gt;=25,Scoring!$C$42,IF(O644&gt;=15,Scoring!$C$43,Scoring!$C$44)),Scoring!$C$44)))</f>
        <v>2</v>
      </c>
      <c r="AH644" s="22" t="n">
        <f aca="false">IF(T644="Y",0,IF(W644="",Scoring!$C$49,IFERROR(VLOOKUP(W644,Scoring!$B$45:$C$48,2,FALSE()),Scoring!$C$49)))</f>
        <v>5</v>
      </c>
      <c r="AI644" s="23" t="n">
        <f aca="false">C644+IF(ISNUMBER(J644),J644,0)/100000+(10000-ROW())/1000000000</f>
        <v>33.000509356</v>
      </c>
      <c r="AJ644" s="18"/>
      <c r="AK644" s="18"/>
      <c r="AL644" s="18"/>
      <c r="AM644" s="18"/>
    </row>
    <row r="645" customFormat="false" ht="15" hidden="false" customHeight="false" outlineLevel="0" collapsed="false">
      <c r="A645" s="15" t="n">
        <f aca="false">RANK(AI645,$AI$2:$AI$755)</f>
        <v>644</v>
      </c>
      <c r="B645" s="16" t="str">
        <f aca="false">IF(T645="Y","Superseded",IF(C645&gt;=Scoring!$B$16,"Immediate",IF(C645&gt;=Scoring!$B$17,"This week",IF(C645&gt;=Scoring!$B$18,"Nurture","Low"))))</f>
        <v>Nurture</v>
      </c>
      <c r="C645" s="3" t="n">
        <f aca="false">SUM(AC645:AH645)</f>
        <v>33</v>
      </c>
      <c r="D645" s="15" t="str">
        <f aca="false">IF(T645="Y","Superseded record",IF(AND(U645&lt;&gt;"",AA645&lt;0),"Expired (verified)",IF(AND(U645&lt;&gt;"",AA645&lt;=Scoring!$B$5),"Expiring: notice window (verified)",IF(AND(U645&lt;&gt;"",AA645&lt;=Scoring!$B$6),"Expiring: 10-yr horizon (verified)",IF(M645="No Longer Monitored","Out of program",IF(N645="","Unknown vintage",IF(N645&lt;Scoring!$B$12,"Pre-1990, still listed",IF(AND(U645="",AA645&lt;0),"Past 30-yr mark (verify)",IF(AND(U645="",AA645&lt;=Scoring!$B$5),"30-yr mark: notice window (est.)",IF(AND(O645&gt;=Scoring!$B$7,O645&lt;=Scoring!$B$8),"Year-15 window",IF(O645&gt;=Scoring!$B$9,"Recap window",IF(O645&gt;=11,"Late compliance","Credit period"))))))))))))</f>
        <v>Late compliance</v>
      </c>
      <c r="E645" s="15" t="s">
        <v>2256</v>
      </c>
      <c r="F645" s="15" t="s">
        <v>2257</v>
      </c>
      <c r="G645" s="15" t="s">
        <v>2258</v>
      </c>
      <c r="H645" s="15" t="s">
        <v>141</v>
      </c>
      <c r="I645" s="15" t="s">
        <v>142</v>
      </c>
      <c r="J645" s="15" t="n">
        <v>50</v>
      </c>
      <c r="K645" s="15" t="n">
        <v>50</v>
      </c>
      <c r="L645" s="15" t="n">
        <f aca="false">IF(OR(J645="",K645=""),"",MAX(J645-K645,0))</f>
        <v>0</v>
      </c>
      <c r="M645" s="15" t="s">
        <v>99</v>
      </c>
      <c r="N645" s="17" t="n">
        <v>2015</v>
      </c>
      <c r="O645" s="15" t="n">
        <f aca="false">IF(N645="","",Scoring!$B$4-N645)</f>
        <v>11</v>
      </c>
      <c r="P645" s="15" t="n">
        <f aca="false">IF(N645="","",N645+14)</f>
        <v>2029</v>
      </c>
      <c r="Q645" s="15" t="n">
        <f aca="false">IF(N645="","",IF(N645&lt;Scoring!$B$12,"n/a (pre-1990)",N645+Scoring!$B$13))</f>
        <v>2044</v>
      </c>
      <c r="R645" s="15" t="str">
        <f aca="false">IF(J645="","Unknown",IF(J645&gt;=5,"Yes","No (under 5 units)"))</f>
        <v>Yes</v>
      </c>
      <c r="S645" s="15"/>
      <c r="T645" s="18"/>
      <c r="U645" s="19"/>
      <c r="V645" s="18"/>
      <c r="W645" s="18"/>
      <c r="X645" s="20"/>
      <c r="Y645" s="18"/>
      <c r="Z645" s="18"/>
      <c r="AA645" s="21" t="n">
        <f aca="false">IF(U645&lt;&gt;"",(U645-Scoring!$B$3)/365.25,IF(N645="","",IF(N645&lt;Scoring!$B$12,"",(DATE(N645+Scoring!$B$13,12,31)-Scoring!$B$3)/365.25)))</f>
        <v>18.2477754962355</v>
      </c>
      <c r="AB645" s="22" t="n">
        <f aca="false">IF(T645="Y",0,IF(OR(D645="Expired (verified)",D645="Expiring: notice window (verified)",D645="Expiring: 10-yr horizon (verified)",D645="Past 30-yr mark (verify)",D645="30-yr mark: notice window (est.)",D645="Year-15 window"),1,0)+IF(ISNUMBER(O645),IF(O645&gt;=Scoring!$B$10,1,0),0)+IF(AND(ISNUMBER(L645),ISNUMBER(J645)),IF(J645&gt;0,IF(L645/J645&gt;=Scoring!$B$11,1,0),0),0)+IF(ISNUMBER(Z645),MIN(Z645,3),0))</f>
        <v>0</v>
      </c>
      <c r="AC645" s="22" t="n">
        <f aca="false">IF(AB645&gt;=3,Scoring!$C$24,IF(AB645=2,Scoring!$C$23,IF(AB645=1,Scoring!$C$22,0)))</f>
        <v>0</v>
      </c>
      <c r="AD645" s="22" t="n">
        <f aca="false">IF(T645="Y",0,IF(ISNUMBER(X645),IF(X645&gt;0.7,Scoring!$C$25,IF(X645&gt;=0.5,Scoring!$C$26,IF(X645&gt;=0.3,Scoring!$C$27,Scoring!$C$28))),Scoring!$C$29))</f>
        <v>10</v>
      </c>
      <c r="AE645" s="22" t="n">
        <f aca="false">IF(D645="Expiring: notice window (verified)",Scoring!$C$30,IF(OR(D645="Expired (verified)",D645="30-yr mark: notice window (est.)",D645="Year-15 window"),Scoring!$C$31,IF(D645="Expiring: 10-yr horizon (verified)",Scoring!$C$32,IF(D645="Past 30-yr mark (verify)",Scoring!$C$33,IF(OR(D645="Credit period",D645="Superseded record"),Scoring!$C$35,Scoring!$C$34)))))</f>
        <v>4</v>
      </c>
      <c r="AF645" s="22" t="n">
        <f aca="false">IF(T645="Y",0,IF(ISNUMBER(V645),IF(Scoring!$B$4-V645&gt;15,Scoring!$C$36,IF(Scoring!$B$4-V645&gt;=10,Scoring!$C$37,IF(Scoring!$B$4-V645&gt;=5,Scoring!$C$38,Scoring!$C$39))),IF(OR(N645="",D645="Out of program"),Scoring!$C$40,IF(O645&gt;15,Scoring!$C$36,IF(O645&gt;=10,Scoring!$C$37,IF(O645&gt;=5,Scoring!$C$38,Scoring!$C$39))))))</f>
        <v>12</v>
      </c>
      <c r="AG645" s="22" t="n">
        <f aca="false">IF(T645="Y",0,IF(Y645="Y",Scoring!$C$41,IF(ISNUMBER(O645),IF(O645&gt;=25,Scoring!$C$42,IF(O645&gt;=15,Scoring!$C$43,Scoring!$C$44)),Scoring!$C$44)))</f>
        <v>2</v>
      </c>
      <c r="AH645" s="22" t="n">
        <f aca="false">IF(T645="Y",0,IF(W645="",Scoring!$C$49,IFERROR(VLOOKUP(W645,Scoring!$B$45:$C$48,2,FALSE()),Scoring!$C$49)))</f>
        <v>5</v>
      </c>
      <c r="AI645" s="23" t="n">
        <f aca="false">C645+IF(ISNUMBER(J645),J645,0)/100000+(10000-ROW())/1000000000</f>
        <v>33.000509355</v>
      </c>
      <c r="AJ645" s="18"/>
      <c r="AK645" s="18"/>
      <c r="AL645" s="18"/>
      <c r="AM645" s="18"/>
    </row>
    <row r="646" customFormat="false" ht="15" hidden="false" customHeight="false" outlineLevel="0" collapsed="false">
      <c r="A646" s="15" t="n">
        <f aca="false">RANK(AI646,$AI$2:$AI$755)</f>
        <v>645</v>
      </c>
      <c r="B646" s="16" t="str">
        <f aca="false">IF(T646="Y","Superseded",IF(C646&gt;=Scoring!$B$16,"Immediate",IF(C646&gt;=Scoring!$B$17,"This week",IF(C646&gt;=Scoring!$B$18,"Nurture","Low"))))</f>
        <v>Nurture</v>
      </c>
      <c r="C646" s="3" t="n">
        <f aca="false">SUM(AC646:AH646)</f>
        <v>33</v>
      </c>
      <c r="D646" s="15" t="str">
        <f aca="false">IF(T646="Y","Superseded record",IF(AND(U646&lt;&gt;"",AA646&lt;0),"Expired (verified)",IF(AND(U646&lt;&gt;"",AA646&lt;=Scoring!$B$5),"Expiring: notice window (verified)",IF(AND(U646&lt;&gt;"",AA646&lt;=Scoring!$B$6),"Expiring: 10-yr horizon (verified)",IF(M646="No Longer Monitored","Out of program",IF(N646="","Unknown vintage",IF(N646&lt;Scoring!$B$12,"Pre-1990, still listed",IF(AND(U646="",AA646&lt;0),"Past 30-yr mark (verify)",IF(AND(U646="",AA646&lt;=Scoring!$B$5),"30-yr mark: notice window (est.)",IF(AND(O646&gt;=Scoring!$B$7,O646&lt;=Scoring!$B$8),"Year-15 window",IF(O646&gt;=Scoring!$B$9,"Recap window",IF(O646&gt;=11,"Late compliance","Credit period"))))))))))))</f>
        <v>Late compliance</v>
      </c>
      <c r="E646" s="15" t="s">
        <v>2259</v>
      </c>
      <c r="F646" s="15" t="s">
        <v>2260</v>
      </c>
      <c r="G646" s="15" t="s">
        <v>2261</v>
      </c>
      <c r="H646" s="15" t="s">
        <v>97</v>
      </c>
      <c r="I646" s="15" t="s">
        <v>1393</v>
      </c>
      <c r="J646" s="15" t="n">
        <v>47</v>
      </c>
      <c r="K646" s="15" t="n">
        <v>47</v>
      </c>
      <c r="L646" s="15" t="n">
        <f aca="false">IF(OR(J646="",K646=""),"",MAX(J646-K646,0))</f>
        <v>0</v>
      </c>
      <c r="M646" s="15" t="s">
        <v>99</v>
      </c>
      <c r="N646" s="17" t="n">
        <v>2014</v>
      </c>
      <c r="O646" s="15" t="n">
        <f aca="false">IF(N646="","",Scoring!$B$4-N646)</f>
        <v>12</v>
      </c>
      <c r="P646" s="15" t="n">
        <f aca="false">IF(N646="","",N646+14)</f>
        <v>2028</v>
      </c>
      <c r="Q646" s="15" t="n">
        <f aca="false">IF(N646="","",IF(N646&lt;Scoring!$B$12,"n/a (pre-1990)",N646+Scoring!$B$13))</f>
        <v>2043</v>
      </c>
      <c r="R646" s="15" t="str">
        <f aca="false">IF(J646="","Unknown",IF(J646&gt;=5,"Yes","No (under 5 units)"))</f>
        <v>Yes</v>
      </c>
      <c r="S646" s="15"/>
      <c r="T646" s="18"/>
      <c r="U646" s="19"/>
      <c r="V646" s="18"/>
      <c r="W646" s="18"/>
      <c r="X646" s="20"/>
      <c r="Y646" s="18"/>
      <c r="Z646" s="18"/>
      <c r="AA646" s="21" t="n">
        <f aca="false">IF(U646&lt;&gt;"",(U646-Scoring!$B$3)/365.25,IF(N646="","",IF(N646&lt;Scoring!$B$12,"",(DATE(N646+Scoring!$B$13,12,31)-Scoring!$B$3)/365.25)))</f>
        <v>17.2457221081451</v>
      </c>
      <c r="AB646" s="22" t="n">
        <f aca="false">IF(T646="Y",0,IF(OR(D646="Expired (verified)",D646="Expiring: notice window (verified)",D646="Expiring: 10-yr horizon (verified)",D646="Past 30-yr mark (verify)",D646="30-yr mark: notice window (est.)",D646="Year-15 window"),1,0)+IF(ISNUMBER(O646),IF(O646&gt;=Scoring!$B$10,1,0),0)+IF(AND(ISNUMBER(L646),ISNUMBER(J646)),IF(J646&gt;0,IF(L646/J646&gt;=Scoring!$B$11,1,0),0),0)+IF(ISNUMBER(Z646),MIN(Z646,3),0))</f>
        <v>0</v>
      </c>
      <c r="AC646" s="22" t="n">
        <f aca="false">IF(AB646&gt;=3,Scoring!$C$24,IF(AB646=2,Scoring!$C$23,IF(AB646=1,Scoring!$C$22,0)))</f>
        <v>0</v>
      </c>
      <c r="AD646" s="22" t="n">
        <f aca="false">IF(T646="Y",0,IF(ISNUMBER(X646),IF(X646&gt;0.7,Scoring!$C$25,IF(X646&gt;=0.5,Scoring!$C$26,IF(X646&gt;=0.3,Scoring!$C$27,Scoring!$C$28))),Scoring!$C$29))</f>
        <v>10</v>
      </c>
      <c r="AE646" s="22" t="n">
        <f aca="false">IF(D646="Expiring: notice window (verified)",Scoring!$C$30,IF(OR(D646="Expired (verified)",D646="30-yr mark: notice window (est.)",D646="Year-15 window"),Scoring!$C$31,IF(D646="Expiring: 10-yr horizon (verified)",Scoring!$C$32,IF(D646="Past 30-yr mark (verify)",Scoring!$C$33,IF(OR(D646="Credit period",D646="Superseded record"),Scoring!$C$35,Scoring!$C$34)))))</f>
        <v>4</v>
      </c>
      <c r="AF646" s="22" t="n">
        <f aca="false">IF(T646="Y",0,IF(ISNUMBER(V646),IF(Scoring!$B$4-V646&gt;15,Scoring!$C$36,IF(Scoring!$B$4-V646&gt;=10,Scoring!$C$37,IF(Scoring!$B$4-V646&gt;=5,Scoring!$C$38,Scoring!$C$39))),IF(OR(N646="",D646="Out of program"),Scoring!$C$40,IF(O646&gt;15,Scoring!$C$36,IF(O646&gt;=10,Scoring!$C$37,IF(O646&gt;=5,Scoring!$C$38,Scoring!$C$39))))))</f>
        <v>12</v>
      </c>
      <c r="AG646" s="22" t="n">
        <f aca="false">IF(T646="Y",0,IF(Y646="Y",Scoring!$C$41,IF(ISNUMBER(O646),IF(O646&gt;=25,Scoring!$C$42,IF(O646&gt;=15,Scoring!$C$43,Scoring!$C$44)),Scoring!$C$44)))</f>
        <v>2</v>
      </c>
      <c r="AH646" s="22" t="n">
        <f aca="false">IF(T646="Y",0,IF(W646="",Scoring!$C$49,IFERROR(VLOOKUP(W646,Scoring!$B$45:$C$48,2,FALSE()),Scoring!$C$49)))</f>
        <v>5</v>
      </c>
      <c r="AI646" s="23" t="n">
        <f aca="false">C646+IF(ISNUMBER(J646),J646,0)/100000+(10000-ROW())/1000000000</f>
        <v>33.000479354</v>
      </c>
      <c r="AJ646" s="18"/>
      <c r="AK646" s="18"/>
      <c r="AL646" s="18"/>
      <c r="AM646" s="18"/>
    </row>
    <row r="647" customFormat="false" ht="15" hidden="false" customHeight="false" outlineLevel="0" collapsed="false">
      <c r="A647" s="15" t="n">
        <f aca="false">RANK(AI647,$AI$2:$AI$755)</f>
        <v>646</v>
      </c>
      <c r="B647" s="16" t="str">
        <f aca="false">IF(T647="Y","Superseded",IF(C647&gt;=Scoring!$B$16,"Immediate",IF(C647&gt;=Scoring!$B$17,"This week",IF(C647&gt;=Scoring!$B$18,"Nurture","Low"))))</f>
        <v>Nurture</v>
      </c>
      <c r="C647" s="3" t="n">
        <f aca="false">SUM(AC647:AH647)</f>
        <v>33</v>
      </c>
      <c r="D647" s="15" t="str">
        <f aca="false">IF(T647="Y","Superseded record",IF(AND(U647&lt;&gt;"",AA647&lt;0),"Expired (verified)",IF(AND(U647&lt;&gt;"",AA647&lt;=Scoring!$B$5),"Expiring: notice window (verified)",IF(AND(U647&lt;&gt;"",AA647&lt;=Scoring!$B$6),"Expiring: 10-yr horizon (verified)",IF(M647="No Longer Monitored","Out of program",IF(N647="","Unknown vintage",IF(N647&lt;Scoring!$B$12,"Pre-1990, still listed",IF(AND(U647="",AA647&lt;0),"Past 30-yr mark (verify)",IF(AND(U647="",AA647&lt;=Scoring!$B$5),"30-yr mark: notice window (est.)",IF(AND(O647&gt;=Scoring!$B$7,O647&lt;=Scoring!$B$8),"Year-15 window",IF(O647&gt;=Scoring!$B$9,"Recap window",IF(O647&gt;=11,"Late compliance","Credit period"))))))))))))</f>
        <v>Late compliance</v>
      </c>
      <c r="E647" s="15" t="s">
        <v>2262</v>
      </c>
      <c r="F647" s="15" t="s">
        <v>2263</v>
      </c>
      <c r="G647" s="15" t="s">
        <v>2264</v>
      </c>
      <c r="H647" s="15" t="s">
        <v>107</v>
      </c>
      <c r="I647" s="15" t="s">
        <v>108</v>
      </c>
      <c r="J647" s="15" t="n">
        <v>46</v>
      </c>
      <c r="K647" s="15" t="n">
        <v>46</v>
      </c>
      <c r="L647" s="15" t="n">
        <f aca="false">IF(OR(J647="",K647=""),"",MAX(J647-K647,0))</f>
        <v>0</v>
      </c>
      <c r="M647" s="15" t="s">
        <v>99</v>
      </c>
      <c r="N647" s="17" t="n">
        <v>2014</v>
      </c>
      <c r="O647" s="15" t="n">
        <f aca="false">IF(N647="","",Scoring!$B$4-N647)</f>
        <v>12</v>
      </c>
      <c r="P647" s="15" t="n">
        <f aca="false">IF(N647="","",N647+14)</f>
        <v>2028</v>
      </c>
      <c r="Q647" s="15" t="n">
        <f aca="false">IF(N647="","",IF(N647&lt;Scoring!$B$12,"n/a (pre-1990)",N647+Scoring!$B$13))</f>
        <v>2043</v>
      </c>
      <c r="R647" s="15" t="str">
        <f aca="false">IF(J647="","Unknown",IF(J647&gt;=5,"Yes","No (under 5 units)"))</f>
        <v>Yes</v>
      </c>
      <c r="S647" s="15"/>
      <c r="T647" s="18"/>
      <c r="U647" s="19"/>
      <c r="V647" s="18"/>
      <c r="W647" s="18"/>
      <c r="X647" s="20"/>
      <c r="Y647" s="18"/>
      <c r="Z647" s="18"/>
      <c r="AA647" s="21" t="n">
        <f aca="false">IF(U647&lt;&gt;"",(U647-Scoring!$B$3)/365.25,IF(N647="","",IF(N647&lt;Scoring!$B$12,"",(DATE(N647+Scoring!$B$13,12,31)-Scoring!$B$3)/365.25)))</f>
        <v>17.2457221081451</v>
      </c>
      <c r="AB647" s="22" t="n">
        <f aca="false">IF(T647="Y",0,IF(OR(D647="Expired (verified)",D647="Expiring: notice window (verified)",D647="Expiring: 10-yr horizon (verified)",D647="Past 30-yr mark (verify)",D647="30-yr mark: notice window (est.)",D647="Year-15 window"),1,0)+IF(ISNUMBER(O647),IF(O647&gt;=Scoring!$B$10,1,0),0)+IF(AND(ISNUMBER(L647),ISNUMBER(J647)),IF(J647&gt;0,IF(L647/J647&gt;=Scoring!$B$11,1,0),0),0)+IF(ISNUMBER(Z647),MIN(Z647,3),0))</f>
        <v>0</v>
      </c>
      <c r="AC647" s="22" t="n">
        <f aca="false">IF(AB647&gt;=3,Scoring!$C$24,IF(AB647=2,Scoring!$C$23,IF(AB647=1,Scoring!$C$22,0)))</f>
        <v>0</v>
      </c>
      <c r="AD647" s="22" t="n">
        <f aca="false">IF(T647="Y",0,IF(ISNUMBER(X647),IF(X647&gt;0.7,Scoring!$C$25,IF(X647&gt;=0.5,Scoring!$C$26,IF(X647&gt;=0.3,Scoring!$C$27,Scoring!$C$28))),Scoring!$C$29))</f>
        <v>10</v>
      </c>
      <c r="AE647" s="22" t="n">
        <f aca="false">IF(D647="Expiring: notice window (verified)",Scoring!$C$30,IF(OR(D647="Expired (verified)",D647="30-yr mark: notice window (est.)",D647="Year-15 window"),Scoring!$C$31,IF(D647="Expiring: 10-yr horizon (verified)",Scoring!$C$32,IF(D647="Past 30-yr mark (verify)",Scoring!$C$33,IF(OR(D647="Credit period",D647="Superseded record"),Scoring!$C$35,Scoring!$C$34)))))</f>
        <v>4</v>
      </c>
      <c r="AF647" s="22" t="n">
        <f aca="false">IF(T647="Y",0,IF(ISNUMBER(V647),IF(Scoring!$B$4-V647&gt;15,Scoring!$C$36,IF(Scoring!$B$4-V647&gt;=10,Scoring!$C$37,IF(Scoring!$B$4-V647&gt;=5,Scoring!$C$38,Scoring!$C$39))),IF(OR(N647="",D647="Out of program"),Scoring!$C$40,IF(O647&gt;15,Scoring!$C$36,IF(O647&gt;=10,Scoring!$C$37,IF(O647&gt;=5,Scoring!$C$38,Scoring!$C$39))))))</f>
        <v>12</v>
      </c>
      <c r="AG647" s="22" t="n">
        <f aca="false">IF(T647="Y",0,IF(Y647="Y",Scoring!$C$41,IF(ISNUMBER(O647),IF(O647&gt;=25,Scoring!$C$42,IF(O647&gt;=15,Scoring!$C$43,Scoring!$C$44)),Scoring!$C$44)))</f>
        <v>2</v>
      </c>
      <c r="AH647" s="22" t="n">
        <f aca="false">IF(T647="Y",0,IF(W647="",Scoring!$C$49,IFERROR(VLOOKUP(W647,Scoring!$B$45:$C$48,2,FALSE()),Scoring!$C$49)))</f>
        <v>5</v>
      </c>
      <c r="AI647" s="23" t="n">
        <f aca="false">C647+IF(ISNUMBER(J647),J647,0)/100000+(10000-ROW())/1000000000</f>
        <v>33.000469353</v>
      </c>
      <c r="AJ647" s="18"/>
      <c r="AK647" s="18"/>
      <c r="AL647" s="18"/>
      <c r="AM647" s="18"/>
    </row>
    <row r="648" customFormat="false" ht="15" hidden="false" customHeight="false" outlineLevel="0" collapsed="false">
      <c r="A648" s="15" t="n">
        <f aca="false">RANK(AI648,$AI$2:$AI$755)</f>
        <v>647</v>
      </c>
      <c r="B648" s="16" t="str">
        <f aca="false">IF(T648="Y","Superseded",IF(C648&gt;=Scoring!$B$16,"Immediate",IF(C648&gt;=Scoring!$B$17,"This week",IF(C648&gt;=Scoring!$B$18,"Nurture","Low"))))</f>
        <v>Nurture</v>
      </c>
      <c r="C648" s="3" t="n">
        <f aca="false">SUM(AC648:AH648)</f>
        <v>33</v>
      </c>
      <c r="D648" s="15" t="str">
        <f aca="false">IF(T648="Y","Superseded record",IF(AND(U648&lt;&gt;"",AA648&lt;0),"Expired (verified)",IF(AND(U648&lt;&gt;"",AA648&lt;=Scoring!$B$5),"Expiring: notice window (verified)",IF(AND(U648&lt;&gt;"",AA648&lt;=Scoring!$B$6),"Expiring: 10-yr horizon (verified)",IF(M648="No Longer Monitored","Out of program",IF(N648="","Unknown vintage",IF(N648&lt;Scoring!$B$12,"Pre-1990, still listed",IF(AND(U648="",AA648&lt;0),"Past 30-yr mark (verify)",IF(AND(U648="",AA648&lt;=Scoring!$B$5),"30-yr mark: notice window (est.)",IF(AND(O648&gt;=Scoring!$B$7,O648&lt;=Scoring!$B$8),"Year-15 window",IF(O648&gt;=Scoring!$B$9,"Recap window",IF(O648&gt;=11,"Late compliance","Credit period"))))))))))))</f>
        <v>Late compliance</v>
      </c>
      <c r="E648" s="15" t="s">
        <v>2265</v>
      </c>
      <c r="F648" s="15" t="s">
        <v>2266</v>
      </c>
      <c r="G648" s="15" t="s">
        <v>2267</v>
      </c>
      <c r="H648" s="15" t="s">
        <v>207</v>
      </c>
      <c r="I648" s="15" t="s">
        <v>434</v>
      </c>
      <c r="J648" s="15" t="n">
        <v>42</v>
      </c>
      <c r="K648" s="15" t="n">
        <v>42</v>
      </c>
      <c r="L648" s="15" t="n">
        <f aca="false">IF(OR(J648="",K648=""),"",MAX(J648-K648,0))</f>
        <v>0</v>
      </c>
      <c r="M648" s="15" t="s">
        <v>99</v>
      </c>
      <c r="N648" s="17" t="n">
        <v>2015</v>
      </c>
      <c r="O648" s="15" t="n">
        <f aca="false">IF(N648="","",Scoring!$B$4-N648)</f>
        <v>11</v>
      </c>
      <c r="P648" s="15" t="n">
        <f aca="false">IF(N648="","",N648+14)</f>
        <v>2029</v>
      </c>
      <c r="Q648" s="15" t="n">
        <f aca="false">IF(N648="","",IF(N648&lt;Scoring!$B$12,"n/a (pre-1990)",N648+Scoring!$B$13))</f>
        <v>2044</v>
      </c>
      <c r="R648" s="15" t="str">
        <f aca="false">IF(J648="","Unknown",IF(J648&gt;=5,"Yes","No (under 5 units)"))</f>
        <v>Yes</v>
      </c>
      <c r="S648" s="15"/>
      <c r="T648" s="18"/>
      <c r="U648" s="19"/>
      <c r="V648" s="18"/>
      <c r="W648" s="18"/>
      <c r="X648" s="20"/>
      <c r="Y648" s="18"/>
      <c r="Z648" s="18"/>
      <c r="AA648" s="21" t="n">
        <f aca="false">IF(U648&lt;&gt;"",(U648-Scoring!$B$3)/365.25,IF(N648="","",IF(N648&lt;Scoring!$B$12,"",(DATE(N648+Scoring!$B$13,12,31)-Scoring!$B$3)/365.25)))</f>
        <v>18.2477754962355</v>
      </c>
      <c r="AB648" s="22" t="n">
        <f aca="false">IF(T648="Y",0,IF(OR(D648="Expired (verified)",D648="Expiring: notice window (verified)",D648="Expiring: 10-yr horizon (verified)",D648="Past 30-yr mark (verify)",D648="30-yr mark: notice window (est.)",D648="Year-15 window"),1,0)+IF(ISNUMBER(O648),IF(O648&gt;=Scoring!$B$10,1,0),0)+IF(AND(ISNUMBER(L648),ISNUMBER(J648)),IF(J648&gt;0,IF(L648/J648&gt;=Scoring!$B$11,1,0),0),0)+IF(ISNUMBER(Z648),MIN(Z648,3),0))</f>
        <v>0</v>
      </c>
      <c r="AC648" s="22" t="n">
        <f aca="false">IF(AB648&gt;=3,Scoring!$C$24,IF(AB648=2,Scoring!$C$23,IF(AB648=1,Scoring!$C$22,0)))</f>
        <v>0</v>
      </c>
      <c r="AD648" s="22" t="n">
        <f aca="false">IF(T648="Y",0,IF(ISNUMBER(X648),IF(X648&gt;0.7,Scoring!$C$25,IF(X648&gt;=0.5,Scoring!$C$26,IF(X648&gt;=0.3,Scoring!$C$27,Scoring!$C$28))),Scoring!$C$29))</f>
        <v>10</v>
      </c>
      <c r="AE648" s="22" t="n">
        <f aca="false">IF(D648="Expiring: notice window (verified)",Scoring!$C$30,IF(OR(D648="Expired (verified)",D648="30-yr mark: notice window (est.)",D648="Year-15 window"),Scoring!$C$31,IF(D648="Expiring: 10-yr horizon (verified)",Scoring!$C$32,IF(D648="Past 30-yr mark (verify)",Scoring!$C$33,IF(OR(D648="Credit period",D648="Superseded record"),Scoring!$C$35,Scoring!$C$34)))))</f>
        <v>4</v>
      </c>
      <c r="AF648" s="22" t="n">
        <f aca="false">IF(T648="Y",0,IF(ISNUMBER(V648),IF(Scoring!$B$4-V648&gt;15,Scoring!$C$36,IF(Scoring!$B$4-V648&gt;=10,Scoring!$C$37,IF(Scoring!$B$4-V648&gt;=5,Scoring!$C$38,Scoring!$C$39))),IF(OR(N648="",D648="Out of program"),Scoring!$C$40,IF(O648&gt;15,Scoring!$C$36,IF(O648&gt;=10,Scoring!$C$37,IF(O648&gt;=5,Scoring!$C$38,Scoring!$C$39))))))</f>
        <v>12</v>
      </c>
      <c r="AG648" s="22" t="n">
        <f aca="false">IF(T648="Y",0,IF(Y648="Y",Scoring!$C$41,IF(ISNUMBER(O648),IF(O648&gt;=25,Scoring!$C$42,IF(O648&gt;=15,Scoring!$C$43,Scoring!$C$44)),Scoring!$C$44)))</f>
        <v>2</v>
      </c>
      <c r="AH648" s="22" t="n">
        <f aca="false">IF(T648="Y",0,IF(W648="",Scoring!$C$49,IFERROR(VLOOKUP(W648,Scoring!$B$45:$C$48,2,FALSE()),Scoring!$C$49)))</f>
        <v>5</v>
      </c>
      <c r="AI648" s="23" t="n">
        <f aca="false">C648+IF(ISNUMBER(J648),J648,0)/100000+(10000-ROW())/1000000000</f>
        <v>33.000429352</v>
      </c>
      <c r="AJ648" s="18"/>
      <c r="AK648" s="18"/>
      <c r="AL648" s="18"/>
      <c r="AM648" s="18"/>
    </row>
    <row r="649" customFormat="false" ht="15" hidden="false" customHeight="false" outlineLevel="0" collapsed="false">
      <c r="A649" s="15" t="n">
        <f aca="false">RANK(AI649,$AI$2:$AI$755)</f>
        <v>648</v>
      </c>
      <c r="B649" s="16" t="str">
        <f aca="false">IF(T649="Y","Superseded",IF(C649&gt;=Scoring!$B$16,"Immediate",IF(C649&gt;=Scoring!$B$17,"This week",IF(C649&gt;=Scoring!$B$18,"Nurture","Low"))))</f>
        <v>Nurture</v>
      </c>
      <c r="C649" s="3" t="n">
        <f aca="false">SUM(AC649:AH649)</f>
        <v>33</v>
      </c>
      <c r="D649" s="15" t="str">
        <f aca="false">IF(T649="Y","Superseded record",IF(AND(U649&lt;&gt;"",AA649&lt;0),"Expired (verified)",IF(AND(U649&lt;&gt;"",AA649&lt;=Scoring!$B$5),"Expiring: notice window (verified)",IF(AND(U649&lt;&gt;"",AA649&lt;=Scoring!$B$6),"Expiring: 10-yr horizon (verified)",IF(M649="No Longer Monitored","Out of program",IF(N649="","Unknown vintage",IF(N649&lt;Scoring!$B$12,"Pre-1990, still listed",IF(AND(U649="",AA649&lt;0),"Past 30-yr mark (verify)",IF(AND(U649="",AA649&lt;=Scoring!$B$5),"30-yr mark: notice window (est.)",IF(AND(O649&gt;=Scoring!$B$7,O649&lt;=Scoring!$B$8),"Year-15 window",IF(O649&gt;=Scoring!$B$9,"Recap window",IF(O649&gt;=11,"Late compliance","Credit period"))))))))))))</f>
        <v>Late compliance</v>
      </c>
      <c r="E649" s="15" t="s">
        <v>2268</v>
      </c>
      <c r="F649" s="15" t="s">
        <v>2269</v>
      </c>
      <c r="G649" s="15" t="s">
        <v>2270</v>
      </c>
      <c r="H649" s="15" t="s">
        <v>2271</v>
      </c>
      <c r="I649" s="15" t="s">
        <v>701</v>
      </c>
      <c r="J649" s="15" t="n">
        <v>38</v>
      </c>
      <c r="K649" s="15" t="n">
        <v>38</v>
      </c>
      <c r="L649" s="15" t="n">
        <f aca="false">IF(OR(J649="",K649=""),"",MAX(J649-K649,0))</f>
        <v>0</v>
      </c>
      <c r="M649" s="15" t="s">
        <v>99</v>
      </c>
      <c r="N649" s="17" t="n">
        <v>2015</v>
      </c>
      <c r="O649" s="15" t="n">
        <f aca="false">IF(N649="","",Scoring!$B$4-N649)</f>
        <v>11</v>
      </c>
      <c r="P649" s="15" t="n">
        <f aca="false">IF(N649="","",N649+14)</f>
        <v>2029</v>
      </c>
      <c r="Q649" s="15" t="n">
        <f aca="false">IF(N649="","",IF(N649&lt;Scoring!$B$12,"n/a (pre-1990)",N649+Scoring!$B$13))</f>
        <v>2044</v>
      </c>
      <c r="R649" s="15" t="str">
        <f aca="false">IF(J649="","Unknown",IF(J649&gt;=5,"Yes","No (under 5 units)"))</f>
        <v>Yes</v>
      </c>
      <c r="S649" s="15"/>
      <c r="T649" s="18"/>
      <c r="U649" s="19"/>
      <c r="V649" s="18"/>
      <c r="W649" s="18"/>
      <c r="X649" s="20"/>
      <c r="Y649" s="18"/>
      <c r="Z649" s="18"/>
      <c r="AA649" s="21" t="n">
        <f aca="false">IF(U649&lt;&gt;"",(U649-Scoring!$B$3)/365.25,IF(N649="","",IF(N649&lt;Scoring!$B$12,"",(DATE(N649+Scoring!$B$13,12,31)-Scoring!$B$3)/365.25)))</f>
        <v>18.2477754962355</v>
      </c>
      <c r="AB649" s="22" t="n">
        <f aca="false">IF(T649="Y",0,IF(OR(D649="Expired (verified)",D649="Expiring: notice window (verified)",D649="Expiring: 10-yr horizon (verified)",D649="Past 30-yr mark (verify)",D649="30-yr mark: notice window (est.)",D649="Year-15 window"),1,0)+IF(ISNUMBER(O649),IF(O649&gt;=Scoring!$B$10,1,0),0)+IF(AND(ISNUMBER(L649),ISNUMBER(J649)),IF(J649&gt;0,IF(L649/J649&gt;=Scoring!$B$11,1,0),0),0)+IF(ISNUMBER(Z649),MIN(Z649,3),0))</f>
        <v>0</v>
      </c>
      <c r="AC649" s="22" t="n">
        <f aca="false">IF(AB649&gt;=3,Scoring!$C$24,IF(AB649=2,Scoring!$C$23,IF(AB649=1,Scoring!$C$22,0)))</f>
        <v>0</v>
      </c>
      <c r="AD649" s="22" t="n">
        <f aca="false">IF(T649="Y",0,IF(ISNUMBER(X649),IF(X649&gt;0.7,Scoring!$C$25,IF(X649&gt;=0.5,Scoring!$C$26,IF(X649&gt;=0.3,Scoring!$C$27,Scoring!$C$28))),Scoring!$C$29))</f>
        <v>10</v>
      </c>
      <c r="AE649" s="22" t="n">
        <f aca="false">IF(D649="Expiring: notice window (verified)",Scoring!$C$30,IF(OR(D649="Expired (verified)",D649="30-yr mark: notice window (est.)",D649="Year-15 window"),Scoring!$C$31,IF(D649="Expiring: 10-yr horizon (verified)",Scoring!$C$32,IF(D649="Past 30-yr mark (verify)",Scoring!$C$33,IF(OR(D649="Credit period",D649="Superseded record"),Scoring!$C$35,Scoring!$C$34)))))</f>
        <v>4</v>
      </c>
      <c r="AF649" s="22" t="n">
        <f aca="false">IF(T649="Y",0,IF(ISNUMBER(V649),IF(Scoring!$B$4-V649&gt;15,Scoring!$C$36,IF(Scoring!$B$4-V649&gt;=10,Scoring!$C$37,IF(Scoring!$B$4-V649&gt;=5,Scoring!$C$38,Scoring!$C$39))),IF(OR(N649="",D649="Out of program"),Scoring!$C$40,IF(O649&gt;15,Scoring!$C$36,IF(O649&gt;=10,Scoring!$C$37,IF(O649&gt;=5,Scoring!$C$38,Scoring!$C$39))))))</f>
        <v>12</v>
      </c>
      <c r="AG649" s="22" t="n">
        <f aca="false">IF(T649="Y",0,IF(Y649="Y",Scoring!$C$41,IF(ISNUMBER(O649),IF(O649&gt;=25,Scoring!$C$42,IF(O649&gt;=15,Scoring!$C$43,Scoring!$C$44)),Scoring!$C$44)))</f>
        <v>2</v>
      </c>
      <c r="AH649" s="22" t="n">
        <f aca="false">IF(T649="Y",0,IF(W649="",Scoring!$C$49,IFERROR(VLOOKUP(W649,Scoring!$B$45:$C$48,2,FALSE()),Scoring!$C$49)))</f>
        <v>5</v>
      </c>
      <c r="AI649" s="23" t="n">
        <f aca="false">C649+IF(ISNUMBER(J649),J649,0)/100000+(10000-ROW())/1000000000</f>
        <v>33.000389351</v>
      </c>
      <c r="AJ649" s="18"/>
      <c r="AK649" s="18"/>
      <c r="AL649" s="18"/>
      <c r="AM649" s="18"/>
    </row>
    <row r="650" customFormat="false" ht="15" hidden="false" customHeight="false" outlineLevel="0" collapsed="false">
      <c r="A650" s="15" t="n">
        <f aca="false">RANK(AI650,$AI$2:$AI$755)</f>
        <v>649</v>
      </c>
      <c r="B650" s="16" t="str">
        <f aca="false">IF(T650="Y","Superseded",IF(C650&gt;=Scoring!$B$16,"Immediate",IF(C650&gt;=Scoring!$B$17,"This week",IF(C650&gt;=Scoring!$B$18,"Nurture","Low"))))</f>
        <v>Nurture</v>
      </c>
      <c r="C650" s="3" t="n">
        <f aca="false">SUM(AC650:AH650)</f>
        <v>33</v>
      </c>
      <c r="D650" s="15" t="str">
        <f aca="false">IF(T650="Y","Superseded record",IF(AND(U650&lt;&gt;"",AA650&lt;0),"Expired (verified)",IF(AND(U650&lt;&gt;"",AA650&lt;=Scoring!$B$5),"Expiring: notice window (verified)",IF(AND(U650&lt;&gt;"",AA650&lt;=Scoring!$B$6),"Expiring: 10-yr horizon (verified)",IF(M650="No Longer Monitored","Out of program",IF(N650="","Unknown vintage",IF(N650&lt;Scoring!$B$12,"Pre-1990, still listed",IF(AND(U650="",AA650&lt;0),"Past 30-yr mark (verify)",IF(AND(U650="",AA650&lt;=Scoring!$B$5),"30-yr mark: notice window (est.)",IF(AND(O650&gt;=Scoring!$B$7,O650&lt;=Scoring!$B$8),"Year-15 window",IF(O650&gt;=Scoring!$B$9,"Recap window",IF(O650&gt;=11,"Late compliance","Credit period"))))))))))))</f>
        <v>Late compliance</v>
      </c>
      <c r="E650" s="15" t="s">
        <v>2272</v>
      </c>
      <c r="F650" s="15" t="s">
        <v>2273</v>
      </c>
      <c r="G650" s="15" t="s">
        <v>2274</v>
      </c>
      <c r="H650" s="15" t="s">
        <v>777</v>
      </c>
      <c r="I650" s="15" t="s">
        <v>778</v>
      </c>
      <c r="J650" s="15" t="n">
        <v>36</v>
      </c>
      <c r="K650" s="15" t="n">
        <v>35</v>
      </c>
      <c r="L650" s="15" t="n">
        <f aca="false">IF(OR(J650="",K650=""),"",MAX(J650-K650,0))</f>
        <v>1</v>
      </c>
      <c r="M650" s="15" t="s">
        <v>99</v>
      </c>
      <c r="N650" s="17" t="n">
        <v>2014</v>
      </c>
      <c r="O650" s="15" t="n">
        <f aca="false">IF(N650="","",Scoring!$B$4-N650)</f>
        <v>12</v>
      </c>
      <c r="P650" s="15" t="n">
        <f aca="false">IF(N650="","",N650+14)</f>
        <v>2028</v>
      </c>
      <c r="Q650" s="15" t="n">
        <f aca="false">IF(N650="","",IF(N650&lt;Scoring!$B$12,"n/a (pre-1990)",N650+Scoring!$B$13))</f>
        <v>2043</v>
      </c>
      <c r="R650" s="15" t="str">
        <f aca="false">IF(J650="","Unknown",IF(J650&gt;=5,"Yes","No (under 5 units)"))</f>
        <v>Yes</v>
      </c>
      <c r="S650" s="15" t="s">
        <v>2275</v>
      </c>
      <c r="T650" s="18"/>
      <c r="U650" s="19"/>
      <c r="V650" s="18"/>
      <c r="W650" s="18"/>
      <c r="X650" s="20"/>
      <c r="Y650" s="18"/>
      <c r="Z650" s="18"/>
      <c r="AA650" s="21" t="n">
        <f aca="false">IF(U650&lt;&gt;"",(U650-Scoring!$B$3)/365.25,IF(N650="","",IF(N650&lt;Scoring!$B$12,"",(DATE(N650+Scoring!$B$13,12,31)-Scoring!$B$3)/365.25)))</f>
        <v>17.2457221081451</v>
      </c>
      <c r="AB650" s="22" t="n">
        <f aca="false">IF(T650="Y",0,IF(OR(D650="Expired (verified)",D650="Expiring: notice window (verified)",D650="Expiring: 10-yr horizon (verified)",D650="Past 30-yr mark (verify)",D650="30-yr mark: notice window (est.)",D650="Year-15 window"),1,0)+IF(ISNUMBER(O650),IF(O650&gt;=Scoring!$B$10,1,0),0)+IF(AND(ISNUMBER(L650),ISNUMBER(J650)),IF(J650&gt;0,IF(L650/J650&gt;=Scoring!$B$11,1,0),0),0)+IF(ISNUMBER(Z650),MIN(Z650,3),0))</f>
        <v>0</v>
      </c>
      <c r="AC650" s="22" t="n">
        <f aca="false">IF(AB650&gt;=3,Scoring!$C$24,IF(AB650=2,Scoring!$C$23,IF(AB650=1,Scoring!$C$22,0)))</f>
        <v>0</v>
      </c>
      <c r="AD650" s="22" t="n">
        <f aca="false">IF(T650="Y",0,IF(ISNUMBER(X650),IF(X650&gt;0.7,Scoring!$C$25,IF(X650&gt;=0.5,Scoring!$C$26,IF(X650&gt;=0.3,Scoring!$C$27,Scoring!$C$28))),Scoring!$C$29))</f>
        <v>10</v>
      </c>
      <c r="AE650" s="22" t="n">
        <f aca="false">IF(D650="Expiring: notice window (verified)",Scoring!$C$30,IF(OR(D650="Expired (verified)",D650="30-yr mark: notice window (est.)",D650="Year-15 window"),Scoring!$C$31,IF(D650="Expiring: 10-yr horizon (verified)",Scoring!$C$32,IF(D650="Past 30-yr mark (verify)",Scoring!$C$33,IF(OR(D650="Credit period",D650="Superseded record"),Scoring!$C$35,Scoring!$C$34)))))</f>
        <v>4</v>
      </c>
      <c r="AF650" s="22" t="n">
        <f aca="false">IF(T650="Y",0,IF(ISNUMBER(V650),IF(Scoring!$B$4-V650&gt;15,Scoring!$C$36,IF(Scoring!$B$4-V650&gt;=10,Scoring!$C$37,IF(Scoring!$B$4-V650&gt;=5,Scoring!$C$38,Scoring!$C$39))),IF(OR(N650="",D650="Out of program"),Scoring!$C$40,IF(O650&gt;15,Scoring!$C$36,IF(O650&gt;=10,Scoring!$C$37,IF(O650&gt;=5,Scoring!$C$38,Scoring!$C$39))))))</f>
        <v>12</v>
      </c>
      <c r="AG650" s="22" t="n">
        <f aca="false">IF(T650="Y",0,IF(Y650="Y",Scoring!$C$41,IF(ISNUMBER(O650),IF(O650&gt;=25,Scoring!$C$42,IF(O650&gt;=15,Scoring!$C$43,Scoring!$C$44)),Scoring!$C$44)))</f>
        <v>2</v>
      </c>
      <c r="AH650" s="22" t="n">
        <f aca="false">IF(T650="Y",0,IF(W650="",Scoring!$C$49,IFERROR(VLOOKUP(W650,Scoring!$B$45:$C$48,2,FALSE()),Scoring!$C$49)))</f>
        <v>5</v>
      </c>
      <c r="AI650" s="23" t="n">
        <f aca="false">C650+IF(ISNUMBER(J650),J650,0)/100000+(10000-ROW())/1000000000</f>
        <v>33.00036935</v>
      </c>
      <c r="AJ650" s="18"/>
      <c r="AK650" s="18"/>
      <c r="AL650" s="18"/>
      <c r="AM650" s="18"/>
    </row>
    <row r="651" customFormat="false" ht="15" hidden="false" customHeight="false" outlineLevel="0" collapsed="false">
      <c r="A651" s="15" t="n">
        <f aca="false">RANK(AI651,$AI$2:$AI$755)</f>
        <v>650</v>
      </c>
      <c r="B651" s="16" t="str">
        <f aca="false">IF(T651="Y","Superseded",IF(C651&gt;=Scoring!$B$16,"Immediate",IF(C651&gt;=Scoring!$B$17,"This week",IF(C651&gt;=Scoring!$B$18,"Nurture","Low"))))</f>
        <v>Nurture</v>
      </c>
      <c r="C651" s="3" t="n">
        <f aca="false">SUM(AC651:AH651)</f>
        <v>33</v>
      </c>
      <c r="D651" s="15" t="str">
        <f aca="false">IF(T651="Y","Superseded record",IF(AND(U651&lt;&gt;"",AA651&lt;0),"Expired (verified)",IF(AND(U651&lt;&gt;"",AA651&lt;=Scoring!$B$5),"Expiring: notice window (verified)",IF(AND(U651&lt;&gt;"",AA651&lt;=Scoring!$B$6),"Expiring: 10-yr horizon (verified)",IF(M651="No Longer Monitored","Out of program",IF(N651="","Unknown vintage",IF(N651&lt;Scoring!$B$12,"Pre-1990, still listed",IF(AND(U651="",AA651&lt;0),"Past 30-yr mark (verify)",IF(AND(U651="",AA651&lt;=Scoring!$B$5),"30-yr mark: notice window (est.)",IF(AND(O651&gt;=Scoring!$B$7,O651&lt;=Scoring!$B$8),"Year-15 window",IF(O651&gt;=Scoring!$B$9,"Recap window",IF(O651&gt;=11,"Late compliance","Credit period"))))))))))))</f>
        <v>Late compliance</v>
      </c>
      <c r="E651" s="15" t="s">
        <v>2276</v>
      </c>
      <c r="F651" s="15" t="s">
        <v>2277</v>
      </c>
      <c r="G651" s="15" t="s">
        <v>2278</v>
      </c>
      <c r="H651" s="15" t="s">
        <v>956</v>
      </c>
      <c r="I651" s="15" t="s">
        <v>1232</v>
      </c>
      <c r="J651" s="15" t="n">
        <v>35</v>
      </c>
      <c r="K651" s="15" t="n">
        <v>35</v>
      </c>
      <c r="L651" s="15" t="n">
        <f aca="false">IF(OR(J651="",K651=""),"",MAX(J651-K651,0))</f>
        <v>0</v>
      </c>
      <c r="M651" s="15" t="s">
        <v>99</v>
      </c>
      <c r="N651" s="17" t="n">
        <v>2015</v>
      </c>
      <c r="O651" s="15" t="n">
        <f aca="false">IF(N651="","",Scoring!$B$4-N651)</f>
        <v>11</v>
      </c>
      <c r="P651" s="15" t="n">
        <f aca="false">IF(N651="","",N651+14)</f>
        <v>2029</v>
      </c>
      <c r="Q651" s="15" t="n">
        <f aca="false">IF(N651="","",IF(N651&lt;Scoring!$B$12,"n/a (pre-1990)",N651+Scoring!$B$13))</f>
        <v>2044</v>
      </c>
      <c r="R651" s="15" t="str">
        <f aca="false">IF(J651="","Unknown",IF(J651&gt;=5,"Yes","No (under 5 units)"))</f>
        <v>Yes</v>
      </c>
      <c r="S651" s="15"/>
      <c r="T651" s="18"/>
      <c r="U651" s="19"/>
      <c r="V651" s="18"/>
      <c r="W651" s="18"/>
      <c r="X651" s="20"/>
      <c r="Y651" s="18"/>
      <c r="Z651" s="18"/>
      <c r="AA651" s="21" t="n">
        <f aca="false">IF(U651&lt;&gt;"",(U651-Scoring!$B$3)/365.25,IF(N651="","",IF(N651&lt;Scoring!$B$12,"",(DATE(N651+Scoring!$B$13,12,31)-Scoring!$B$3)/365.25)))</f>
        <v>18.2477754962355</v>
      </c>
      <c r="AB651" s="22" t="n">
        <f aca="false">IF(T651="Y",0,IF(OR(D651="Expired (verified)",D651="Expiring: notice window (verified)",D651="Expiring: 10-yr horizon (verified)",D651="Past 30-yr mark (verify)",D651="30-yr mark: notice window (est.)",D651="Year-15 window"),1,0)+IF(ISNUMBER(O651),IF(O651&gt;=Scoring!$B$10,1,0),0)+IF(AND(ISNUMBER(L651),ISNUMBER(J651)),IF(J651&gt;0,IF(L651/J651&gt;=Scoring!$B$11,1,0),0),0)+IF(ISNUMBER(Z651),MIN(Z651,3),0))</f>
        <v>0</v>
      </c>
      <c r="AC651" s="22" t="n">
        <f aca="false">IF(AB651&gt;=3,Scoring!$C$24,IF(AB651=2,Scoring!$C$23,IF(AB651=1,Scoring!$C$22,0)))</f>
        <v>0</v>
      </c>
      <c r="AD651" s="22" t="n">
        <f aca="false">IF(T651="Y",0,IF(ISNUMBER(X651),IF(X651&gt;0.7,Scoring!$C$25,IF(X651&gt;=0.5,Scoring!$C$26,IF(X651&gt;=0.3,Scoring!$C$27,Scoring!$C$28))),Scoring!$C$29))</f>
        <v>10</v>
      </c>
      <c r="AE651" s="22" t="n">
        <f aca="false">IF(D651="Expiring: notice window (verified)",Scoring!$C$30,IF(OR(D651="Expired (verified)",D651="30-yr mark: notice window (est.)",D651="Year-15 window"),Scoring!$C$31,IF(D651="Expiring: 10-yr horizon (verified)",Scoring!$C$32,IF(D651="Past 30-yr mark (verify)",Scoring!$C$33,IF(OR(D651="Credit period",D651="Superseded record"),Scoring!$C$35,Scoring!$C$34)))))</f>
        <v>4</v>
      </c>
      <c r="AF651" s="22" t="n">
        <f aca="false">IF(T651="Y",0,IF(ISNUMBER(V651),IF(Scoring!$B$4-V651&gt;15,Scoring!$C$36,IF(Scoring!$B$4-V651&gt;=10,Scoring!$C$37,IF(Scoring!$B$4-V651&gt;=5,Scoring!$C$38,Scoring!$C$39))),IF(OR(N651="",D651="Out of program"),Scoring!$C$40,IF(O651&gt;15,Scoring!$C$36,IF(O651&gt;=10,Scoring!$C$37,IF(O651&gt;=5,Scoring!$C$38,Scoring!$C$39))))))</f>
        <v>12</v>
      </c>
      <c r="AG651" s="22" t="n">
        <f aca="false">IF(T651="Y",0,IF(Y651="Y",Scoring!$C$41,IF(ISNUMBER(O651),IF(O651&gt;=25,Scoring!$C$42,IF(O651&gt;=15,Scoring!$C$43,Scoring!$C$44)),Scoring!$C$44)))</f>
        <v>2</v>
      </c>
      <c r="AH651" s="22" t="n">
        <f aca="false">IF(T651="Y",0,IF(W651="",Scoring!$C$49,IFERROR(VLOOKUP(W651,Scoring!$B$45:$C$48,2,FALSE()),Scoring!$C$49)))</f>
        <v>5</v>
      </c>
      <c r="AI651" s="23" t="n">
        <f aca="false">C651+IF(ISNUMBER(J651),J651,0)/100000+(10000-ROW())/1000000000</f>
        <v>33.000359349</v>
      </c>
      <c r="AJ651" s="18"/>
      <c r="AK651" s="18"/>
      <c r="AL651" s="18"/>
      <c r="AM651" s="18"/>
    </row>
    <row r="652" customFormat="false" ht="15" hidden="false" customHeight="false" outlineLevel="0" collapsed="false">
      <c r="A652" s="15" t="n">
        <f aca="false">RANK(AI652,$AI$2:$AI$755)</f>
        <v>651</v>
      </c>
      <c r="B652" s="16" t="str">
        <f aca="false">IF(T652="Y","Superseded",IF(C652&gt;=Scoring!$B$16,"Immediate",IF(C652&gt;=Scoring!$B$17,"This week",IF(C652&gt;=Scoring!$B$18,"Nurture","Low"))))</f>
        <v>Nurture</v>
      </c>
      <c r="C652" s="3" t="n">
        <f aca="false">SUM(AC652:AH652)</f>
        <v>33</v>
      </c>
      <c r="D652" s="15" t="str">
        <f aca="false">IF(T652="Y","Superseded record",IF(AND(U652&lt;&gt;"",AA652&lt;0),"Expired (verified)",IF(AND(U652&lt;&gt;"",AA652&lt;=Scoring!$B$5),"Expiring: notice window (verified)",IF(AND(U652&lt;&gt;"",AA652&lt;=Scoring!$B$6),"Expiring: 10-yr horizon (verified)",IF(M652="No Longer Monitored","Out of program",IF(N652="","Unknown vintage",IF(N652&lt;Scoring!$B$12,"Pre-1990, still listed",IF(AND(U652="",AA652&lt;0),"Past 30-yr mark (verify)",IF(AND(U652="",AA652&lt;=Scoring!$B$5),"30-yr mark: notice window (est.)",IF(AND(O652&gt;=Scoring!$B$7,O652&lt;=Scoring!$B$8),"Year-15 window",IF(O652&gt;=Scoring!$B$9,"Recap window",IF(O652&gt;=11,"Late compliance","Credit period"))))))))))))</f>
        <v>Late compliance</v>
      </c>
      <c r="E652" s="15" t="s">
        <v>2279</v>
      </c>
      <c r="F652" s="15" t="s">
        <v>2280</v>
      </c>
      <c r="G652" s="15" t="s">
        <v>2281</v>
      </c>
      <c r="H652" s="15" t="s">
        <v>1150</v>
      </c>
      <c r="I652" s="15" t="s">
        <v>1155</v>
      </c>
      <c r="J652" s="15" t="n">
        <v>35</v>
      </c>
      <c r="K652" s="15" t="n">
        <v>35</v>
      </c>
      <c r="L652" s="15" t="n">
        <f aca="false">IF(OR(J652="",K652=""),"",MAX(J652-K652,0))</f>
        <v>0</v>
      </c>
      <c r="M652" s="15" t="s">
        <v>99</v>
      </c>
      <c r="N652" s="17" t="n">
        <v>2015</v>
      </c>
      <c r="O652" s="15" t="n">
        <f aca="false">IF(N652="","",Scoring!$B$4-N652)</f>
        <v>11</v>
      </c>
      <c r="P652" s="15" t="n">
        <f aca="false">IF(N652="","",N652+14)</f>
        <v>2029</v>
      </c>
      <c r="Q652" s="15" t="n">
        <f aca="false">IF(N652="","",IF(N652&lt;Scoring!$B$12,"n/a (pre-1990)",N652+Scoring!$B$13))</f>
        <v>2044</v>
      </c>
      <c r="R652" s="15" t="str">
        <f aca="false">IF(J652="","Unknown",IF(J652&gt;=5,"Yes","No (under 5 units)"))</f>
        <v>Yes</v>
      </c>
      <c r="S652" s="15"/>
      <c r="T652" s="18"/>
      <c r="U652" s="19"/>
      <c r="V652" s="18"/>
      <c r="W652" s="18"/>
      <c r="X652" s="20"/>
      <c r="Y652" s="18"/>
      <c r="Z652" s="18"/>
      <c r="AA652" s="21" t="n">
        <f aca="false">IF(U652&lt;&gt;"",(U652-Scoring!$B$3)/365.25,IF(N652="","",IF(N652&lt;Scoring!$B$12,"",(DATE(N652+Scoring!$B$13,12,31)-Scoring!$B$3)/365.25)))</f>
        <v>18.2477754962355</v>
      </c>
      <c r="AB652" s="22" t="n">
        <f aca="false">IF(T652="Y",0,IF(OR(D652="Expired (verified)",D652="Expiring: notice window (verified)",D652="Expiring: 10-yr horizon (verified)",D652="Past 30-yr mark (verify)",D652="30-yr mark: notice window (est.)",D652="Year-15 window"),1,0)+IF(ISNUMBER(O652),IF(O652&gt;=Scoring!$B$10,1,0),0)+IF(AND(ISNUMBER(L652),ISNUMBER(J652)),IF(J652&gt;0,IF(L652/J652&gt;=Scoring!$B$11,1,0),0),0)+IF(ISNUMBER(Z652),MIN(Z652,3),0))</f>
        <v>0</v>
      </c>
      <c r="AC652" s="22" t="n">
        <f aca="false">IF(AB652&gt;=3,Scoring!$C$24,IF(AB652=2,Scoring!$C$23,IF(AB652=1,Scoring!$C$22,0)))</f>
        <v>0</v>
      </c>
      <c r="AD652" s="22" t="n">
        <f aca="false">IF(T652="Y",0,IF(ISNUMBER(X652),IF(X652&gt;0.7,Scoring!$C$25,IF(X652&gt;=0.5,Scoring!$C$26,IF(X652&gt;=0.3,Scoring!$C$27,Scoring!$C$28))),Scoring!$C$29))</f>
        <v>10</v>
      </c>
      <c r="AE652" s="22" t="n">
        <f aca="false">IF(D652="Expiring: notice window (verified)",Scoring!$C$30,IF(OR(D652="Expired (verified)",D652="30-yr mark: notice window (est.)",D652="Year-15 window"),Scoring!$C$31,IF(D652="Expiring: 10-yr horizon (verified)",Scoring!$C$32,IF(D652="Past 30-yr mark (verify)",Scoring!$C$33,IF(OR(D652="Credit period",D652="Superseded record"),Scoring!$C$35,Scoring!$C$34)))))</f>
        <v>4</v>
      </c>
      <c r="AF652" s="22" t="n">
        <f aca="false">IF(T652="Y",0,IF(ISNUMBER(V652),IF(Scoring!$B$4-V652&gt;15,Scoring!$C$36,IF(Scoring!$B$4-V652&gt;=10,Scoring!$C$37,IF(Scoring!$B$4-V652&gt;=5,Scoring!$C$38,Scoring!$C$39))),IF(OR(N652="",D652="Out of program"),Scoring!$C$40,IF(O652&gt;15,Scoring!$C$36,IF(O652&gt;=10,Scoring!$C$37,IF(O652&gt;=5,Scoring!$C$38,Scoring!$C$39))))))</f>
        <v>12</v>
      </c>
      <c r="AG652" s="22" t="n">
        <f aca="false">IF(T652="Y",0,IF(Y652="Y",Scoring!$C$41,IF(ISNUMBER(O652),IF(O652&gt;=25,Scoring!$C$42,IF(O652&gt;=15,Scoring!$C$43,Scoring!$C$44)),Scoring!$C$44)))</f>
        <v>2</v>
      </c>
      <c r="AH652" s="22" t="n">
        <f aca="false">IF(T652="Y",0,IF(W652="",Scoring!$C$49,IFERROR(VLOOKUP(W652,Scoring!$B$45:$C$48,2,FALSE()),Scoring!$C$49)))</f>
        <v>5</v>
      </c>
      <c r="AI652" s="23" t="n">
        <f aca="false">C652+IF(ISNUMBER(J652),J652,0)/100000+(10000-ROW())/1000000000</f>
        <v>33.000359348</v>
      </c>
      <c r="AJ652" s="18"/>
      <c r="AK652" s="18"/>
      <c r="AL652" s="18"/>
      <c r="AM652" s="18"/>
    </row>
    <row r="653" customFormat="false" ht="15" hidden="false" customHeight="false" outlineLevel="0" collapsed="false">
      <c r="A653" s="15" t="n">
        <f aca="false">RANK(AI653,$AI$2:$AI$755)</f>
        <v>652</v>
      </c>
      <c r="B653" s="16" t="str">
        <f aca="false">IF(T653="Y","Superseded",IF(C653&gt;=Scoring!$B$16,"Immediate",IF(C653&gt;=Scoring!$B$17,"This week",IF(C653&gt;=Scoring!$B$18,"Nurture","Low"))))</f>
        <v>Nurture</v>
      </c>
      <c r="C653" s="3" t="n">
        <f aca="false">SUM(AC653:AH653)</f>
        <v>33</v>
      </c>
      <c r="D653" s="15" t="str">
        <f aca="false">IF(T653="Y","Superseded record",IF(AND(U653&lt;&gt;"",AA653&lt;0),"Expired (verified)",IF(AND(U653&lt;&gt;"",AA653&lt;=Scoring!$B$5),"Expiring: notice window (verified)",IF(AND(U653&lt;&gt;"",AA653&lt;=Scoring!$B$6),"Expiring: 10-yr horizon (verified)",IF(M653="No Longer Monitored","Out of program",IF(N653="","Unknown vintage",IF(N653&lt;Scoring!$B$12,"Pre-1990, still listed",IF(AND(U653="",AA653&lt;0),"Past 30-yr mark (verify)",IF(AND(U653="",AA653&lt;=Scoring!$B$5),"30-yr mark: notice window (est.)",IF(AND(O653&gt;=Scoring!$B$7,O653&lt;=Scoring!$B$8),"Year-15 window",IF(O653&gt;=Scoring!$B$9,"Recap window",IF(O653&gt;=11,"Late compliance","Credit period"))))))))))))</f>
        <v>Late compliance</v>
      </c>
      <c r="E653" s="15" t="s">
        <v>2282</v>
      </c>
      <c r="F653" s="15" t="s">
        <v>2283</v>
      </c>
      <c r="G653" s="15" t="s">
        <v>2284</v>
      </c>
      <c r="H653" s="15" t="s">
        <v>97</v>
      </c>
      <c r="I653" s="15" t="s">
        <v>245</v>
      </c>
      <c r="J653" s="15" t="n">
        <v>32</v>
      </c>
      <c r="K653" s="15" t="n">
        <v>32</v>
      </c>
      <c r="L653" s="15" t="n">
        <f aca="false">IF(OR(J653="",K653=""),"",MAX(J653-K653,0))</f>
        <v>0</v>
      </c>
      <c r="M653" s="15" t="s">
        <v>99</v>
      </c>
      <c r="N653" s="17" t="n">
        <v>2014</v>
      </c>
      <c r="O653" s="15" t="n">
        <f aca="false">IF(N653="","",Scoring!$B$4-N653)</f>
        <v>12</v>
      </c>
      <c r="P653" s="15" t="n">
        <f aca="false">IF(N653="","",N653+14)</f>
        <v>2028</v>
      </c>
      <c r="Q653" s="15" t="n">
        <f aca="false">IF(N653="","",IF(N653&lt;Scoring!$B$12,"n/a (pre-1990)",N653+Scoring!$B$13))</f>
        <v>2043</v>
      </c>
      <c r="R653" s="15" t="str">
        <f aca="false">IF(J653="","Unknown",IF(J653&gt;=5,"Yes","No (under 5 units)"))</f>
        <v>Yes</v>
      </c>
      <c r="S653" s="15"/>
      <c r="T653" s="18"/>
      <c r="U653" s="19"/>
      <c r="V653" s="18"/>
      <c r="W653" s="18"/>
      <c r="X653" s="20"/>
      <c r="Y653" s="18"/>
      <c r="Z653" s="18"/>
      <c r="AA653" s="21" t="n">
        <f aca="false">IF(U653&lt;&gt;"",(U653-Scoring!$B$3)/365.25,IF(N653="","",IF(N653&lt;Scoring!$B$12,"",(DATE(N653+Scoring!$B$13,12,31)-Scoring!$B$3)/365.25)))</f>
        <v>17.2457221081451</v>
      </c>
      <c r="AB653" s="22" t="n">
        <f aca="false">IF(T653="Y",0,IF(OR(D653="Expired (verified)",D653="Expiring: notice window (verified)",D653="Expiring: 10-yr horizon (verified)",D653="Past 30-yr mark (verify)",D653="30-yr mark: notice window (est.)",D653="Year-15 window"),1,0)+IF(ISNUMBER(O653),IF(O653&gt;=Scoring!$B$10,1,0),0)+IF(AND(ISNUMBER(L653),ISNUMBER(J653)),IF(J653&gt;0,IF(L653/J653&gt;=Scoring!$B$11,1,0),0),0)+IF(ISNUMBER(Z653),MIN(Z653,3),0))</f>
        <v>0</v>
      </c>
      <c r="AC653" s="22" t="n">
        <f aca="false">IF(AB653&gt;=3,Scoring!$C$24,IF(AB653=2,Scoring!$C$23,IF(AB653=1,Scoring!$C$22,0)))</f>
        <v>0</v>
      </c>
      <c r="AD653" s="22" t="n">
        <f aca="false">IF(T653="Y",0,IF(ISNUMBER(X653),IF(X653&gt;0.7,Scoring!$C$25,IF(X653&gt;=0.5,Scoring!$C$26,IF(X653&gt;=0.3,Scoring!$C$27,Scoring!$C$28))),Scoring!$C$29))</f>
        <v>10</v>
      </c>
      <c r="AE653" s="22" t="n">
        <f aca="false">IF(D653="Expiring: notice window (verified)",Scoring!$C$30,IF(OR(D653="Expired (verified)",D653="30-yr mark: notice window (est.)",D653="Year-15 window"),Scoring!$C$31,IF(D653="Expiring: 10-yr horizon (verified)",Scoring!$C$32,IF(D653="Past 30-yr mark (verify)",Scoring!$C$33,IF(OR(D653="Credit period",D653="Superseded record"),Scoring!$C$35,Scoring!$C$34)))))</f>
        <v>4</v>
      </c>
      <c r="AF653" s="22" t="n">
        <f aca="false">IF(T653="Y",0,IF(ISNUMBER(V653),IF(Scoring!$B$4-V653&gt;15,Scoring!$C$36,IF(Scoring!$B$4-V653&gt;=10,Scoring!$C$37,IF(Scoring!$B$4-V653&gt;=5,Scoring!$C$38,Scoring!$C$39))),IF(OR(N653="",D653="Out of program"),Scoring!$C$40,IF(O653&gt;15,Scoring!$C$36,IF(O653&gt;=10,Scoring!$C$37,IF(O653&gt;=5,Scoring!$C$38,Scoring!$C$39))))))</f>
        <v>12</v>
      </c>
      <c r="AG653" s="22" t="n">
        <f aca="false">IF(T653="Y",0,IF(Y653="Y",Scoring!$C$41,IF(ISNUMBER(O653),IF(O653&gt;=25,Scoring!$C$42,IF(O653&gt;=15,Scoring!$C$43,Scoring!$C$44)),Scoring!$C$44)))</f>
        <v>2</v>
      </c>
      <c r="AH653" s="22" t="n">
        <f aca="false">IF(T653="Y",0,IF(W653="",Scoring!$C$49,IFERROR(VLOOKUP(W653,Scoring!$B$45:$C$48,2,FALSE()),Scoring!$C$49)))</f>
        <v>5</v>
      </c>
      <c r="AI653" s="23" t="n">
        <f aca="false">C653+IF(ISNUMBER(J653),J653,0)/100000+(10000-ROW())/1000000000</f>
        <v>33.000329347</v>
      </c>
      <c r="AJ653" s="18"/>
      <c r="AK653" s="18"/>
      <c r="AL653" s="18"/>
      <c r="AM653" s="18"/>
    </row>
    <row r="654" customFormat="false" ht="15" hidden="false" customHeight="false" outlineLevel="0" collapsed="false">
      <c r="A654" s="15" t="n">
        <f aca="false">RANK(AI654,$AI$2:$AI$755)</f>
        <v>653</v>
      </c>
      <c r="B654" s="16" t="str">
        <f aca="false">IF(T654="Y","Superseded",IF(C654&gt;=Scoring!$B$16,"Immediate",IF(C654&gt;=Scoring!$B$17,"This week",IF(C654&gt;=Scoring!$B$18,"Nurture","Low"))))</f>
        <v>Nurture</v>
      </c>
      <c r="C654" s="3" t="n">
        <f aca="false">SUM(AC654:AH654)</f>
        <v>33</v>
      </c>
      <c r="D654" s="15" t="str">
        <f aca="false">IF(T654="Y","Superseded record",IF(AND(U654&lt;&gt;"",AA654&lt;0),"Expired (verified)",IF(AND(U654&lt;&gt;"",AA654&lt;=Scoring!$B$5),"Expiring: notice window (verified)",IF(AND(U654&lt;&gt;"",AA654&lt;=Scoring!$B$6),"Expiring: 10-yr horizon (verified)",IF(M654="No Longer Monitored","Out of program",IF(N654="","Unknown vintage",IF(N654&lt;Scoring!$B$12,"Pre-1990, still listed",IF(AND(U654="",AA654&lt;0),"Past 30-yr mark (verify)",IF(AND(U654="",AA654&lt;=Scoring!$B$5),"30-yr mark: notice window (est.)",IF(AND(O654&gt;=Scoring!$B$7,O654&lt;=Scoring!$B$8),"Year-15 window",IF(O654&gt;=Scoring!$B$9,"Recap window",IF(O654&gt;=11,"Late compliance","Credit period"))))))))))))</f>
        <v>Late compliance</v>
      </c>
      <c r="E654" s="15" t="s">
        <v>2285</v>
      </c>
      <c r="F654" s="15" t="s">
        <v>2286</v>
      </c>
      <c r="G654" s="15" t="s">
        <v>2287</v>
      </c>
      <c r="H654" s="15" t="s">
        <v>107</v>
      </c>
      <c r="I654" s="15" t="s">
        <v>570</v>
      </c>
      <c r="J654" s="15" t="n">
        <v>20</v>
      </c>
      <c r="K654" s="15" t="n">
        <v>20</v>
      </c>
      <c r="L654" s="15" t="n">
        <f aca="false">IF(OR(J654="",K654=""),"",MAX(J654-K654,0))</f>
        <v>0</v>
      </c>
      <c r="M654" s="15" t="s">
        <v>99</v>
      </c>
      <c r="N654" s="17" t="n">
        <v>2015</v>
      </c>
      <c r="O654" s="15" t="n">
        <f aca="false">IF(N654="","",Scoring!$B$4-N654)</f>
        <v>11</v>
      </c>
      <c r="P654" s="15" t="n">
        <f aca="false">IF(N654="","",N654+14)</f>
        <v>2029</v>
      </c>
      <c r="Q654" s="15" t="n">
        <f aca="false">IF(N654="","",IF(N654&lt;Scoring!$B$12,"n/a (pre-1990)",N654+Scoring!$B$13))</f>
        <v>2044</v>
      </c>
      <c r="R654" s="15" t="str">
        <f aca="false">IF(J654="","Unknown",IF(J654&gt;=5,"Yes","No (under 5 units)"))</f>
        <v>Yes</v>
      </c>
      <c r="S654" s="15"/>
      <c r="T654" s="18"/>
      <c r="U654" s="19"/>
      <c r="V654" s="18"/>
      <c r="W654" s="18"/>
      <c r="X654" s="20"/>
      <c r="Y654" s="18"/>
      <c r="Z654" s="18"/>
      <c r="AA654" s="21" t="n">
        <f aca="false">IF(U654&lt;&gt;"",(U654-Scoring!$B$3)/365.25,IF(N654="","",IF(N654&lt;Scoring!$B$12,"",(DATE(N654+Scoring!$B$13,12,31)-Scoring!$B$3)/365.25)))</f>
        <v>18.2477754962355</v>
      </c>
      <c r="AB654" s="22" t="n">
        <f aca="false">IF(T654="Y",0,IF(OR(D654="Expired (verified)",D654="Expiring: notice window (verified)",D654="Expiring: 10-yr horizon (verified)",D654="Past 30-yr mark (verify)",D654="30-yr mark: notice window (est.)",D654="Year-15 window"),1,0)+IF(ISNUMBER(O654),IF(O654&gt;=Scoring!$B$10,1,0),0)+IF(AND(ISNUMBER(L654),ISNUMBER(J654)),IF(J654&gt;0,IF(L654/J654&gt;=Scoring!$B$11,1,0),0),0)+IF(ISNUMBER(Z654),MIN(Z654,3),0))</f>
        <v>0</v>
      </c>
      <c r="AC654" s="22" t="n">
        <f aca="false">IF(AB654&gt;=3,Scoring!$C$24,IF(AB654=2,Scoring!$C$23,IF(AB654=1,Scoring!$C$22,0)))</f>
        <v>0</v>
      </c>
      <c r="AD654" s="22" t="n">
        <f aca="false">IF(T654="Y",0,IF(ISNUMBER(X654),IF(X654&gt;0.7,Scoring!$C$25,IF(X654&gt;=0.5,Scoring!$C$26,IF(X654&gt;=0.3,Scoring!$C$27,Scoring!$C$28))),Scoring!$C$29))</f>
        <v>10</v>
      </c>
      <c r="AE654" s="22" t="n">
        <f aca="false">IF(D654="Expiring: notice window (verified)",Scoring!$C$30,IF(OR(D654="Expired (verified)",D654="30-yr mark: notice window (est.)",D654="Year-15 window"),Scoring!$C$31,IF(D654="Expiring: 10-yr horizon (verified)",Scoring!$C$32,IF(D654="Past 30-yr mark (verify)",Scoring!$C$33,IF(OR(D654="Credit period",D654="Superseded record"),Scoring!$C$35,Scoring!$C$34)))))</f>
        <v>4</v>
      </c>
      <c r="AF654" s="22" t="n">
        <f aca="false">IF(T654="Y",0,IF(ISNUMBER(V654),IF(Scoring!$B$4-V654&gt;15,Scoring!$C$36,IF(Scoring!$B$4-V654&gt;=10,Scoring!$C$37,IF(Scoring!$B$4-V654&gt;=5,Scoring!$C$38,Scoring!$C$39))),IF(OR(N654="",D654="Out of program"),Scoring!$C$40,IF(O654&gt;15,Scoring!$C$36,IF(O654&gt;=10,Scoring!$C$37,IF(O654&gt;=5,Scoring!$C$38,Scoring!$C$39))))))</f>
        <v>12</v>
      </c>
      <c r="AG654" s="22" t="n">
        <f aca="false">IF(T654="Y",0,IF(Y654="Y",Scoring!$C$41,IF(ISNUMBER(O654),IF(O654&gt;=25,Scoring!$C$42,IF(O654&gt;=15,Scoring!$C$43,Scoring!$C$44)),Scoring!$C$44)))</f>
        <v>2</v>
      </c>
      <c r="AH654" s="22" t="n">
        <f aca="false">IF(T654="Y",0,IF(W654="",Scoring!$C$49,IFERROR(VLOOKUP(W654,Scoring!$B$45:$C$48,2,FALSE()),Scoring!$C$49)))</f>
        <v>5</v>
      </c>
      <c r="AI654" s="23" t="n">
        <f aca="false">C654+IF(ISNUMBER(J654),J654,0)/100000+(10000-ROW())/1000000000</f>
        <v>33.000209346</v>
      </c>
      <c r="AJ654" s="18"/>
      <c r="AK654" s="18"/>
      <c r="AL654" s="18"/>
      <c r="AM654" s="18"/>
    </row>
    <row r="655" customFormat="false" ht="15" hidden="false" customHeight="false" outlineLevel="0" collapsed="false">
      <c r="A655" s="15" t="n">
        <f aca="false">RANK(AI655,$AI$2:$AI$755)</f>
        <v>654</v>
      </c>
      <c r="B655" s="16" t="str">
        <f aca="false">IF(T655="Y","Superseded",IF(C655&gt;=Scoring!$B$16,"Immediate",IF(C655&gt;=Scoring!$B$17,"This week",IF(C655&gt;=Scoring!$B$18,"Nurture","Low"))))</f>
        <v>Nurture</v>
      </c>
      <c r="C655" s="3" t="n">
        <f aca="false">SUM(AC655:AH655)</f>
        <v>31</v>
      </c>
      <c r="D655" s="15" t="str">
        <f aca="false">IF(T655="Y","Superseded record",IF(AND(U655&lt;&gt;"",AA655&lt;0),"Expired (verified)",IF(AND(U655&lt;&gt;"",AA655&lt;=Scoring!$B$5),"Expiring: notice window (verified)",IF(AND(U655&lt;&gt;"",AA655&lt;=Scoring!$B$6),"Expiring: 10-yr horizon (verified)",IF(M655="No Longer Monitored","Out of program",IF(N655="","Unknown vintage",IF(N655&lt;Scoring!$B$12,"Pre-1990, still listed",IF(AND(U655="",AA655&lt;0),"Past 30-yr mark (verify)",IF(AND(U655="",AA655&lt;=Scoring!$B$5),"30-yr mark: notice window (est.)",IF(AND(O655&gt;=Scoring!$B$7,O655&lt;=Scoring!$B$8),"Year-15 window",IF(O655&gt;=Scoring!$B$9,"Recap window",IF(O655&gt;=11,"Late compliance","Credit period"))))))))))))</f>
        <v>Credit period</v>
      </c>
      <c r="E655" s="15" t="s">
        <v>2288</v>
      </c>
      <c r="F655" s="15" t="s">
        <v>2289</v>
      </c>
      <c r="G655" s="15" t="s">
        <v>2290</v>
      </c>
      <c r="H655" s="15" t="s">
        <v>107</v>
      </c>
      <c r="I655" s="15" t="s">
        <v>108</v>
      </c>
      <c r="J655" s="15" t="n">
        <v>60</v>
      </c>
      <c r="K655" s="15" t="n">
        <v>30</v>
      </c>
      <c r="L655" s="15" t="n">
        <f aca="false">IF(OR(J655="",K655=""),"",MAX(J655-K655,0))</f>
        <v>30</v>
      </c>
      <c r="M655" s="15" t="s">
        <v>99</v>
      </c>
      <c r="N655" s="17" t="n">
        <v>2024</v>
      </c>
      <c r="O655" s="15" t="n">
        <f aca="false">IF(N655="","",Scoring!$B$4-N655)</f>
        <v>2</v>
      </c>
      <c r="P655" s="15" t="n">
        <f aca="false">IF(N655="","",N655+14)</f>
        <v>2038</v>
      </c>
      <c r="Q655" s="15" t="n">
        <f aca="false">IF(N655="","",IF(N655&lt;Scoring!$B$12,"n/a (pre-1990)",N655+Scoring!$B$13))</f>
        <v>2053</v>
      </c>
      <c r="R655" s="15" t="str">
        <f aca="false">IF(J655="","Unknown",IF(J655&gt;=5,"Yes","No (under 5 units)"))</f>
        <v>Yes</v>
      </c>
      <c r="S655" s="15"/>
      <c r="T655" s="18"/>
      <c r="U655" s="19"/>
      <c r="V655" s="18"/>
      <c r="W655" s="18"/>
      <c r="X655" s="20"/>
      <c r="Y655" s="18"/>
      <c r="Z655" s="18"/>
      <c r="AA655" s="21" t="n">
        <f aca="false">IF(U655&lt;&gt;"",(U655-Scoring!$B$3)/365.25,IF(N655="","",IF(N655&lt;Scoring!$B$12,"",(DATE(N655+Scoring!$B$13,12,31)-Scoring!$B$3)/365.25)))</f>
        <v>27.2470910335387</v>
      </c>
      <c r="AB655" s="22" t="n">
        <f aca="false">IF(T655="Y",0,IF(OR(D655="Expired (verified)",D655="Expiring: notice window (verified)",D655="Expiring: 10-yr horizon (verified)",D655="Past 30-yr mark (verify)",D655="30-yr mark: notice window (est.)",D655="Year-15 window"),1,0)+IF(ISNUMBER(O655),IF(O655&gt;=Scoring!$B$10,1,0),0)+IF(AND(ISNUMBER(L655),ISNUMBER(J655)),IF(J655&gt;0,IF(L655/J655&gt;=Scoring!$B$11,1,0),0),0)+IF(ISNUMBER(Z655),MIN(Z655,3),0))</f>
        <v>1</v>
      </c>
      <c r="AC655" s="22" t="n">
        <f aca="false">IF(AB655&gt;=3,Scoring!$C$24,IF(AB655=2,Scoring!$C$23,IF(AB655=1,Scoring!$C$22,0)))</f>
        <v>10</v>
      </c>
      <c r="AD655" s="22" t="n">
        <f aca="false">IF(T655="Y",0,IF(ISNUMBER(X655),IF(X655&gt;0.7,Scoring!$C$25,IF(X655&gt;=0.5,Scoring!$C$26,IF(X655&gt;=0.3,Scoring!$C$27,Scoring!$C$28))),Scoring!$C$29))</f>
        <v>10</v>
      </c>
      <c r="AE655" s="22" t="n">
        <f aca="false">IF(D655="Expiring: notice window (verified)",Scoring!$C$30,IF(OR(D655="Expired (verified)",D655="30-yr mark: notice window (est.)",D655="Year-15 window"),Scoring!$C$31,IF(D655="Expiring: 10-yr horizon (verified)",Scoring!$C$32,IF(D655="Past 30-yr mark (verify)",Scoring!$C$33,IF(OR(D655="Credit period",D655="Superseded record"),Scoring!$C$35,Scoring!$C$34)))))</f>
        <v>0</v>
      </c>
      <c r="AF655" s="22" t="n">
        <f aca="false">IF(T655="Y",0,IF(ISNUMBER(V655),IF(Scoring!$B$4-V655&gt;15,Scoring!$C$36,IF(Scoring!$B$4-V655&gt;=10,Scoring!$C$37,IF(Scoring!$B$4-V655&gt;=5,Scoring!$C$38,Scoring!$C$39))),IF(OR(N655="",D655="Out of program"),Scoring!$C$40,IF(O655&gt;15,Scoring!$C$36,IF(O655&gt;=10,Scoring!$C$37,IF(O655&gt;=5,Scoring!$C$38,Scoring!$C$39))))))</f>
        <v>4</v>
      </c>
      <c r="AG655" s="22" t="n">
        <f aca="false">IF(T655="Y",0,IF(Y655="Y",Scoring!$C$41,IF(ISNUMBER(O655),IF(O655&gt;=25,Scoring!$C$42,IF(O655&gt;=15,Scoring!$C$43,Scoring!$C$44)),Scoring!$C$44)))</f>
        <v>2</v>
      </c>
      <c r="AH655" s="22" t="n">
        <f aca="false">IF(T655="Y",0,IF(W655="",Scoring!$C$49,IFERROR(VLOOKUP(W655,Scoring!$B$45:$C$48,2,FALSE()),Scoring!$C$49)))</f>
        <v>5</v>
      </c>
      <c r="AI655" s="23" t="n">
        <f aca="false">C655+IF(ISNUMBER(J655),J655,0)/100000+(10000-ROW())/1000000000</f>
        <v>31.000609345</v>
      </c>
      <c r="AJ655" s="18"/>
      <c r="AK655" s="18"/>
      <c r="AL655" s="18"/>
      <c r="AM655" s="18"/>
    </row>
    <row r="656" customFormat="false" ht="15" hidden="false" customHeight="false" outlineLevel="0" collapsed="false">
      <c r="A656" s="15" t="n">
        <f aca="false">RANK(AI656,$AI$2:$AI$755)</f>
        <v>655</v>
      </c>
      <c r="B656" s="16" t="str">
        <f aca="false">IF(T656="Y","Superseded",IF(C656&gt;=Scoring!$B$16,"Immediate",IF(C656&gt;=Scoring!$B$17,"This week",IF(C656&gt;=Scoring!$B$18,"Nurture","Low"))))</f>
        <v>Low</v>
      </c>
      <c r="C656" s="3" t="n">
        <f aca="false">SUM(AC656:AH656)</f>
        <v>29</v>
      </c>
      <c r="D656" s="15" t="str">
        <f aca="false">IF(T656="Y","Superseded record",IF(AND(U656&lt;&gt;"",AA656&lt;0),"Expired (verified)",IF(AND(U656&lt;&gt;"",AA656&lt;=Scoring!$B$5),"Expiring: notice window (verified)",IF(AND(U656&lt;&gt;"",AA656&lt;=Scoring!$B$6),"Expiring: 10-yr horizon (verified)",IF(M656="No Longer Monitored","Out of program",IF(N656="","Unknown vintage",IF(N656&lt;Scoring!$B$12,"Pre-1990, still listed",IF(AND(U656="",AA656&lt;0),"Past 30-yr mark (verify)",IF(AND(U656="",AA656&lt;=Scoring!$B$5),"30-yr mark: notice window (est.)",IF(AND(O656&gt;=Scoring!$B$7,O656&lt;=Scoring!$B$8),"Year-15 window",IF(O656&gt;=Scoring!$B$9,"Recap window",IF(O656&gt;=11,"Late compliance","Credit period"))))))))))))</f>
        <v>Credit period</v>
      </c>
      <c r="E656" s="15" t="s">
        <v>2291</v>
      </c>
      <c r="F656" s="15" t="s">
        <v>2292</v>
      </c>
      <c r="G656" s="15" t="s">
        <v>2293</v>
      </c>
      <c r="H656" s="15" t="s">
        <v>97</v>
      </c>
      <c r="I656" s="15" t="s">
        <v>729</v>
      </c>
      <c r="J656" s="15" t="n">
        <v>396</v>
      </c>
      <c r="K656" s="15" t="n">
        <v>396</v>
      </c>
      <c r="L656" s="15" t="n">
        <f aca="false">IF(OR(J656="",K656=""),"",MAX(J656-K656,0))</f>
        <v>0</v>
      </c>
      <c r="M656" s="15" t="s">
        <v>99</v>
      </c>
      <c r="N656" s="17" t="n">
        <v>2016</v>
      </c>
      <c r="O656" s="15" t="n">
        <f aca="false">IF(N656="","",Scoring!$B$4-N656)</f>
        <v>10</v>
      </c>
      <c r="P656" s="15" t="n">
        <f aca="false">IF(N656="","",N656+14)</f>
        <v>2030</v>
      </c>
      <c r="Q656" s="15" t="n">
        <f aca="false">IF(N656="","",IF(N656&lt;Scoring!$B$12,"n/a (pre-1990)",N656+Scoring!$B$13))</f>
        <v>2045</v>
      </c>
      <c r="R656" s="15" t="str">
        <f aca="false">IF(J656="","Unknown",IF(J656&gt;=5,"Yes","No (under 5 units)"))</f>
        <v>Yes</v>
      </c>
      <c r="S656" s="15"/>
      <c r="T656" s="18"/>
      <c r="U656" s="19"/>
      <c r="V656" s="18"/>
      <c r="W656" s="18"/>
      <c r="X656" s="20"/>
      <c r="Y656" s="18"/>
      <c r="Z656" s="18"/>
      <c r="AA656" s="21" t="n">
        <f aca="false">IF(U656&lt;&gt;"",(U656-Scoring!$B$3)/365.25,IF(N656="","",IF(N656&lt;Scoring!$B$12,"",(DATE(N656+Scoring!$B$13,12,31)-Scoring!$B$3)/365.25)))</f>
        <v>19.2470910335387</v>
      </c>
      <c r="AB656" s="22" t="n">
        <f aca="false">IF(T656="Y",0,IF(OR(D656="Expired (verified)",D656="Expiring: notice window (verified)",D656="Expiring: 10-yr horizon (verified)",D656="Past 30-yr mark (verify)",D656="30-yr mark: notice window (est.)",D656="Year-15 window"),1,0)+IF(ISNUMBER(O656),IF(O656&gt;=Scoring!$B$10,1,0),0)+IF(AND(ISNUMBER(L656),ISNUMBER(J656)),IF(J656&gt;0,IF(L656/J656&gt;=Scoring!$B$11,1,0),0),0)+IF(ISNUMBER(Z656),MIN(Z656,3),0))</f>
        <v>0</v>
      </c>
      <c r="AC656" s="22" t="n">
        <f aca="false">IF(AB656&gt;=3,Scoring!$C$24,IF(AB656=2,Scoring!$C$23,IF(AB656=1,Scoring!$C$22,0)))</f>
        <v>0</v>
      </c>
      <c r="AD656" s="22" t="n">
        <f aca="false">IF(T656="Y",0,IF(ISNUMBER(X656),IF(X656&gt;0.7,Scoring!$C$25,IF(X656&gt;=0.5,Scoring!$C$26,IF(X656&gt;=0.3,Scoring!$C$27,Scoring!$C$28))),Scoring!$C$29))</f>
        <v>10</v>
      </c>
      <c r="AE656" s="22" t="n">
        <f aca="false">IF(D656="Expiring: notice window (verified)",Scoring!$C$30,IF(OR(D656="Expired (verified)",D656="30-yr mark: notice window (est.)",D656="Year-15 window"),Scoring!$C$31,IF(D656="Expiring: 10-yr horizon (verified)",Scoring!$C$32,IF(D656="Past 30-yr mark (verify)",Scoring!$C$33,IF(OR(D656="Credit period",D656="Superseded record"),Scoring!$C$35,Scoring!$C$34)))))</f>
        <v>0</v>
      </c>
      <c r="AF656" s="22" t="n">
        <f aca="false">IF(T656="Y",0,IF(ISNUMBER(V656),IF(Scoring!$B$4-V656&gt;15,Scoring!$C$36,IF(Scoring!$B$4-V656&gt;=10,Scoring!$C$37,IF(Scoring!$B$4-V656&gt;=5,Scoring!$C$38,Scoring!$C$39))),IF(OR(N656="",D656="Out of program"),Scoring!$C$40,IF(O656&gt;15,Scoring!$C$36,IF(O656&gt;=10,Scoring!$C$37,IF(O656&gt;=5,Scoring!$C$38,Scoring!$C$39))))))</f>
        <v>12</v>
      </c>
      <c r="AG656" s="22" t="n">
        <f aca="false">IF(T656="Y",0,IF(Y656="Y",Scoring!$C$41,IF(ISNUMBER(O656),IF(O656&gt;=25,Scoring!$C$42,IF(O656&gt;=15,Scoring!$C$43,Scoring!$C$44)),Scoring!$C$44)))</f>
        <v>2</v>
      </c>
      <c r="AH656" s="22" t="n">
        <f aca="false">IF(T656="Y",0,IF(W656="",Scoring!$C$49,IFERROR(VLOOKUP(W656,Scoring!$B$45:$C$48,2,FALSE()),Scoring!$C$49)))</f>
        <v>5</v>
      </c>
      <c r="AI656" s="23" t="n">
        <f aca="false">C656+IF(ISNUMBER(J656),J656,0)/100000+(10000-ROW())/1000000000</f>
        <v>29.003969344</v>
      </c>
      <c r="AJ656" s="18"/>
      <c r="AK656" s="18"/>
      <c r="AL656" s="18"/>
      <c r="AM656" s="18"/>
    </row>
    <row r="657" customFormat="false" ht="15" hidden="false" customHeight="false" outlineLevel="0" collapsed="false">
      <c r="A657" s="15" t="n">
        <f aca="false">RANK(AI657,$AI$2:$AI$755)</f>
        <v>656</v>
      </c>
      <c r="B657" s="16" t="str">
        <f aca="false">IF(T657="Y","Superseded",IF(C657&gt;=Scoring!$B$16,"Immediate",IF(C657&gt;=Scoring!$B$17,"This week",IF(C657&gt;=Scoring!$B$18,"Nurture","Low"))))</f>
        <v>Low</v>
      </c>
      <c r="C657" s="3" t="n">
        <f aca="false">SUM(AC657:AH657)</f>
        <v>29</v>
      </c>
      <c r="D657" s="15" t="str">
        <f aca="false">IF(T657="Y","Superseded record",IF(AND(U657&lt;&gt;"",AA657&lt;0),"Expired (verified)",IF(AND(U657&lt;&gt;"",AA657&lt;=Scoring!$B$5),"Expiring: notice window (verified)",IF(AND(U657&lt;&gt;"",AA657&lt;=Scoring!$B$6),"Expiring: 10-yr horizon (verified)",IF(M657="No Longer Monitored","Out of program",IF(N657="","Unknown vintage",IF(N657&lt;Scoring!$B$12,"Pre-1990, still listed",IF(AND(U657="",AA657&lt;0),"Past 30-yr mark (verify)",IF(AND(U657="",AA657&lt;=Scoring!$B$5),"30-yr mark: notice window (est.)",IF(AND(O657&gt;=Scoring!$B$7,O657&lt;=Scoring!$B$8),"Year-15 window",IF(O657&gt;=Scoring!$B$9,"Recap window",IF(O657&gt;=11,"Late compliance","Credit period"))))))))))))</f>
        <v>Credit period</v>
      </c>
      <c r="E657" s="15" t="s">
        <v>2294</v>
      </c>
      <c r="F657" s="15" t="s">
        <v>2295</v>
      </c>
      <c r="G657" s="15" t="s">
        <v>2296</v>
      </c>
      <c r="H657" s="15" t="s">
        <v>97</v>
      </c>
      <c r="I657" s="15" t="s">
        <v>973</v>
      </c>
      <c r="J657" s="15" t="n">
        <v>259</v>
      </c>
      <c r="K657" s="15" t="n">
        <v>259</v>
      </c>
      <c r="L657" s="15" t="n">
        <f aca="false">IF(OR(J657="",K657=""),"",MAX(J657-K657,0))</f>
        <v>0</v>
      </c>
      <c r="M657" s="15" t="s">
        <v>99</v>
      </c>
      <c r="N657" s="17" t="n">
        <v>2016</v>
      </c>
      <c r="O657" s="15" t="n">
        <f aca="false">IF(N657="","",Scoring!$B$4-N657)</f>
        <v>10</v>
      </c>
      <c r="P657" s="15" t="n">
        <f aca="false">IF(N657="","",N657+14)</f>
        <v>2030</v>
      </c>
      <c r="Q657" s="15" t="n">
        <f aca="false">IF(N657="","",IF(N657&lt;Scoring!$B$12,"n/a (pre-1990)",N657+Scoring!$B$13))</f>
        <v>2045</v>
      </c>
      <c r="R657" s="15" t="str">
        <f aca="false">IF(J657="","Unknown",IF(J657&gt;=5,"Yes","No (under 5 units)"))</f>
        <v>Yes</v>
      </c>
      <c r="S657" s="15"/>
      <c r="T657" s="18"/>
      <c r="U657" s="19"/>
      <c r="V657" s="18"/>
      <c r="W657" s="18"/>
      <c r="X657" s="20"/>
      <c r="Y657" s="18"/>
      <c r="Z657" s="18"/>
      <c r="AA657" s="21" t="n">
        <f aca="false">IF(U657&lt;&gt;"",(U657-Scoring!$B$3)/365.25,IF(N657="","",IF(N657&lt;Scoring!$B$12,"",(DATE(N657+Scoring!$B$13,12,31)-Scoring!$B$3)/365.25)))</f>
        <v>19.2470910335387</v>
      </c>
      <c r="AB657" s="22" t="n">
        <f aca="false">IF(T657="Y",0,IF(OR(D657="Expired (verified)",D657="Expiring: notice window (verified)",D657="Expiring: 10-yr horizon (verified)",D657="Past 30-yr mark (verify)",D657="30-yr mark: notice window (est.)",D657="Year-15 window"),1,0)+IF(ISNUMBER(O657),IF(O657&gt;=Scoring!$B$10,1,0),0)+IF(AND(ISNUMBER(L657),ISNUMBER(J657)),IF(J657&gt;0,IF(L657/J657&gt;=Scoring!$B$11,1,0),0),0)+IF(ISNUMBER(Z657),MIN(Z657,3),0))</f>
        <v>0</v>
      </c>
      <c r="AC657" s="22" t="n">
        <f aca="false">IF(AB657&gt;=3,Scoring!$C$24,IF(AB657=2,Scoring!$C$23,IF(AB657=1,Scoring!$C$22,0)))</f>
        <v>0</v>
      </c>
      <c r="AD657" s="22" t="n">
        <f aca="false">IF(T657="Y",0,IF(ISNUMBER(X657),IF(X657&gt;0.7,Scoring!$C$25,IF(X657&gt;=0.5,Scoring!$C$26,IF(X657&gt;=0.3,Scoring!$C$27,Scoring!$C$28))),Scoring!$C$29))</f>
        <v>10</v>
      </c>
      <c r="AE657" s="22" t="n">
        <f aca="false">IF(D657="Expiring: notice window (verified)",Scoring!$C$30,IF(OR(D657="Expired (verified)",D657="30-yr mark: notice window (est.)",D657="Year-15 window"),Scoring!$C$31,IF(D657="Expiring: 10-yr horizon (verified)",Scoring!$C$32,IF(D657="Past 30-yr mark (verify)",Scoring!$C$33,IF(OR(D657="Credit period",D657="Superseded record"),Scoring!$C$35,Scoring!$C$34)))))</f>
        <v>0</v>
      </c>
      <c r="AF657" s="22" t="n">
        <f aca="false">IF(T657="Y",0,IF(ISNUMBER(V657),IF(Scoring!$B$4-V657&gt;15,Scoring!$C$36,IF(Scoring!$B$4-V657&gt;=10,Scoring!$C$37,IF(Scoring!$B$4-V657&gt;=5,Scoring!$C$38,Scoring!$C$39))),IF(OR(N657="",D657="Out of program"),Scoring!$C$40,IF(O657&gt;15,Scoring!$C$36,IF(O657&gt;=10,Scoring!$C$37,IF(O657&gt;=5,Scoring!$C$38,Scoring!$C$39))))))</f>
        <v>12</v>
      </c>
      <c r="AG657" s="22" t="n">
        <f aca="false">IF(T657="Y",0,IF(Y657="Y",Scoring!$C$41,IF(ISNUMBER(O657),IF(O657&gt;=25,Scoring!$C$42,IF(O657&gt;=15,Scoring!$C$43,Scoring!$C$44)),Scoring!$C$44)))</f>
        <v>2</v>
      </c>
      <c r="AH657" s="22" t="n">
        <f aca="false">IF(T657="Y",0,IF(W657="",Scoring!$C$49,IFERROR(VLOOKUP(W657,Scoring!$B$45:$C$48,2,FALSE()),Scoring!$C$49)))</f>
        <v>5</v>
      </c>
      <c r="AI657" s="23" t="n">
        <f aca="false">C657+IF(ISNUMBER(J657),J657,0)/100000+(10000-ROW())/1000000000</f>
        <v>29.002599343</v>
      </c>
      <c r="AJ657" s="18"/>
      <c r="AK657" s="18"/>
      <c r="AL657" s="18"/>
      <c r="AM657" s="18"/>
    </row>
    <row r="658" customFormat="false" ht="15" hidden="false" customHeight="false" outlineLevel="0" collapsed="false">
      <c r="A658" s="15" t="n">
        <f aca="false">RANK(AI658,$AI$2:$AI$755)</f>
        <v>657</v>
      </c>
      <c r="B658" s="16" t="str">
        <f aca="false">IF(T658="Y","Superseded",IF(C658&gt;=Scoring!$B$16,"Immediate",IF(C658&gt;=Scoring!$B$17,"This week",IF(C658&gt;=Scoring!$B$18,"Nurture","Low"))))</f>
        <v>Low</v>
      </c>
      <c r="C658" s="3" t="n">
        <f aca="false">SUM(AC658:AH658)</f>
        <v>29</v>
      </c>
      <c r="D658" s="15" t="str">
        <f aca="false">IF(T658="Y","Superseded record",IF(AND(U658&lt;&gt;"",AA658&lt;0),"Expired (verified)",IF(AND(U658&lt;&gt;"",AA658&lt;=Scoring!$B$5),"Expiring: notice window (verified)",IF(AND(U658&lt;&gt;"",AA658&lt;=Scoring!$B$6),"Expiring: 10-yr horizon (verified)",IF(M658="No Longer Monitored","Out of program",IF(N658="","Unknown vintage",IF(N658&lt;Scoring!$B$12,"Pre-1990, still listed",IF(AND(U658="",AA658&lt;0),"Past 30-yr mark (verify)",IF(AND(U658="",AA658&lt;=Scoring!$B$5),"30-yr mark: notice window (est.)",IF(AND(O658&gt;=Scoring!$B$7,O658&lt;=Scoring!$B$8),"Year-15 window",IF(O658&gt;=Scoring!$B$9,"Recap window",IF(O658&gt;=11,"Late compliance","Credit period"))))))))))))</f>
        <v>Credit period</v>
      </c>
      <c r="E658" s="15" t="s">
        <v>2297</v>
      </c>
      <c r="F658" s="15" t="s">
        <v>2298</v>
      </c>
      <c r="G658" s="15" t="s">
        <v>2299</v>
      </c>
      <c r="H658" s="15" t="s">
        <v>1214</v>
      </c>
      <c r="I658" s="15" t="s">
        <v>1215</v>
      </c>
      <c r="J658" s="15" t="n">
        <v>208</v>
      </c>
      <c r="K658" s="15" t="n">
        <v>208</v>
      </c>
      <c r="L658" s="15" t="n">
        <f aca="false">IF(OR(J658="",K658=""),"",MAX(J658-K658,0))</f>
        <v>0</v>
      </c>
      <c r="M658" s="15" t="s">
        <v>99</v>
      </c>
      <c r="N658" s="17" t="n">
        <v>2016</v>
      </c>
      <c r="O658" s="15" t="n">
        <f aca="false">IF(N658="","",Scoring!$B$4-N658)</f>
        <v>10</v>
      </c>
      <c r="P658" s="15" t="n">
        <f aca="false">IF(N658="","",N658+14)</f>
        <v>2030</v>
      </c>
      <c r="Q658" s="15" t="n">
        <f aca="false">IF(N658="","",IF(N658&lt;Scoring!$B$12,"n/a (pre-1990)",N658+Scoring!$B$13))</f>
        <v>2045</v>
      </c>
      <c r="R658" s="15" t="str">
        <f aca="false">IF(J658="","Unknown",IF(J658&gt;=5,"Yes","No (under 5 units)"))</f>
        <v>Yes</v>
      </c>
      <c r="S658" s="15"/>
      <c r="T658" s="18"/>
      <c r="U658" s="19"/>
      <c r="V658" s="18"/>
      <c r="W658" s="18"/>
      <c r="X658" s="20"/>
      <c r="Y658" s="18"/>
      <c r="Z658" s="18"/>
      <c r="AA658" s="21" t="n">
        <f aca="false">IF(U658&lt;&gt;"",(U658-Scoring!$B$3)/365.25,IF(N658="","",IF(N658&lt;Scoring!$B$12,"",(DATE(N658+Scoring!$B$13,12,31)-Scoring!$B$3)/365.25)))</f>
        <v>19.2470910335387</v>
      </c>
      <c r="AB658" s="22" t="n">
        <f aca="false">IF(T658="Y",0,IF(OR(D658="Expired (verified)",D658="Expiring: notice window (verified)",D658="Expiring: 10-yr horizon (verified)",D658="Past 30-yr mark (verify)",D658="30-yr mark: notice window (est.)",D658="Year-15 window"),1,0)+IF(ISNUMBER(O658),IF(O658&gt;=Scoring!$B$10,1,0),0)+IF(AND(ISNUMBER(L658),ISNUMBER(J658)),IF(J658&gt;0,IF(L658/J658&gt;=Scoring!$B$11,1,0),0),0)+IF(ISNUMBER(Z658),MIN(Z658,3),0))</f>
        <v>0</v>
      </c>
      <c r="AC658" s="22" t="n">
        <f aca="false">IF(AB658&gt;=3,Scoring!$C$24,IF(AB658=2,Scoring!$C$23,IF(AB658=1,Scoring!$C$22,0)))</f>
        <v>0</v>
      </c>
      <c r="AD658" s="22" t="n">
        <f aca="false">IF(T658="Y",0,IF(ISNUMBER(X658),IF(X658&gt;0.7,Scoring!$C$25,IF(X658&gt;=0.5,Scoring!$C$26,IF(X658&gt;=0.3,Scoring!$C$27,Scoring!$C$28))),Scoring!$C$29))</f>
        <v>10</v>
      </c>
      <c r="AE658" s="22" t="n">
        <f aca="false">IF(D658="Expiring: notice window (verified)",Scoring!$C$30,IF(OR(D658="Expired (verified)",D658="30-yr mark: notice window (est.)",D658="Year-15 window"),Scoring!$C$31,IF(D658="Expiring: 10-yr horizon (verified)",Scoring!$C$32,IF(D658="Past 30-yr mark (verify)",Scoring!$C$33,IF(OR(D658="Credit period",D658="Superseded record"),Scoring!$C$35,Scoring!$C$34)))))</f>
        <v>0</v>
      </c>
      <c r="AF658" s="22" t="n">
        <f aca="false">IF(T658="Y",0,IF(ISNUMBER(V658),IF(Scoring!$B$4-V658&gt;15,Scoring!$C$36,IF(Scoring!$B$4-V658&gt;=10,Scoring!$C$37,IF(Scoring!$B$4-V658&gt;=5,Scoring!$C$38,Scoring!$C$39))),IF(OR(N658="",D658="Out of program"),Scoring!$C$40,IF(O658&gt;15,Scoring!$C$36,IF(O658&gt;=10,Scoring!$C$37,IF(O658&gt;=5,Scoring!$C$38,Scoring!$C$39))))))</f>
        <v>12</v>
      </c>
      <c r="AG658" s="22" t="n">
        <f aca="false">IF(T658="Y",0,IF(Y658="Y",Scoring!$C$41,IF(ISNUMBER(O658),IF(O658&gt;=25,Scoring!$C$42,IF(O658&gt;=15,Scoring!$C$43,Scoring!$C$44)),Scoring!$C$44)))</f>
        <v>2</v>
      </c>
      <c r="AH658" s="22" t="n">
        <f aca="false">IF(T658="Y",0,IF(W658="",Scoring!$C$49,IFERROR(VLOOKUP(W658,Scoring!$B$45:$C$48,2,FALSE()),Scoring!$C$49)))</f>
        <v>5</v>
      </c>
      <c r="AI658" s="23" t="n">
        <f aca="false">C658+IF(ISNUMBER(J658),J658,0)/100000+(10000-ROW())/1000000000</f>
        <v>29.002089342</v>
      </c>
      <c r="AJ658" s="18"/>
      <c r="AK658" s="18"/>
      <c r="AL658" s="18"/>
      <c r="AM658" s="18"/>
    </row>
    <row r="659" customFormat="false" ht="15" hidden="false" customHeight="false" outlineLevel="0" collapsed="false">
      <c r="A659" s="15" t="n">
        <f aca="false">RANK(AI659,$AI$2:$AI$755)</f>
        <v>658</v>
      </c>
      <c r="B659" s="16" t="str">
        <f aca="false">IF(T659="Y","Superseded",IF(C659&gt;=Scoring!$B$16,"Immediate",IF(C659&gt;=Scoring!$B$17,"This week",IF(C659&gt;=Scoring!$B$18,"Nurture","Low"))))</f>
        <v>Low</v>
      </c>
      <c r="C659" s="3" t="n">
        <f aca="false">SUM(AC659:AH659)</f>
        <v>29</v>
      </c>
      <c r="D659" s="15" t="str">
        <f aca="false">IF(T659="Y","Superseded record",IF(AND(U659&lt;&gt;"",AA659&lt;0),"Expired (verified)",IF(AND(U659&lt;&gt;"",AA659&lt;=Scoring!$B$5),"Expiring: notice window (verified)",IF(AND(U659&lt;&gt;"",AA659&lt;=Scoring!$B$6),"Expiring: 10-yr horizon (verified)",IF(M659="No Longer Monitored","Out of program",IF(N659="","Unknown vintage",IF(N659&lt;Scoring!$B$12,"Pre-1990, still listed",IF(AND(U659="",AA659&lt;0),"Past 30-yr mark (verify)",IF(AND(U659="",AA659&lt;=Scoring!$B$5),"30-yr mark: notice window (est.)",IF(AND(O659&gt;=Scoring!$B$7,O659&lt;=Scoring!$B$8),"Year-15 window",IF(O659&gt;=Scoring!$B$9,"Recap window",IF(O659&gt;=11,"Late compliance","Credit period"))))))))))))</f>
        <v>Credit period</v>
      </c>
      <c r="E659" s="15" t="s">
        <v>2300</v>
      </c>
      <c r="F659" s="15" t="s">
        <v>2301</v>
      </c>
      <c r="G659" s="15" t="s">
        <v>2302</v>
      </c>
      <c r="H659" s="15" t="s">
        <v>97</v>
      </c>
      <c r="I659" s="15" t="s">
        <v>217</v>
      </c>
      <c r="J659" s="15" t="n">
        <v>71</v>
      </c>
      <c r="K659" s="15" t="n">
        <v>70</v>
      </c>
      <c r="L659" s="15" t="n">
        <f aca="false">IF(OR(J659="",K659=""),"",MAX(J659-K659,0))</f>
        <v>1</v>
      </c>
      <c r="M659" s="15" t="s">
        <v>99</v>
      </c>
      <c r="N659" s="17" t="n">
        <v>2016</v>
      </c>
      <c r="O659" s="15" t="n">
        <f aca="false">IF(N659="","",Scoring!$B$4-N659)</f>
        <v>10</v>
      </c>
      <c r="P659" s="15" t="n">
        <f aca="false">IF(N659="","",N659+14)</f>
        <v>2030</v>
      </c>
      <c r="Q659" s="15" t="n">
        <f aca="false">IF(N659="","",IF(N659&lt;Scoring!$B$12,"n/a (pre-1990)",N659+Scoring!$B$13))</f>
        <v>2045</v>
      </c>
      <c r="R659" s="15" t="str">
        <f aca="false">IF(J659="","Unknown",IF(J659&gt;=5,"Yes","No (under 5 units)"))</f>
        <v>Yes</v>
      </c>
      <c r="S659" s="15"/>
      <c r="T659" s="18"/>
      <c r="U659" s="19"/>
      <c r="V659" s="18"/>
      <c r="W659" s="18"/>
      <c r="X659" s="20"/>
      <c r="Y659" s="18"/>
      <c r="Z659" s="18"/>
      <c r="AA659" s="21" t="n">
        <f aca="false">IF(U659&lt;&gt;"",(U659-Scoring!$B$3)/365.25,IF(N659="","",IF(N659&lt;Scoring!$B$12,"",(DATE(N659+Scoring!$B$13,12,31)-Scoring!$B$3)/365.25)))</f>
        <v>19.2470910335387</v>
      </c>
      <c r="AB659" s="22" t="n">
        <f aca="false">IF(T659="Y",0,IF(OR(D659="Expired (verified)",D659="Expiring: notice window (verified)",D659="Expiring: 10-yr horizon (verified)",D659="Past 30-yr mark (verify)",D659="30-yr mark: notice window (est.)",D659="Year-15 window"),1,0)+IF(ISNUMBER(O659),IF(O659&gt;=Scoring!$B$10,1,0),0)+IF(AND(ISNUMBER(L659),ISNUMBER(J659)),IF(J659&gt;0,IF(L659/J659&gt;=Scoring!$B$11,1,0),0),0)+IF(ISNUMBER(Z659),MIN(Z659,3),0))</f>
        <v>0</v>
      </c>
      <c r="AC659" s="22" t="n">
        <f aca="false">IF(AB659&gt;=3,Scoring!$C$24,IF(AB659=2,Scoring!$C$23,IF(AB659=1,Scoring!$C$22,0)))</f>
        <v>0</v>
      </c>
      <c r="AD659" s="22" t="n">
        <f aca="false">IF(T659="Y",0,IF(ISNUMBER(X659),IF(X659&gt;0.7,Scoring!$C$25,IF(X659&gt;=0.5,Scoring!$C$26,IF(X659&gt;=0.3,Scoring!$C$27,Scoring!$C$28))),Scoring!$C$29))</f>
        <v>10</v>
      </c>
      <c r="AE659" s="22" t="n">
        <f aca="false">IF(D659="Expiring: notice window (verified)",Scoring!$C$30,IF(OR(D659="Expired (verified)",D659="30-yr mark: notice window (est.)",D659="Year-15 window"),Scoring!$C$31,IF(D659="Expiring: 10-yr horizon (verified)",Scoring!$C$32,IF(D659="Past 30-yr mark (verify)",Scoring!$C$33,IF(OR(D659="Credit period",D659="Superseded record"),Scoring!$C$35,Scoring!$C$34)))))</f>
        <v>0</v>
      </c>
      <c r="AF659" s="22" t="n">
        <f aca="false">IF(T659="Y",0,IF(ISNUMBER(V659),IF(Scoring!$B$4-V659&gt;15,Scoring!$C$36,IF(Scoring!$B$4-V659&gt;=10,Scoring!$C$37,IF(Scoring!$B$4-V659&gt;=5,Scoring!$C$38,Scoring!$C$39))),IF(OR(N659="",D659="Out of program"),Scoring!$C$40,IF(O659&gt;15,Scoring!$C$36,IF(O659&gt;=10,Scoring!$C$37,IF(O659&gt;=5,Scoring!$C$38,Scoring!$C$39))))))</f>
        <v>12</v>
      </c>
      <c r="AG659" s="22" t="n">
        <f aca="false">IF(T659="Y",0,IF(Y659="Y",Scoring!$C$41,IF(ISNUMBER(O659),IF(O659&gt;=25,Scoring!$C$42,IF(O659&gt;=15,Scoring!$C$43,Scoring!$C$44)),Scoring!$C$44)))</f>
        <v>2</v>
      </c>
      <c r="AH659" s="22" t="n">
        <f aca="false">IF(T659="Y",0,IF(W659="",Scoring!$C$49,IFERROR(VLOOKUP(W659,Scoring!$B$45:$C$48,2,FALSE()),Scoring!$C$49)))</f>
        <v>5</v>
      </c>
      <c r="AI659" s="23" t="n">
        <f aca="false">C659+IF(ISNUMBER(J659),J659,0)/100000+(10000-ROW())/1000000000</f>
        <v>29.000719341</v>
      </c>
      <c r="AJ659" s="18"/>
      <c r="AK659" s="18"/>
      <c r="AL659" s="18"/>
      <c r="AM659" s="18"/>
    </row>
    <row r="660" customFormat="false" ht="15" hidden="false" customHeight="false" outlineLevel="0" collapsed="false">
      <c r="A660" s="15" t="n">
        <f aca="false">RANK(AI660,$AI$2:$AI$755)</f>
        <v>659</v>
      </c>
      <c r="B660" s="16" t="str">
        <f aca="false">IF(T660="Y","Superseded",IF(C660&gt;=Scoring!$B$16,"Immediate",IF(C660&gt;=Scoring!$B$17,"This week",IF(C660&gt;=Scoring!$B$18,"Nurture","Low"))))</f>
        <v>Low</v>
      </c>
      <c r="C660" s="3" t="n">
        <f aca="false">SUM(AC660:AH660)</f>
        <v>29</v>
      </c>
      <c r="D660" s="15" t="str">
        <f aca="false">IF(T660="Y","Superseded record",IF(AND(U660&lt;&gt;"",AA660&lt;0),"Expired (verified)",IF(AND(U660&lt;&gt;"",AA660&lt;=Scoring!$B$5),"Expiring: notice window (verified)",IF(AND(U660&lt;&gt;"",AA660&lt;=Scoring!$B$6),"Expiring: 10-yr horizon (verified)",IF(M660="No Longer Monitored","Out of program",IF(N660="","Unknown vintage",IF(N660&lt;Scoring!$B$12,"Pre-1990, still listed",IF(AND(U660="",AA660&lt;0),"Past 30-yr mark (verify)",IF(AND(U660="",AA660&lt;=Scoring!$B$5),"30-yr mark: notice window (est.)",IF(AND(O660&gt;=Scoring!$B$7,O660&lt;=Scoring!$B$8),"Year-15 window",IF(O660&gt;=Scoring!$B$9,"Recap window",IF(O660&gt;=11,"Late compliance","Credit period"))))))))))))</f>
        <v>Credit period</v>
      </c>
      <c r="E660" s="15" t="s">
        <v>2303</v>
      </c>
      <c r="F660" s="15" t="s">
        <v>2304</v>
      </c>
      <c r="G660" s="15" t="s">
        <v>2305</v>
      </c>
      <c r="H660" s="15" t="s">
        <v>635</v>
      </c>
      <c r="I660" s="15" t="s">
        <v>636</v>
      </c>
      <c r="J660" s="15" t="n">
        <v>65</v>
      </c>
      <c r="K660" s="15" t="n">
        <v>64</v>
      </c>
      <c r="L660" s="15" t="n">
        <f aca="false">IF(OR(J660="",K660=""),"",MAX(J660-K660,0))</f>
        <v>1</v>
      </c>
      <c r="M660" s="15" t="s">
        <v>99</v>
      </c>
      <c r="N660" s="17" t="n">
        <v>2016</v>
      </c>
      <c r="O660" s="15" t="n">
        <f aca="false">IF(N660="","",Scoring!$B$4-N660)</f>
        <v>10</v>
      </c>
      <c r="P660" s="15" t="n">
        <f aca="false">IF(N660="","",N660+14)</f>
        <v>2030</v>
      </c>
      <c r="Q660" s="15" t="n">
        <f aca="false">IF(N660="","",IF(N660&lt;Scoring!$B$12,"n/a (pre-1990)",N660+Scoring!$B$13))</f>
        <v>2045</v>
      </c>
      <c r="R660" s="15" t="str">
        <f aca="false">IF(J660="","Unknown",IF(J660&gt;=5,"Yes","No (under 5 units)"))</f>
        <v>Yes</v>
      </c>
      <c r="S660" s="15" t="s">
        <v>2306</v>
      </c>
      <c r="T660" s="18"/>
      <c r="U660" s="19"/>
      <c r="V660" s="18"/>
      <c r="W660" s="18"/>
      <c r="X660" s="20"/>
      <c r="Y660" s="18"/>
      <c r="Z660" s="18"/>
      <c r="AA660" s="21" t="n">
        <f aca="false">IF(U660&lt;&gt;"",(U660-Scoring!$B$3)/365.25,IF(N660="","",IF(N660&lt;Scoring!$B$12,"",(DATE(N660+Scoring!$B$13,12,31)-Scoring!$B$3)/365.25)))</f>
        <v>19.2470910335387</v>
      </c>
      <c r="AB660" s="22" t="n">
        <f aca="false">IF(T660="Y",0,IF(OR(D660="Expired (verified)",D660="Expiring: notice window (verified)",D660="Expiring: 10-yr horizon (verified)",D660="Past 30-yr mark (verify)",D660="30-yr mark: notice window (est.)",D660="Year-15 window"),1,0)+IF(ISNUMBER(O660),IF(O660&gt;=Scoring!$B$10,1,0),0)+IF(AND(ISNUMBER(L660),ISNUMBER(J660)),IF(J660&gt;0,IF(L660/J660&gt;=Scoring!$B$11,1,0),0),0)+IF(ISNUMBER(Z660),MIN(Z660,3),0))</f>
        <v>0</v>
      </c>
      <c r="AC660" s="22" t="n">
        <f aca="false">IF(AB660&gt;=3,Scoring!$C$24,IF(AB660=2,Scoring!$C$23,IF(AB660=1,Scoring!$C$22,0)))</f>
        <v>0</v>
      </c>
      <c r="AD660" s="22" t="n">
        <f aca="false">IF(T660="Y",0,IF(ISNUMBER(X660),IF(X660&gt;0.7,Scoring!$C$25,IF(X660&gt;=0.5,Scoring!$C$26,IF(X660&gt;=0.3,Scoring!$C$27,Scoring!$C$28))),Scoring!$C$29))</f>
        <v>10</v>
      </c>
      <c r="AE660" s="22" t="n">
        <f aca="false">IF(D660="Expiring: notice window (verified)",Scoring!$C$30,IF(OR(D660="Expired (verified)",D660="30-yr mark: notice window (est.)",D660="Year-15 window"),Scoring!$C$31,IF(D660="Expiring: 10-yr horizon (verified)",Scoring!$C$32,IF(D660="Past 30-yr mark (verify)",Scoring!$C$33,IF(OR(D660="Credit period",D660="Superseded record"),Scoring!$C$35,Scoring!$C$34)))))</f>
        <v>0</v>
      </c>
      <c r="AF660" s="22" t="n">
        <f aca="false">IF(T660="Y",0,IF(ISNUMBER(V660),IF(Scoring!$B$4-V660&gt;15,Scoring!$C$36,IF(Scoring!$B$4-V660&gt;=10,Scoring!$C$37,IF(Scoring!$B$4-V660&gt;=5,Scoring!$C$38,Scoring!$C$39))),IF(OR(N660="",D660="Out of program"),Scoring!$C$40,IF(O660&gt;15,Scoring!$C$36,IF(O660&gt;=10,Scoring!$C$37,IF(O660&gt;=5,Scoring!$C$38,Scoring!$C$39))))))</f>
        <v>12</v>
      </c>
      <c r="AG660" s="22" t="n">
        <f aca="false">IF(T660="Y",0,IF(Y660="Y",Scoring!$C$41,IF(ISNUMBER(O660),IF(O660&gt;=25,Scoring!$C$42,IF(O660&gt;=15,Scoring!$C$43,Scoring!$C$44)),Scoring!$C$44)))</f>
        <v>2</v>
      </c>
      <c r="AH660" s="22" t="n">
        <f aca="false">IF(T660="Y",0,IF(W660="",Scoring!$C$49,IFERROR(VLOOKUP(W660,Scoring!$B$45:$C$48,2,FALSE()),Scoring!$C$49)))</f>
        <v>5</v>
      </c>
      <c r="AI660" s="23" t="n">
        <f aca="false">C660+IF(ISNUMBER(J660),J660,0)/100000+(10000-ROW())/1000000000</f>
        <v>29.00065934</v>
      </c>
      <c r="AJ660" s="18"/>
      <c r="AK660" s="18"/>
      <c r="AL660" s="18"/>
      <c r="AM660" s="18"/>
    </row>
    <row r="661" customFormat="false" ht="15" hidden="false" customHeight="false" outlineLevel="0" collapsed="false">
      <c r="A661" s="15" t="n">
        <f aca="false">RANK(AI661,$AI$2:$AI$755)</f>
        <v>660</v>
      </c>
      <c r="B661" s="16" t="str">
        <f aca="false">IF(T661="Y","Superseded",IF(C661&gt;=Scoring!$B$16,"Immediate",IF(C661&gt;=Scoring!$B$17,"This week",IF(C661&gt;=Scoring!$B$18,"Nurture","Low"))))</f>
        <v>Low</v>
      </c>
      <c r="C661" s="3" t="n">
        <f aca="false">SUM(AC661:AH661)</f>
        <v>29</v>
      </c>
      <c r="D661" s="15" t="str">
        <f aca="false">IF(T661="Y","Superseded record",IF(AND(U661&lt;&gt;"",AA661&lt;0),"Expired (verified)",IF(AND(U661&lt;&gt;"",AA661&lt;=Scoring!$B$5),"Expiring: notice window (verified)",IF(AND(U661&lt;&gt;"",AA661&lt;=Scoring!$B$6),"Expiring: 10-yr horizon (verified)",IF(M661="No Longer Monitored","Out of program",IF(N661="","Unknown vintage",IF(N661&lt;Scoring!$B$12,"Pre-1990, still listed",IF(AND(U661="",AA661&lt;0),"Past 30-yr mark (verify)",IF(AND(U661="",AA661&lt;=Scoring!$B$5),"30-yr mark: notice window (est.)",IF(AND(O661&gt;=Scoring!$B$7,O661&lt;=Scoring!$B$8),"Year-15 window",IF(O661&gt;=Scoring!$B$9,"Recap window",IF(O661&gt;=11,"Late compliance","Credit period"))))))))))))</f>
        <v>Credit period</v>
      </c>
      <c r="E661" s="15" t="s">
        <v>2307</v>
      </c>
      <c r="F661" s="15" t="s">
        <v>2308</v>
      </c>
      <c r="G661" s="15" t="s">
        <v>2309</v>
      </c>
      <c r="H661" s="15" t="s">
        <v>877</v>
      </c>
      <c r="I661" s="15" t="s">
        <v>878</v>
      </c>
      <c r="J661" s="15" t="n">
        <v>60</v>
      </c>
      <c r="K661" s="15" t="n">
        <v>60</v>
      </c>
      <c r="L661" s="15" t="n">
        <f aca="false">IF(OR(J661="",K661=""),"",MAX(J661-K661,0))</f>
        <v>0</v>
      </c>
      <c r="M661" s="15" t="s">
        <v>99</v>
      </c>
      <c r="N661" s="17" t="n">
        <v>2016</v>
      </c>
      <c r="O661" s="15" t="n">
        <f aca="false">IF(N661="","",Scoring!$B$4-N661)</f>
        <v>10</v>
      </c>
      <c r="P661" s="15" t="n">
        <f aca="false">IF(N661="","",N661+14)</f>
        <v>2030</v>
      </c>
      <c r="Q661" s="15" t="n">
        <f aca="false">IF(N661="","",IF(N661&lt;Scoring!$B$12,"n/a (pre-1990)",N661+Scoring!$B$13))</f>
        <v>2045</v>
      </c>
      <c r="R661" s="15" t="str">
        <f aca="false">IF(J661="","Unknown",IF(J661&gt;=5,"Yes","No (under 5 units)"))</f>
        <v>Yes</v>
      </c>
      <c r="S661" s="15"/>
      <c r="T661" s="18"/>
      <c r="U661" s="19"/>
      <c r="V661" s="18"/>
      <c r="W661" s="18"/>
      <c r="X661" s="20"/>
      <c r="Y661" s="18"/>
      <c r="Z661" s="18"/>
      <c r="AA661" s="21" t="n">
        <f aca="false">IF(U661&lt;&gt;"",(U661-Scoring!$B$3)/365.25,IF(N661="","",IF(N661&lt;Scoring!$B$12,"",(DATE(N661+Scoring!$B$13,12,31)-Scoring!$B$3)/365.25)))</f>
        <v>19.2470910335387</v>
      </c>
      <c r="AB661" s="22" t="n">
        <f aca="false">IF(T661="Y",0,IF(OR(D661="Expired (verified)",D661="Expiring: notice window (verified)",D661="Expiring: 10-yr horizon (verified)",D661="Past 30-yr mark (verify)",D661="30-yr mark: notice window (est.)",D661="Year-15 window"),1,0)+IF(ISNUMBER(O661),IF(O661&gt;=Scoring!$B$10,1,0),0)+IF(AND(ISNUMBER(L661),ISNUMBER(J661)),IF(J661&gt;0,IF(L661/J661&gt;=Scoring!$B$11,1,0),0),0)+IF(ISNUMBER(Z661),MIN(Z661,3),0))</f>
        <v>0</v>
      </c>
      <c r="AC661" s="22" t="n">
        <f aca="false">IF(AB661&gt;=3,Scoring!$C$24,IF(AB661=2,Scoring!$C$23,IF(AB661=1,Scoring!$C$22,0)))</f>
        <v>0</v>
      </c>
      <c r="AD661" s="22" t="n">
        <f aca="false">IF(T661="Y",0,IF(ISNUMBER(X661),IF(X661&gt;0.7,Scoring!$C$25,IF(X661&gt;=0.5,Scoring!$C$26,IF(X661&gt;=0.3,Scoring!$C$27,Scoring!$C$28))),Scoring!$C$29))</f>
        <v>10</v>
      </c>
      <c r="AE661" s="22" t="n">
        <f aca="false">IF(D661="Expiring: notice window (verified)",Scoring!$C$30,IF(OR(D661="Expired (verified)",D661="30-yr mark: notice window (est.)",D661="Year-15 window"),Scoring!$C$31,IF(D661="Expiring: 10-yr horizon (verified)",Scoring!$C$32,IF(D661="Past 30-yr mark (verify)",Scoring!$C$33,IF(OR(D661="Credit period",D661="Superseded record"),Scoring!$C$35,Scoring!$C$34)))))</f>
        <v>0</v>
      </c>
      <c r="AF661" s="22" t="n">
        <f aca="false">IF(T661="Y",0,IF(ISNUMBER(V661),IF(Scoring!$B$4-V661&gt;15,Scoring!$C$36,IF(Scoring!$B$4-V661&gt;=10,Scoring!$C$37,IF(Scoring!$B$4-V661&gt;=5,Scoring!$C$38,Scoring!$C$39))),IF(OR(N661="",D661="Out of program"),Scoring!$C$40,IF(O661&gt;15,Scoring!$C$36,IF(O661&gt;=10,Scoring!$C$37,IF(O661&gt;=5,Scoring!$C$38,Scoring!$C$39))))))</f>
        <v>12</v>
      </c>
      <c r="AG661" s="22" t="n">
        <f aca="false">IF(T661="Y",0,IF(Y661="Y",Scoring!$C$41,IF(ISNUMBER(O661),IF(O661&gt;=25,Scoring!$C$42,IF(O661&gt;=15,Scoring!$C$43,Scoring!$C$44)),Scoring!$C$44)))</f>
        <v>2</v>
      </c>
      <c r="AH661" s="22" t="n">
        <f aca="false">IF(T661="Y",0,IF(W661="",Scoring!$C$49,IFERROR(VLOOKUP(W661,Scoring!$B$45:$C$48,2,FALSE()),Scoring!$C$49)))</f>
        <v>5</v>
      </c>
      <c r="AI661" s="23" t="n">
        <f aca="false">C661+IF(ISNUMBER(J661),J661,0)/100000+(10000-ROW())/1000000000</f>
        <v>29.000609339</v>
      </c>
      <c r="AJ661" s="18"/>
      <c r="AK661" s="18"/>
      <c r="AL661" s="18"/>
      <c r="AM661" s="18"/>
    </row>
    <row r="662" customFormat="false" ht="15" hidden="false" customHeight="false" outlineLevel="0" collapsed="false">
      <c r="A662" s="15" t="n">
        <f aca="false">RANK(AI662,$AI$2:$AI$755)</f>
        <v>661</v>
      </c>
      <c r="B662" s="16" t="str">
        <f aca="false">IF(T662="Y","Superseded",IF(C662&gt;=Scoring!$B$16,"Immediate",IF(C662&gt;=Scoring!$B$17,"This week",IF(C662&gt;=Scoring!$B$18,"Nurture","Low"))))</f>
        <v>Low</v>
      </c>
      <c r="C662" s="3" t="n">
        <f aca="false">SUM(AC662:AH662)</f>
        <v>29</v>
      </c>
      <c r="D662" s="15" t="str">
        <f aca="false">IF(T662="Y","Superseded record",IF(AND(U662&lt;&gt;"",AA662&lt;0),"Expired (verified)",IF(AND(U662&lt;&gt;"",AA662&lt;=Scoring!$B$5),"Expiring: notice window (verified)",IF(AND(U662&lt;&gt;"",AA662&lt;=Scoring!$B$6),"Expiring: 10-yr horizon (verified)",IF(M662="No Longer Monitored","Out of program",IF(N662="","Unknown vintage",IF(N662&lt;Scoring!$B$12,"Pre-1990, still listed",IF(AND(U662="",AA662&lt;0),"Past 30-yr mark (verify)",IF(AND(U662="",AA662&lt;=Scoring!$B$5),"30-yr mark: notice window (est.)",IF(AND(O662&gt;=Scoring!$B$7,O662&lt;=Scoring!$B$8),"Year-15 window",IF(O662&gt;=Scoring!$B$9,"Recap window",IF(O662&gt;=11,"Late compliance","Credit period"))))))))))))</f>
        <v>Credit period</v>
      </c>
      <c r="E662" s="15" t="s">
        <v>2310</v>
      </c>
      <c r="F662" s="15" t="s">
        <v>2311</v>
      </c>
      <c r="G662" s="15" t="s">
        <v>2312</v>
      </c>
      <c r="H662" s="15" t="s">
        <v>151</v>
      </c>
      <c r="I662" s="15" t="s">
        <v>1174</v>
      </c>
      <c r="J662" s="15" t="n">
        <v>58</v>
      </c>
      <c r="K662" s="15" t="n">
        <v>58</v>
      </c>
      <c r="L662" s="15" t="n">
        <f aca="false">IF(OR(J662="",K662=""),"",MAX(J662-K662,0))</f>
        <v>0</v>
      </c>
      <c r="M662" s="15" t="s">
        <v>99</v>
      </c>
      <c r="N662" s="17" t="n">
        <v>2016</v>
      </c>
      <c r="O662" s="15" t="n">
        <f aca="false">IF(N662="","",Scoring!$B$4-N662)</f>
        <v>10</v>
      </c>
      <c r="P662" s="15" t="n">
        <f aca="false">IF(N662="","",N662+14)</f>
        <v>2030</v>
      </c>
      <c r="Q662" s="15" t="n">
        <f aca="false">IF(N662="","",IF(N662&lt;Scoring!$B$12,"n/a (pre-1990)",N662+Scoring!$B$13))</f>
        <v>2045</v>
      </c>
      <c r="R662" s="15" t="str">
        <f aca="false">IF(J662="","Unknown",IF(J662&gt;=5,"Yes","No (under 5 units)"))</f>
        <v>Yes</v>
      </c>
      <c r="S662" s="15"/>
      <c r="T662" s="18"/>
      <c r="U662" s="19"/>
      <c r="V662" s="18"/>
      <c r="W662" s="18"/>
      <c r="X662" s="20"/>
      <c r="Y662" s="18"/>
      <c r="Z662" s="18"/>
      <c r="AA662" s="21" t="n">
        <f aca="false">IF(U662&lt;&gt;"",(U662-Scoring!$B$3)/365.25,IF(N662="","",IF(N662&lt;Scoring!$B$12,"",(DATE(N662+Scoring!$B$13,12,31)-Scoring!$B$3)/365.25)))</f>
        <v>19.2470910335387</v>
      </c>
      <c r="AB662" s="22" t="n">
        <f aca="false">IF(T662="Y",0,IF(OR(D662="Expired (verified)",D662="Expiring: notice window (verified)",D662="Expiring: 10-yr horizon (verified)",D662="Past 30-yr mark (verify)",D662="30-yr mark: notice window (est.)",D662="Year-15 window"),1,0)+IF(ISNUMBER(O662),IF(O662&gt;=Scoring!$B$10,1,0),0)+IF(AND(ISNUMBER(L662),ISNUMBER(J662)),IF(J662&gt;0,IF(L662/J662&gt;=Scoring!$B$11,1,0),0),0)+IF(ISNUMBER(Z662),MIN(Z662,3),0))</f>
        <v>0</v>
      </c>
      <c r="AC662" s="22" t="n">
        <f aca="false">IF(AB662&gt;=3,Scoring!$C$24,IF(AB662=2,Scoring!$C$23,IF(AB662=1,Scoring!$C$22,0)))</f>
        <v>0</v>
      </c>
      <c r="AD662" s="22" t="n">
        <f aca="false">IF(T662="Y",0,IF(ISNUMBER(X662),IF(X662&gt;0.7,Scoring!$C$25,IF(X662&gt;=0.5,Scoring!$C$26,IF(X662&gt;=0.3,Scoring!$C$27,Scoring!$C$28))),Scoring!$C$29))</f>
        <v>10</v>
      </c>
      <c r="AE662" s="22" t="n">
        <f aca="false">IF(D662="Expiring: notice window (verified)",Scoring!$C$30,IF(OR(D662="Expired (verified)",D662="30-yr mark: notice window (est.)",D662="Year-15 window"),Scoring!$C$31,IF(D662="Expiring: 10-yr horizon (verified)",Scoring!$C$32,IF(D662="Past 30-yr mark (verify)",Scoring!$C$33,IF(OR(D662="Credit period",D662="Superseded record"),Scoring!$C$35,Scoring!$C$34)))))</f>
        <v>0</v>
      </c>
      <c r="AF662" s="22" t="n">
        <f aca="false">IF(T662="Y",0,IF(ISNUMBER(V662),IF(Scoring!$B$4-V662&gt;15,Scoring!$C$36,IF(Scoring!$B$4-V662&gt;=10,Scoring!$C$37,IF(Scoring!$B$4-V662&gt;=5,Scoring!$C$38,Scoring!$C$39))),IF(OR(N662="",D662="Out of program"),Scoring!$C$40,IF(O662&gt;15,Scoring!$C$36,IF(O662&gt;=10,Scoring!$C$37,IF(O662&gt;=5,Scoring!$C$38,Scoring!$C$39))))))</f>
        <v>12</v>
      </c>
      <c r="AG662" s="22" t="n">
        <f aca="false">IF(T662="Y",0,IF(Y662="Y",Scoring!$C$41,IF(ISNUMBER(O662),IF(O662&gt;=25,Scoring!$C$42,IF(O662&gt;=15,Scoring!$C$43,Scoring!$C$44)),Scoring!$C$44)))</f>
        <v>2</v>
      </c>
      <c r="AH662" s="22" t="n">
        <f aca="false">IF(T662="Y",0,IF(W662="",Scoring!$C$49,IFERROR(VLOOKUP(W662,Scoring!$B$45:$C$48,2,FALSE()),Scoring!$C$49)))</f>
        <v>5</v>
      </c>
      <c r="AI662" s="23" t="n">
        <f aca="false">C662+IF(ISNUMBER(J662),J662,0)/100000+(10000-ROW())/1000000000</f>
        <v>29.000589338</v>
      </c>
      <c r="AJ662" s="18"/>
      <c r="AK662" s="18"/>
      <c r="AL662" s="18"/>
      <c r="AM662" s="18"/>
    </row>
    <row r="663" customFormat="false" ht="15" hidden="false" customHeight="false" outlineLevel="0" collapsed="false">
      <c r="A663" s="15" t="n">
        <f aca="false">RANK(AI663,$AI$2:$AI$755)</f>
        <v>662</v>
      </c>
      <c r="B663" s="16" t="str">
        <f aca="false">IF(T663="Y","Superseded",IF(C663&gt;=Scoring!$B$16,"Immediate",IF(C663&gt;=Scoring!$B$17,"This week",IF(C663&gt;=Scoring!$B$18,"Nurture","Low"))))</f>
        <v>Low</v>
      </c>
      <c r="C663" s="3" t="n">
        <f aca="false">SUM(AC663:AH663)</f>
        <v>29</v>
      </c>
      <c r="D663" s="15" t="str">
        <f aca="false">IF(T663="Y","Superseded record",IF(AND(U663&lt;&gt;"",AA663&lt;0),"Expired (verified)",IF(AND(U663&lt;&gt;"",AA663&lt;=Scoring!$B$5),"Expiring: notice window (verified)",IF(AND(U663&lt;&gt;"",AA663&lt;=Scoring!$B$6),"Expiring: 10-yr horizon (verified)",IF(M663="No Longer Monitored","Out of program",IF(N663="","Unknown vintage",IF(N663&lt;Scoring!$B$12,"Pre-1990, still listed",IF(AND(U663="",AA663&lt;0),"Past 30-yr mark (verify)",IF(AND(U663="",AA663&lt;=Scoring!$B$5),"30-yr mark: notice window (est.)",IF(AND(O663&gt;=Scoring!$B$7,O663&lt;=Scoring!$B$8),"Year-15 window",IF(O663&gt;=Scoring!$B$9,"Recap window",IF(O663&gt;=11,"Late compliance","Credit period"))))))))))))</f>
        <v>Credit period</v>
      </c>
      <c r="E663" s="15" t="s">
        <v>2313</v>
      </c>
      <c r="F663" s="15" t="s">
        <v>2314</v>
      </c>
      <c r="G663" s="15" t="s">
        <v>2315</v>
      </c>
      <c r="H663" s="15" t="s">
        <v>97</v>
      </c>
      <c r="I663" s="15" t="s">
        <v>195</v>
      </c>
      <c r="J663" s="15" t="n">
        <v>50</v>
      </c>
      <c r="K663" s="15" t="n">
        <v>50</v>
      </c>
      <c r="L663" s="15" t="n">
        <f aca="false">IF(OR(J663="",K663=""),"",MAX(J663-K663,0))</f>
        <v>0</v>
      </c>
      <c r="M663" s="15" t="s">
        <v>99</v>
      </c>
      <c r="N663" s="17" t="n">
        <v>2016</v>
      </c>
      <c r="O663" s="15" t="n">
        <f aca="false">IF(N663="","",Scoring!$B$4-N663)</f>
        <v>10</v>
      </c>
      <c r="P663" s="15" t="n">
        <f aca="false">IF(N663="","",N663+14)</f>
        <v>2030</v>
      </c>
      <c r="Q663" s="15" t="n">
        <f aca="false">IF(N663="","",IF(N663&lt;Scoring!$B$12,"n/a (pre-1990)",N663+Scoring!$B$13))</f>
        <v>2045</v>
      </c>
      <c r="R663" s="15" t="str">
        <f aca="false">IF(J663="","Unknown",IF(J663&gt;=5,"Yes","No (under 5 units)"))</f>
        <v>Yes</v>
      </c>
      <c r="S663" s="15"/>
      <c r="T663" s="18"/>
      <c r="U663" s="19"/>
      <c r="V663" s="18"/>
      <c r="W663" s="18"/>
      <c r="X663" s="20"/>
      <c r="Y663" s="18"/>
      <c r="Z663" s="18"/>
      <c r="AA663" s="21" t="n">
        <f aca="false">IF(U663&lt;&gt;"",(U663-Scoring!$B$3)/365.25,IF(N663="","",IF(N663&lt;Scoring!$B$12,"",(DATE(N663+Scoring!$B$13,12,31)-Scoring!$B$3)/365.25)))</f>
        <v>19.2470910335387</v>
      </c>
      <c r="AB663" s="22" t="n">
        <f aca="false">IF(T663="Y",0,IF(OR(D663="Expired (verified)",D663="Expiring: notice window (verified)",D663="Expiring: 10-yr horizon (verified)",D663="Past 30-yr mark (verify)",D663="30-yr mark: notice window (est.)",D663="Year-15 window"),1,0)+IF(ISNUMBER(O663),IF(O663&gt;=Scoring!$B$10,1,0),0)+IF(AND(ISNUMBER(L663),ISNUMBER(J663)),IF(J663&gt;0,IF(L663/J663&gt;=Scoring!$B$11,1,0),0),0)+IF(ISNUMBER(Z663),MIN(Z663,3),0))</f>
        <v>0</v>
      </c>
      <c r="AC663" s="22" t="n">
        <f aca="false">IF(AB663&gt;=3,Scoring!$C$24,IF(AB663=2,Scoring!$C$23,IF(AB663=1,Scoring!$C$22,0)))</f>
        <v>0</v>
      </c>
      <c r="AD663" s="22" t="n">
        <f aca="false">IF(T663="Y",0,IF(ISNUMBER(X663),IF(X663&gt;0.7,Scoring!$C$25,IF(X663&gt;=0.5,Scoring!$C$26,IF(X663&gt;=0.3,Scoring!$C$27,Scoring!$C$28))),Scoring!$C$29))</f>
        <v>10</v>
      </c>
      <c r="AE663" s="22" t="n">
        <f aca="false">IF(D663="Expiring: notice window (verified)",Scoring!$C$30,IF(OR(D663="Expired (verified)",D663="30-yr mark: notice window (est.)",D663="Year-15 window"),Scoring!$C$31,IF(D663="Expiring: 10-yr horizon (verified)",Scoring!$C$32,IF(D663="Past 30-yr mark (verify)",Scoring!$C$33,IF(OR(D663="Credit period",D663="Superseded record"),Scoring!$C$35,Scoring!$C$34)))))</f>
        <v>0</v>
      </c>
      <c r="AF663" s="22" t="n">
        <f aca="false">IF(T663="Y",0,IF(ISNUMBER(V663),IF(Scoring!$B$4-V663&gt;15,Scoring!$C$36,IF(Scoring!$B$4-V663&gt;=10,Scoring!$C$37,IF(Scoring!$B$4-V663&gt;=5,Scoring!$C$38,Scoring!$C$39))),IF(OR(N663="",D663="Out of program"),Scoring!$C$40,IF(O663&gt;15,Scoring!$C$36,IF(O663&gt;=10,Scoring!$C$37,IF(O663&gt;=5,Scoring!$C$38,Scoring!$C$39))))))</f>
        <v>12</v>
      </c>
      <c r="AG663" s="22" t="n">
        <f aca="false">IF(T663="Y",0,IF(Y663="Y",Scoring!$C$41,IF(ISNUMBER(O663),IF(O663&gt;=25,Scoring!$C$42,IF(O663&gt;=15,Scoring!$C$43,Scoring!$C$44)),Scoring!$C$44)))</f>
        <v>2</v>
      </c>
      <c r="AH663" s="22" t="n">
        <f aca="false">IF(T663="Y",0,IF(W663="",Scoring!$C$49,IFERROR(VLOOKUP(W663,Scoring!$B$45:$C$48,2,FALSE()),Scoring!$C$49)))</f>
        <v>5</v>
      </c>
      <c r="AI663" s="23" t="n">
        <f aca="false">C663+IF(ISNUMBER(J663),J663,0)/100000+(10000-ROW())/1000000000</f>
        <v>29.000509337</v>
      </c>
      <c r="AJ663" s="18"/>
      <c r="AK663" s="18"/>
      <c r="AL663" s="18"/>
      <c r="AM663" s="18"/>
    </row>
    <row r="664" customFormat="false" ht="15" hidden="false" customHeight="false" outlineLevel="0" collapsed="false">
      <c r="A664" s="15" t="n">
        <f aca="false">RANK(AI664,$AI$2:$AI$755)</f>
        <v>663</v>
      </c>
      <c r="B664" s="16" t="str">
        <f aca="false">IF(T664="Y","Superseded",IF(C664&gt;=Scoring!$B$16,"Immediate",IF(C664&gt;=Scoring!$B$17,"This week",IF(C664&gt;=Scoring!$B$18,"Nurture","Low"))))</f>
        <v>Low</v>
      </c>
      <c r="C664" s="3" t="n">
        <f aca="false">SUM(AC664:AH664)</f>
        <v>29</v>
      </c>
      <c r="D664" s="15" t="str">
        <f aca="false">IF(T664="Y","Superseded record",IF(AND(U664&lt;&gt;"",AA664&lt;0),"Expired (verified)",IF(AND(U664&lt;&gt;"",AA664&lt;=Scoring!$B$5),"Expiring: notice window (verified)",IF(AND(U664&lt;&gt;"",AA664&lt;=Scoring!$B$6),"Expiring: 10-yr horizon (verified)",IF(M664="No Longer Monitored","Out of program",IF(N664="","Unknown vintage",IF(N664&lt;Scoring!$B$12,"Pre-1990, still listed",IF(AND(U664="",AA664&lt;0),"Past 30-yr mark (verify)",IF(AND(U664="",AA664&lt;=Scoring!$B$5),"30-yr mark: notice window (est.)",IF(AND(O664&gt;=Scoring!$B$7,O664&lt;=Scoring!$B$8),"Year-15 window",IF(O664&gt;=Scoring!$B$9,"Recap window",IF(O664&gt;=11,"Late compliance","Credit period"))))))))))))</f>
        <v>Credit period</v>
      </c>
      <c r="E664" s="15" t="s">
        <v>2316</v>
      </c>
      <c r="F664" s="15" t="s">
        <v>2317</v>
      </c>
      <c r="G664" s="15" t="s">
        <v>2318</v>
      </c>
      <c r="H664" s="15" t="s">
        <v>499</v>
      </c>
      <c r="I664" s="15" t="s">
        <v>574</v>
      </c>
      <c r="J664" s="15" t="n">
        <v>50</v>
      </c>
      <c r="K664" s="15" t="n">
        <v>49</v>
      </c>
      <c r="L664" s="15" t="n">
        <f aca="false">IF(OR(J664="",K664=""),"",MAX(J664-K664,0))</f>
        <v>1</v>
      </c>
      <c r="M664" s="15" t="s">
        <v>99</v>
      </c>
      <c r="N664" s="17" t="n">
        <v>2016</v>
      </c>
      <c r="O664" s="15" t="n">
        <f aca="false">IF(N664="","",Scoring!$B$4-N664)</f>
        <v>10</v>
      </c>
      <c r="P664" s="15" t="n">
        <f aca="false">IF(N664="","",N664+14)</f>
        <v>2030</v>
      </c>
      <c r="Q664" s="15" t="n">
        <f aca="false">IF(N664="","",IF(N664&lt;Scoring!$B$12,"n/a (pre-1990)",N664+Scoring!$B$13))</f>
        <v>2045</v>
      </c>
      <c r="R664" s="15" t="str">
        <f aca="false">IF(J664="","Unknown",IF(J664&gt;=5,"Yes","No (under 5 units)"))</f>
        <v>Yes</v>
      </c>
      <c r="S664" s="15"/>
      <c r="T664" s="18"/>
      <c r="U664" s="19"/>
      <c r="V664" s="18"/>
      <c r="W664" s="18"/>
      <c r="X664" s="20"/>
      <c r="Y664" s="18"/>
      <c r="Z664" s="18"/>
      <c r="AA664" s="21" t="n">
        <f aca="false">IF(U664&lt;&gt;"",(U664-Scoring!$B$3)/365.25,IF(N664="","",IF(N664&lt;Scoring!$B$12,"",(DATE(N664+Scoring!$B$13,12,31)-Scoring!$B$3)/365.25)))</f>
        <v>19.2470910335387</v>
      </c>
      <c r="AB664" s="22" t="n">
        <f aca="false">IF(T664="Y",0,IF(OR(D664="Expired (verified)",D664="Expiring: notice window (verified)",D664="Expiring: 10-yr horizon (verified)",D664="Past 30-yr mark (verify)",D664="30-yr mark: notice window (est.)",D664="Year-15 window"),1,0)+IF(ISNUMBER(O664),IF(O664&gt;=Scoring!$B$10,1,0),0)+IF(AND(ISNUMBER(L664),ISNUMBER(J664)),IF(J664&gt;0,IF(L664/J664&gt;=Scoring!$B$11,1,0),0),0)+IF(ISNUMBER(Z664),MIN(Z664,3),0))</f>
        <v>0</v>
      </c>
      <c r="AC664" s="22" t="n">
        <f aca="false">IF(AB664&gt;=3,Scoring!$C$24,IF(AB664=2,Scoring!$C$23,IF(AB664=1,Scoring!$C$22,0)))</f>
        <v>0</v>
      </c>
      <c r="AD664" s="22" t="n">
        <f aca="false">IF(T664="Y",0,IF(ISNUMBER(X664),IF(X664&gt;0.7,Scoring!$C$25,IF(X664&gt;=0.5,Scoring!$C$26,IF(X664&gt;=0.3,Scoring!$C$27,Scoring!$C$28))),Scoring!$C$29))</f>
        <v>10</v>
      </c>
      <c r="AE664" s="22" t="n">
        <f aca="false">IF(D664="Expiring: notice window (verified)",Scoring!$C$30,IF(OR(D664="Expired (verified)",D664="30-yr mark: notice window (est.)",D664="Year-15 window"),Scoring!$C$31,IF(D664="Expiring: 10-yr horizon (verified)",Scoring!$C$32,IF(D664="Past 30-yr mark (verify)",Scoring!$C$33,IF(OR(D664="Credit period",D664="Superseded record"),Scoring!$C$35,Scoring!$C$34)))))</f>
        <v>0</v>
      </c>
      <c r="AF664" s="22" t="n">
        <f aca="false">IF(T664="Y",0,IF(ISNUMBER(V664),IF(Scoring!$B$4-V664&gt;15,Scoring!$C$36,IF(Scoring!$B$4-V664&gt;=10,Scoring!$C$37,IF(Scoring!$B$4-V664&gt;=5,Scoring!$C$38,Scoring!$C$39))),IF(OR(N664="",D664="Out of program"),Scoring!$C$40,IF(O664&gt;15,Scoring!$C$36,IF(O664&gt;=10,Scoring!$C$37,IF(O664&gt;=5,Scoring!$C$38,Scoring!$C$39))))))</f>
        <v>12</v>
      </c>
      <c r="AG664" s="22" t="n">
        <f aca="false">IF(T664="Y",0,IF(Y664="Y",Scoring!$C$41,IF(ISNUMBER(O664),IF(O664&gt;=25,Scoring!$C$42,IF(O664&gt;=15,Scoring!$C$43,Scoring!$C$44)),Scoring!$C$44)))</f>
        <v>2</v>
      </c>
      <c r="AH664" s="22" t="n">
        <f aca="false">IF(T664="Y",0,IF(W664="",Scoring!$C$49,IFERROR(VLOOKUP(W664,Scoring!$B$45:$C$48,2,FALSE()),Scoring!$C$49)))</f>
        <v>5</v>
      </c>
      <c r="AI664" s="23" t="n">
        <f aca="false">C664+IF(ISNUMBER(J664),J664,0)/100000+(10000-ROW())/1000000000</f>
        <v>29.000509336</v>
      </c>
      <c r="AJ664" s="18"/>
      <c r="AK664" s="18"/>
      <c r="AL664" s="18"/>
      <c r="AM664" s="18"/>
    </row>
    <row r="665" customFormat="false" ht="15" hidden="false" customHeight="false" outlineLevel="0" collapsed="false">
      <c r="A665" s="15" t="n">
        <f aca="false">RANK(AI665,$AI$2:$AI$755)</f>
        <v>664</v>
      </c>
      <c r="B665" s="16" t="str">
        <f aca="false">IF(T665="Y","Superseded",IF(C665&gt;=Scoring!$B$16,"Immediate",IF(C665&gt;=Scoring!$B$17,"This week",IF(C665&gt;=Scoring!$B$18,"Nurture","Low"))))</f>
        <v>Low</v>
      </c>
      <c r="C665" s="3" t="n">
        <f aca="false">SUM(AC665:AH665)</f>
        <v>29</v>
      </c>
      <c r="D665" s="15" t="str">
        <f aca="false">IF(T665="Y","Superseded record",IF(AND(U665&lt;&gt;"",AA665&lt;0),"Expired (verified)",IF(AND(U665&lt;&gt;"",AA665&lt;=Scoring!$B$5),"Expiring: notice window (verified)",IF(AND(U665&lt;&gt;"",AA665&lt;=Scoring!$B$6),"Expiring: 10-yr horizon (verified)",IF(M665="No Longer Monitored","Out of program",IF(N665="","Unknown vintage",IF(N665&lt;Scoring!$B$12,"Pre-1990, still listed",IF(AND(U665="",AA665&lt;0),"Past 30-yr mark (verify)",IF(AND(U665="",AA665&lt;=Scoring!$B$5),"30-yr mark: notice window (est.)",IF(AND(O665&gt;=Scoring!$B$7,O665&lt;=Scoring!$B$8),"Year-15 window",IF(O665&gt;=Scoring!$B$9,"Recap window",IF(O665&gt;=11,"Late compliance","Credit period"))))))))))))</f>
        <v>Credit period</v>
      </c>
      <c r="E665" s="15" t="s">
        <v>2319</v>
      </c>
      <c r="F665" s="15" t="s">
        <v>2320</v>
      </c>
      <c r="G665" s="15" t="s">
        <v>2321</v>
      </c>
      <c r="H665" s="15" t="s">
        <v>232</v>
      </c>
      <c r="I665" s="15" t="s">
        <v>233</v>
      </c>
      <c r="J665" s="15" t="n">
        <v>48</v>
      </c>
      <c r="K665" s="15" t="n">
        <v>47</v>
      </c>
      <c r="L665" s="15" t="n">
        <f aca="false">IF(OR(J665="",K665=""),"",MAX(J665-K665,0))</f>
        <v>1</v>
      </c>
      <c r="M665" s="15" t="s">
        <v>99</v>
      </c>
      <c r="N665" s="17" t="n">
        <v>2016</v>
      </c>
      <c r="O665" s="15" t="n">
        <f aca="false">IF(N665="","",Scoring!$B$4-N665)</f>
        <v>10</v>
      </c>
      <c r="P665" s="15" t="n">
        <f aca="false">IF(N665="","",N665+14)</f>
        <v>2030</v>
      </c>
      <c r="Q665" s="15" t="n">
        <f aca="false">IF(N665="","",IF(N665&lt;Scoring!$B$12,"n/a (pre-1990)",N665+Scoring!$B$13))</f>
        <v>2045</v>
      </c>
      <c r="R665" s="15" t="str">
        <f aca="false">IF(J665="","Unknown",IF(J665&gt;=5,"Yes","No (under 5 units)"))</f>
        <v>Yes</v>
      </c>
      <c r="S665" s="15"/>
      <c r="T665" s="18"/>
      <c r="U665" s="19"/>
      <c r="V665" s="18"/>
      <c r="W665" s="18"/>
      <c r="X665" s="20"/>
      <c r="Y665" s="18"/>
      <c r="Z665" s="18"/>
      <c r="AA665" s="21" t="n">
        <f aca="false">IF(U665&lt;&gt;"",(U665-Scoring!$B$3)/365.25,IF(N665="","",IF(N665&lt;Scoring!$B$12,"",(DATE(N665+Scoring!$B$13,12,31)-Scoring!$B$3)/365.25)))</f>
        <v>19.2470910335387</v>
      </c>
      <c r="AB665" s="22" t="n">
        <f aca="false">IF(T665="Y",0,IF(OR(D665="Expired (verified)",D665="Expiring: notice window (verified)",D665="Expiring: 10-yr horizon (verified)",D665="Past 30-yr mark (verify)",D665="30-yr mark: notice window (est.)",D665="Year-15 window"),1,0)+IF(ISNUMBER(O665),IF(O665&gt;=Scoring!$B$10,1,0),0)+IF(AND(ISNUMBER(L665),ISNUMBER(J665)),IF(J665&gt;0,IF(L665/J665&gt;=Scoring!$B$11,1,0),0),0)+IF(ISNUMBER(Z665),MIN(Z665,3),0))</f>
        <v>0</v>
      </c>
      <c r="AC665" s="22" t="n">
        <f aca="false">IF(AB665&gt;=3,Scoring!$C$24,IF(AB665=2,Scoring!$C$23,IF(AB665=1,Scoring!$C$22,0)))</f>
        <v>0</v>
      </c>
      <c r="AD665" s="22" t="n">
        <f aca="false">IF(T665="Y",0,IF(ISNUMBER(X665),IF(X665&gt;0.7,Scoring!$C$25,IF(X665&gt;=0.5,Scoring!$C$26,IF(X665&gt;=0.3,Scoring!$C$27,Scoring!$C$28))),Scoring!$C$29))</f>
        <v>10</v>
      </c>
      <c r="AE665" s="22" t="n">
        <f aca="false">IF(D665="Expiring: notice window (verified)",Scoring!$C$30,IF(OR(D665="Expired (verified)",D665="30-yr mark: notice window (est.)",D665="Year-15 window"),Scoring!$C$31,IF(D665="Expiring: 10-yr horizon (verified)",Scoring!$C$32,IF(D665="Past 30-yr mark (verify)",Scoring!$C$33,IF(OR(D665="Credit period",D665="Superseded record"),Scoring!$C$35,Scoring!$C$34)))))</f>
        <v>0</v>
      </c>
      <c r="AF665" s="22" t="n">
        <f aca="false">IF(T665="Y",0,IF(ISNUMBER(V665),IF(Scoring!$B$4-V665&gt;15,Scoring!$C$36,IF(Scoring!$B$4-V665&gt;=10,Scoring!$C$37,IF(Scoring!$B$4-V665&gt;=5,Scoring!$C$38,Scoring!$C$39))),IF(OR(N665="",D665="Out of program"),Scoring!$C$40,IF(O665&gt;15,Scoring!$C$36,IF(O665&gt;=10,Scoring!$C$37,IF(O665&gt;=5,Scoring!$C$38,Scoring!$C$39))))))</f>
        <v>12</v>
      </c>
      <c r="AG665" s="22" t="n">
        <f aca="false">IF(T665="Y",0,IF(Y665="Y",Scoring!$C$41,IF(ISNUMBER(O665),IF(O665&gt;=25,Scoring!$C$42,IF(O665&gt;=15,Scoring!$C$43,Scoring!$C$44)),Scoring!$C$44)))</f>
        <v>2</v>
      </c>
      <c r="AH665" s="22" t="n">
        <f aca="false">IF(T665="Y",0,IF(W665="",Scoring!$C$49,IFERROR(VLOOKUP(W665,Scoring!$B$45:$C$48,2,FALSE()),Scoring!$C$49)))</f>
        <v>5</v>
      </c>
      <c r="AI665" s="23" t="n">
        <f aca="false">C665+IF(ISNUMBER(J665),J665,0)/100000+(10000-ROW())/1000000000</f>
        <v>29.000489335</v>
      </c>
      <c r="AJ665" s="18"/>
      <c r="AK665" s="18"/>
      <c r="AL665" s="18"/>
      <c r="AM665" s="18"/>
    </row>
    <row r="666" customFormat="false" ht="15" hidden="false" customHeight="false" outlineLevel="0" collapsed="false">
      <c r="A666" s="15" t="n">
        <f aca="false">RANK(AI666,$AI$2:$AI$755)</f>
        <v>665</v>
      </c>
      <c r="B666" s="16" t="str">
        <f aca="false">IF(T666="Y","Superseded",IF(C666&gt;=Scoring!$B$16,"Immediate",IF(C666&gt;=Scoring!$B$17,"This week",IF(C666&gt;=Scoring!$B$18,"Nurture","Low"))))</f>
        <v>Low</v>
      </c>
      <c r="C666" s="3" t="n">
        <f aca="false">SUM(AC666:AH666)</f>
        <v>29</v>
      </c>
      <c r="D666" s="15" t="str">
        <f aca="false">IF(T666="Y","Superseded record",IF(AND(U666&lt;&gt;"",AA666&lt;0),"Expired (verified)",IF(AND(U666&lt;&gt;"",AA666&lt;=Scoring!$B$5),"Expiring: notice window (verified)",IF(AND(U666&lt;&gt;"",AA666&lt;=Scoring!$B$6),"Expiring: 10-yr horizon (verified)",IF(M666="No Longer Monitored","Out of program",IF(N666="","Unknown vintage",IF(N666&lt;Scoring!$B$12,"Pre-1990, still listed",IF(AND(U666="",AA666&lt;0),"Past 30-yr mark (verify)",IF(AND(U666="",AA666&lt;=Scoring!$B$5),"30-yr mark: notice window (est.)",IF(AND(O666&gt;=Scoring!$B$7,O666&lt;=Scoring!$B$8),"Year-15 window",IF(O666&gt;=Scoring!$B$9,"Recap window",IF(O666&gt;=11,"Late compliance","Credit period"))))))))))))</f>
        <v>Credit period</v>
      </c>
      <c r="E666" s="15" t="s">
        <v>2322</v>
      </c>
      <c r="F666" s="15" t="s">
        <v>2323</v>
      </c>
      <c r="G666" s="15" t="s">
        <v>2324</v>
      </c>
      <c r="H666" s="15" t="s">
        <v>97</v>
      </c>
      <c r="I666" s="15" t="s">
        <v>175</v>
      </c>
      <c r="J666" s="15" t="n">
        <v>47</v>
      </c>
      <c r="K666" s="15" t="n">
        <v>47</v>
      </c>
      <c r="L666" s="15" t="n">
        <f aca="false">IF(OR(J666="",K666=""),"",MAX(J666-K666,0))</f>
        <v>0</v>
      </c>
      <c r="M666" s="15" t="s">
        <v>99</v>
      </c>
      <c r="N666" s="17" t="n">
        <v>2016</v>
      </c>
      <c r="O666" s="15" t="n">
        <f aca="false">IF(N666="","",Scoring!$B$4-N666)</f>
        <v>10</v>
      </c>
      <c r="P666" s="15" t="n">
        <f aca="false">IF(N666="","",N666+14)</f>
        <v>2030</v>
      </c>
      <c r="Q666" s="15" t="n">
        <f aca="false">IF(N666="","",IF(N666&lt;Scoring!$B$12,"n/a (pre-1990)",N666+Scoring!$B$13))</f>
        <v>2045</v>
      </c>
      <c r="R666" s="15" t="str">
        <f aca="false">IF(J666="","Unknown",IF(J666&gt;=5,"Yes","No (under 5 units)"))</f>
        <v>Yes</v>
      </c>
      <c r="S666" s="15"/>
      <c r="T666" s="18"/>
      <c r="U666" s="19"/>
      <c r="V666" s="18"/>
      <c r="W666" s="18"/>
      <c r="X666" s="20"/>
      <c r="Y666" s="18"/>
      <c r="Z666" s="18"/>
      <c r="AA666" s="21" t="n">
        <f aca="false">IF(U666&lt;&gt;"",(U666-Scoring!$B$3)/365.25,IF(N666="","",IF(N666&lt;Scoring!$B$12,"",(DATE(N666+Scoring!$B$13,12,31)-Scoring!$B$3)/365.25)))</f>
        <v>19.2470910335387</v>
      </c>
      <c r="AB666" s="22" t="n">
        <f aca="false">IF(T666="Y",0,IF(OR(D666="Expired (verified)",D666="Expiring: notice window (verified)",D666="Expiring: 10-yr horizon (verified)",D666="Past 30-yr mark (verify)",D666="30-yr mark: notice window (est.)",D666="Year-15 window"),1,0)+IF(ISNUMBER(O666),IF(O666&gt;=Scoring!$B$10,1,0),0)+IF(AND(ISNUMBER(L666),ISNUMBER(J666)),IF(J666&gt;0,IF(L666/J666&gt;=Scoring!$B$11,1,0),0),0)+IF(ISNUMBER(Z666),MIN(Z666,3),0))</f>
        <v>0</v>
      </c>
      <c r="AC666" s="22" t="n">
        <f aca="false">IF(AB666&gt;=3,Scoring!$C$24,IF(AB666=2,Scoring!$C$23,IF(AB666=1,Scoring!$C$22,0)))</f>
        <v>0</v>
      </c>
      <c r="AD666" s="22" t="n">
        <f aca="false">IF(T666="Y",0,IF(ISNUMBER(X666),IF(X666&gt;0.7,Scoring!$C$25,IF(X666&gt;=0.5,Scoring!$C$26,IF(X666&gt;=0.3,Scoring!$C$27,Scoring!$C$28))),Scoring!$C$29))</f>
        <v>10</v>
      </c>
      <c r="AE666" s="22" t="n">
        <f aca="false">IF(D666="Expiring: notice window (verified)",Scoring!$C$30,IF(OR(D666="Expired (verified)",D666="30-yr mark: notice window (est.)",D666="Year-15 window"),Scoring!$C$31,IF(D666="Expiring: 10-yr horizon (verified)",Scoring!$C$32,IF(D666="Past 30-yr mark (verify)",Scoring!$C$33,IF(OR(D666="Credit period",D666="Superseded record"),Scoring!$C$35,Scoring!$C$34)))))</f>
        <v>0</v>
      </c>
      <c r="AF666" s="22" t="n">
        <f aca="false">IF(T666="Y",0,IF(ISNUMBER(V666),IF(Scoring!$B$4-V666&gt;15,Scoring!$C$36,IF(Scoring!$B$4-V666&gt;=10,Scoring!$C$37,IF(Scoring!$B$4-V666&gt;=5,Scoring!$C$38,Scoring!$C$39))),IF(OR(N666="",D666="Out of program"),Scoring!$C$40,IF(O666&gt;15,Scoring!$C$36,IF(O666&gt;=10,Scoring!$C$37,IF(O666&gt;=5,Scoring!$C$38,Scoring!$C$39))))))</f>
        <v>12</v>
      </c>
      <c r="AG666" s="22" t="n">
        <f aca="false">IF(T666="Y",0,IF(Y666="Y",Scoring!$C$41,IF(ISNUMBER(O666),IF(O666&gt;=25,Scoring!$C$42,IF(O666&gt;=15,Scoring!$C$43,Scoring!$C$44)),Scoring!$C$44)))</f>
        <v>2</v>
      </c>
      <c r="AH666" s="22" t="n">
        <f aca="false">IF(T666="Y",0,IF(W666="",Scoring!$C$49,IFERROR(VLOOKUP(W666,Scoring!$B$45:$C$48,2,FALSE()),Scoring!$C$49)))</f>
        <v>5</v>
      </c>
      <c r="AI666" s="23" t="n">
        <f aca="false">C666+IF(ISNUMBER(J666),J666,0)/100000+(10000-ROW())/1000000000</f>
        <v>29.000479334</v>
      </c>
      <c r="AJ666" s="18"/>
      <c r="AK666" s="18"/>
      <c r="AL666" s="18"/>
      <c r="AM666" s="18"/>
    </row>
    <row r="667" customFormat="false" ht="15" hidden="false" customHeight="false" outlineLevel="0" collapsed="false">
      <c r="A667" s="15" t="n">
        <f aca="false">RANK(AI667,$AI$2:$AI$755)</f>
        <v>666</v>
      </c>
      <c r="B667" s="16" t="str">
        <f aca="false">IF(T667="Y","Superseded",IF(C667&gt;=Scoring!$B$16,"Immediate",IF(C667&gt;=Scoring!$B$17,"This week",IF(C667&gt;=Scoring!$B$18,"Nurture","Low"))))</f>
        <v>Low</v>
      </c>
      <c r="C667" s="3" t="n">
        <f aca="false">SUM(AC667:AH667)</f>
        <v>29</v>
      </c>
      <c r="D667" s="15" t="str">
        <f aca="false">IF(T667="Y","Superseded record",IF(AND(U667&lt;&gt;"",AA667&lt;0),"Expired (verified)",IF(AND(U667&lt;&gt;"",AA667&lt;=Scoring!$B$5),"Expiring: notice window (verified)",IF(AND(U667&lt;&gt;"",AA667&lt;=Scoring!$B$6),"Expiring: 10-yr horizon (verified)",IF(M667="No Longer Monitored","Out of program",IF(N667="","Unknown vintage",IF(N667&lt;Scoring!$B$12,"Pre-1990, still listed",IF(AND(U667="",AA667&lt;0),"Past 30-yr mark (verify)",IF(AND(U667="",AA667&lt;=Scoring!$B$5),"30-yr mark: notice window (est.)",IF(AND(O667&gt;=Scoring!$B$7,O667&lt;=Scoring!$B$8),"Year-15 window",IF(O667&gt;=Scoring!$B$9,"Recap window",IF(O667&gt;=11,"Late compliance","Credit period"))))))))))))</f>
        <v>Credit period</v>
      </c>
      <c r="E667" s="15" t="s">
        <v>2325</v>
      </c>
      <c r="F667" s="15" t="s">
        <v>2326</v>
      </c>
      <c r="G667" s="15" t="s">
        <v>2327</v>
      </c>
      <c r="H667" s="15" t="s">
        <v>146</v>
      </c>
      <c r="I667" s="15" t="s">
        <v>271</v>
      </c>
      <c r="J667" s="15" t="n">
        <v>45</v>
      </c>
      <c r="K667" s="15" t="n">
        <v>45</v>
      </c>
      <c r="L667" s="15" t="n">
        <f aca="false">IF(OR(J667="",K667=""),"",MAX(J667-K667,0))</f>
        <v>0</v>
      </c>
      <c r="M667" s="15" t="s">
        <v>99</v>
      </c>
      <c r="N667" s="17" t="n">
        <v>2016</v>
      </c>
      <c r="O667" s="15" t="n">
        <f aca="false">IF(N667="","",Scoring!$B$4-N667)</f>
        <v>10</v>
      </c>
      <c r="P667" s="15" t="n">
        <f aca="false">IF(N667="","",N667+14)</f>
        <v>2030</v>
      </c>
      <c r="Q667" s="15" t="n">
        <f aca="false">IF(N667="","",IF(N667&lt;Scoring!$B$12,"n/a (pre-1990)",N667+Scoring!$B$13))</f>
        <v>2045</v>
      </c>
      <c r="R667" s="15" t="str">
        <f aca="false">IF(J667="","Unknown",IF(J667&gt;=5,"Yes","No (under 5 units)"))</f>
        <v>Yes</v>
      </c>
      <c r="S667" s="15"/>
      <c r="T667" s="18"/>
      <c r="U667" s="19"/>
      <c r="V667" s="18"/>
      <c r="W667" s="18"/>
      <c r="X667" s="20"/>
      <c r="Y667" s="18"/>
      <c r="Z667" s="18"/>
      <c r="AA667" s="21" t="n">
        <f aca="false">IF(U667&lt;&gt;"",(U667-Scoring!$B$3)/365.25,IF(N667="","",IF(N667&lt;Scoring!$B$12,"",(DATE(N667+Scoring!$B$13,12,31)-Scoring!$B$3)/365.25)))</f>
        <v>19.2470910335387</v>
      </c>
      <c r="AB667" s="22" t="n">
        <f aca="false">IF(T667="Y",0,IF(OR(D667="Expired (verified)",D667="Expiring: notice window (verified)",D667="Expiring: 10-yr horizon (verified)",D667="Past 30-yr mark (verify)",D667="30-yr mark: notice window (est.)",D667="Year-15 window"),1,0)+IF(ISNUMBER(O667),IF(O667&gt;=Scoring!$B$10,1,0),0)+IF(AND(ISNUMBER(L667),ISNUMBER(J667)),IF(J667&gt;0,IF(L667/J667&gt;=Scoring!$B$11,1,0),0),0)+IF(ISNUMBER(Z667),MIN(Z667,3),0))</f>
        <v>0</v>
      </c>
      <c r="AC667" s="22" t="n">
        <f aca="false">IF(AB667&gt;=3,Scoring!$C$24,IF(AB667=2,Scoring!$C$23,IF(AB667=1,Scoring!$C$22,0)))</f>
        <v>0</v>
      </c>
      <c r="AD667" s="22" t="n">
        <f aca="false">IF(T667="Y",0,IF(ISNUMBER(X667),IF(X667&gt;0.7,Scoring!$C$25,IF(X667&gt;=0.5,Scoring!$C$26,IF(X667&gt;=0.3,Scoring!$C$27,Scoring!$C$28))),Scoring!$C$29))</f>
        <v>10</v>
      </c>
      <c r="AE667" s="22" t="n">
        <f aca="false">IF(D667="Expiring: notice window (verified)",Scoring!$C$30,IF(OR(D667="Expired (verified)",D667="30-yr mark: notice window (est.)",D667="Year-15 window"),Scoring!$C$31,IF(D667="Expiring: 10-yr horizon (verified)",Scoring!$C$32,IF(D667="Past 30-yr mark (verify)",Scoring!$C$33,IF(OR(D667="Credit period",D667="Superseded record"),Scoring!$C$35,Scoring!$C$34)))))</f>
        <v>0</v>
      </c>
      <c r="AF667" s="22" t="n">
        <f aca="false">IF(T667="Y",0,IF(ISNUMBER(V667),IF(Scoring!$B$4-V667&gt;15,Scoring!$C$36,IF(Scoring!$B$4-V667&gt;=10,Scoring!$C$37,IF(Scoring!$B$4-V667&gt;=5,Scoring!$C$38,Scoring!$C$39))),IF(OR(N667="",D667="Out of program"),Scoring!$C$40,IF(O667&gt;15,Scoring!$C$36,IF(O667&gt;=10,Scoring!$C$37,IF(O667&gt;=5,Scoring!$C$38,Scoring!$C$39))))))</f>
        <v>12</v>
      </c>
      <c r="AG667" s="22" t="n">
        <f aca="false">IF(T667="Y",0,IF(Y667="Y",Scoring!$C$41,IF(ISNUMBER(O667),IF(O667&gt;=25,Scoring!$C$42,IF(O667&gt;=15,Scoring!$C$43,Scoring!$C$44)),Scoring!$C$44)))</f>
        <v>2</v>
      </c>
      <c r="AH667" s="22" t="n">
        <f aca="false">IF(T667="Y",0,IF(W667="",Scoring!$C$49,IFERROR(VLOOKUP(W667,Scoring!$B$45:$C$48,2,FALSE()),Scoring!$C$49)))</f>
        <v>5</v>
      </c>
      <c r="AI667" s="23" t="n">
        <f aca="false">C667+IF(ISNUMBER(J667),J667,0)/100000+(10000-ROW())/1000000000</f>
        <v>29.000459333</v>
      </c>
      <c r="AJ667" s="18"/>
      <c r="AK667" s="18"/>
      <c r="AL667" s="18"/>
      <c r="AM667" s="18"/>
    </row>
    <row r="668" customFormat="false" ht="15" hidden="false" customHeight="false" outlineLevel="0" collapsed="false">
      <c r="A668" s="15" t="n">
        <f aca="false">RANK(AI668,$AI$2:$AI$755)</f>
        <v>667</v>
      </c>
      <c r="B668" s="16" t="str">
        <f aca="false">IF(T668="Y","Superseded",IF(C668&gt;=Scoring!$B$16,"Immediate",IF(C668&gt;=Scoring!$B$17,"This week",IF(C668&gt;=Scoring!$B$18,"Nurture","Low"))))</f>
        <v>Low</v>
      </c>
      <c r="C668" s="3" t="n">
        <f aca="false">SUM(AC668:AH668)</f>
        <v>29</v>
      </c>
      <c r="D668" s="15" t="str">
        <f aca="false">IF(T668="Y","Superseded record",IF(AND(U668&lt;&gt;"",AA668&lt;0),"Expired (verified)",IF(AND(U668&lt;&gt;"",AA668&lt;=Scoring!$B$5),"Expiring: notice window (verified)",IF(AND(U668&lt;&gt;"",AA668&lt;=Scoring!$B$6),"Expiring: 10-yr horizon (verified)",IF(M668="No Longer Monitored","Out of program",IF(N668="","Unknown vintage",IF(N668&lt;Scoring!$B$12,"Pre-1990, still listed",IF(AND(U668="",AA668&lt;0),"Past 30-yr mark (verify)",IF(AND(U668="",AA668&lt;=Scoring!$B$5),"30-yr mark: notice window (est.)",IF(AND(O668&gt;=Scoring!$B$7,O668&lt;=Scoring!$B$8),"Year-15 window",IF(O668&gt;=Scoring!$B$9,"Recap window",IF(O668&gt;=11,"Late compliance","Credit period"))))))))))))</f>
        <v>Credit period</v>
      </c>
      <c r="E668" s="15" t="s">
        <v>2328</v>
      </c>
      <c r="F668" s="15" t="s">
        <v>2329</v>
      </c>
      <c r="G668" s="15" t="s">
        <v>2330</v>
      </c>
      <c r="H668" s="15" t="s">
        <v>2331</v>
      </c>
      <c r="I668" s="15" t="s">
        <v>2332</v>
      </c>
      <c r="J668" s="15" t="n">
        <v>40</v>
      </c>
      <c r="K668" s="15" t="n">
        <v>40</v>
      </c>
      <c r="L668" s="15" t="n">
        <f aca="false">IF(OR(J668="",K668=""),"",MAX(J668-K668,0))</f>
        <v>0</v>
      </c>
      <c r="M668" s="15" t="s">
        <v>99</v>
      </c>
      <c r="N668" s="17" t="n">
        <v>2016</v>
      </c>
      <c r="O668" s="15" t="n">
        <f aca="false">IF(N668="","",Scoring!$B$4-N668)</f>
        <v>10</v>
      </c>
      <c r="P668" s="15" t="n">
        <f aca="false">IF(N668="","",N668+14)</f>
        <v>2030</v>
      </c>
      <c r="Q668" s="15" t="n">
        <f aca="false">IF(N668="","",IF(N668&lt;Scoring!$B$12,"n/a (pre-1990)",N668+Scoring!$B$13))</f>
        <v>2045</v>
      </c>
      <c r="R668" s="15" t="str">
        <f aca="false">IF(J668="","Unknown",IF(J668&gt;=5,"Yes","No (under 5 units)"))</f>
        <v>Yes</v>
      </c>
      <c r="S668" s="15"/>
      <c r="T668" s="18"/>
      <c r="U668" s="19"/>
      <c r="V668" s="18"/>
      <c r="W668" s="18"/>
      <c r="X668" s="20"/>
      <c r="Y668" s="18"/>
      <c r="Z668" s="18"/>
      <c r="AA668" s="21" t="n">
        <f aca="false">IF(U668&lt;&gt;"",(U668-Scoring!$B$3)/365.25,IF(N668="","",IF(N668&lt;Scoring!$B$12,"",(DATE(N668+Scoring!$B$13,12,31)-Scoring!$B$3)/365.25)))</f>
        <v>19.2470910335387</v>
      </c>
      <c r="AB668" s="22" t="n">
        <f aca="false">IF(T668="Y",0,IF(OR(D668="Expired (verified)",D668="Expiring: notice window (verified)",D668="Expiring: 10-yr horizon (verified)",D668="Past 30-yr mark (verify)",D668="30-yr mark: notice window (est.)",D668="Year-15 window"),1,0)+IF(ISNUMBER(O668),IF(O668&gt;=Scoring!$B$10,1,0),0)+IF(AND(ISNUMBER(L668),ISNUMBER(J668)),IF(J668&gt;0,IF(L668/J668&gt;=Scoring!$B$11,1,0),0),0)+IF(ISNUMBER(Z668),MIN(Z668,3),0))</f>
        <v>0</v>
      </c>
      <c r="AC668" s="22" t="n">
        <f aca="false">IF(AB668&gt;=3,Scoring!$C$24,IF(AB668=2,Scoring!$C$23,IF(AB668=1,Scoring!$C$22,0)))</f>
        <v>0</v>
      </c>
      <c r="AD668" s="22" t="n">
        <f aca="false">IF(T668="Y",0,IF(ISNUMBER(X668),IF(X668&gt;0.7,Scoring!$C$25,IF(X668&gt;=0.5,Scoring!$C$26,IF(X668&gt;=0.3,Scoring!$C$27,Scoring!$C$28))),Scoring!$C$29))</f>
        <v>10</v>
      </c>
      <c r="AE668" s="22" t="n">
        <f aca="false">IF(D668="Expiring: notice window (verified)",Scoring!$C$30,IF(OR(D668="Expired (verified)",D668="30-yr mark: notice window (est.)",D668="Year-15 window"),Scoring!$C$31,IF(D668="Expiring: 10-yr horizon (verified)",Scoring!$C$32,IF(D668="Past 30-yr mark (verify)",Scoring!$C$33,IF(OR(D668="Credit period",D668="Superseded record"),Scoring!$C$35,Scoring!$C$34)))))</f>
        <v>0</v>
      </c>
      <c r="AF668" s="22" t="n">
        <f aca="false">IF(T668="Y",0,IF(ISNUMBER(V668),IF(Scoring!$B$4-V668&gt;15,Scoring!$C$36,IF(Scoring!$B$4-V668&gt;=10,Scoring!$C$37,IF(Scoring!$B$4-V668&gt;=5,Scoring!$C$38,Scoring!$C$39))),IF(OR(N668="",D668="Out of program"),Scoring!$C$40,IF(O668&gt;15,Scoring!$C$36,IF(O668&gt;=10,Scoring!$C$37,IF(O668&gt;=5,Scoring!$C$38,Scoring!$C$39))))))</f>
        <v>12</v>
      </c>
      <c r="AG668" s="22" t="n">
        <f aca="false">IF(T668="Y",0,IF(Y668="Y",Scoring!$C$41,IF(ISNUMBER(O668),IF(O668&gt;=25,Scoring!$C$42,IF(O668&gt;=15,Scoring!$C$43,Scoring!$C$44)),Scoring!$C$44)))</f>
        <v>2</v>
      </c>
      <c r="AH668" s="22" t="n">
        <f aca="false">IF(T668="Y",0,IF(W668="",Scoring!$C$49,IFERROR(VLOOKUP(W668,Scoring!$B$45:$C$48,2,FALSE()),Scoring!$C$49)))</f>
        <v>5</v>
      </c>
      <c r="AI668" s="23" t="n">
        <f aca="false">C668+IF(ISNUMBER(J668),J668,0)/100000+(10000-ROW())/1000000000</f>
        <v>29.000409332</v>
      </c>
      <c r="AJ668" s="18"/>
      <c r="AK668" s="18"/>
      <c r="AL668" s="18"/>
      <c r="AM668" s="18"/>
    </row>
    <row r="669" customFormat="false" ht="15" hidden="false" customHeight="false" outlineLevel="0" collapsed="false">
      <c r="A669" s="15" t="n">
        <f aca="false">RANK(AI669,$AI$2:$AI$755)</f>
        <v>668</v>
      </c>
      <c r="B669" s="16" t="str">
        <f aca="false">IF(T669="Y","Superseded",IF(C669&gt;=Scoring!$B$16,"Immediate",IF(C669&gt;=Scoring!$B$17,"This week",IF(C669&gt;=Scoring!$B$18,"Nurture","Low"))))</f>
        <v>Low</v>
      </c>
      <c r="C669" s="3" t="n">
        <f aca="false">SUM(AC669:AH669)</f>
        <v>29</v>
      </c>
      <c r="D669" s="15" t="str">
        <f aca="false">IF(T669="Y","Superseded record",IF(AND(U669&lt;&gt;"",AA669&lt;0),"Expired (verified)",IF(AND(U669&lt;&gt;"",AA669&lt;=Scoring!$B$5),"Expiring: notice window (verified)",IF(AND(U669&lt;&gt;"",AA669&lt;=Scoring!$B$6),"Expiring: 10-yr horizon (verified)",IF(M669="No Longer Monitored","Out of program",IF(N669="","Unknown vintage",IF(N669&lt;Scoring!$B$12,"Pre-1990, still listed",IF(AND(U669="",AA669&lt;0),"Past 30-yr mark (verify)",IF(AND(U669="",AA669&lt;=Scoring!$B$5),"30-yr mark: notice window (est.)",IF(AND(O669&gt;=Scoring!$B$7,O669&lt;=Scoring!$B$8),"Year-15 window",IF(O669&gt;=Scoring!$B$9,"Recap window",IF(O669&gt;=11,"Late compliance","Credit period"))))))))))))</f>
        <v>Credit period</v>
      </c>
      <c r="E669" s="15" t="s">
        <v>2333</v>
      </c>
      <c r="F669" s="15" t="s">
        <v>2334</v>
      </c>
      <c r="G669" s="15" t="s">
        <v>2335</v>
      </c>
      <c r="H669" s="15" t="s">
        <v>97</v>
      </c>
      <c r="I669" s="15" t="s">
        <v>260</v>
      </c>
      <c r="J669" s="15" t="n">
        <v>40</v>
      </c>
      <c r="K669" s="15" t="n">
        <v>40</v>
      </c>
      <c r="L669" s="15" t="n">
        <f aca="false">IF(OR(J669="",K669=""),"",MAX(J669-K669,0))</f>
        <v>0</v>
      </c>
      <c r="M669" s="15" t="s">
        <v>99</v>
      </c>
      <c r="N669" s="17" t="n">
        <v>2016</v>
      </c>
      <c r="O669" s="15" t="n">
        <f aca="false">IF(N669="","",Scoring!$B$4-N669)</f>
        <v>10</v>
      </c>
      <c r="P669" s="15" t="n">
        <f aca="false">IF(N669="","",N669+14)</f>
        <v>2030</v>
      </c>
      <c r="Q669" s="15" t="n">
        <f aca="false">IF(N669="","",IF(N669&lt;Scoring!$B$12,"n/a (pre-1990)",N669+Scoring!$B$13))</f>
        <v>2045</v>
      </c>
      <c r="R669" s="15" t="str">
        <f aca="false">IF(J669="","Unknown",IF(J669&gt;=5,"Yes","No (under 5 units)"))</f>
        <v>Yes</v>
      </c>
      <c r="S669" s="15"/>
      <c r="T669" s="18"/>
      <c r="U669" s="19"/>
      <c r="V669" s="18"/>
      <c r="W669" s="18"/>
      <c r="X669" s="20"/>
      <c r="Y669" s="18"/>
      <c r="Z669" s="18"/>
      <c r="AA669" s="21" t="n">
        <f aca="false">IF(U669&lt;&gt;"",(U669-Scoring!$B$3)/365.25,IF(N669="","",IF(N669&lt;Scoring!$B$12,"",(DATE(N669+Scoring!$B$13,12,31)-Scoring!$B$3)/365.25)))</f>
        <v>19.2470910335387</v>
      </c>
      <c r="AB669" s="22" t="n">
        <f aca="false">IF(T669="Y",0,IF(OR(D669="Expired (verified)",D669="Expiring: notice window (verified)",D669="Expiring: 10-yr horizon (verified)",D669="Past 30-yr mark (verify)",D669="30-yr mark: notice window (est.)",D669="Year-15 window"),1,0)+IF(ISNUMBER(O669),IF(O669&gt;=Scoring!$B$10,1,0),0)+IF(AND(ISNUMBER(L669),ISNUMBER(J669)),IF(J669&gt;0,IF(L669/J669&gt;=Scoring!$B$11,1,0),0),0)+IF(ISNUMBER(Z669),MIN(Z669,3),0))</f>
        <v>0</v>
      </c>
      <c r="AC669" s="22" t="n">
        <f aca="false">IF(AB669&gt;=3,Scoring!$C$24,IF(AB669=2,Scoring!$C$23,IF(AB669=1,Scoring!$C$22,0)))</f>
        <v>0</v>
      </c>
      <c r="AD669" s="22" t="n">
        <f aca="false">IF(T669="Y",0,IF(ISNUMBER(X669),IF(X669&gt;0.7,Scoring!$C$25,IF(X669&gt;=0.5,Scoring!$C$26,IF(X669&gt;=0.3,Scoring!$C$27,Scoring!$C$28))),Scoring!$C$29))</f>
        <v>10</v>
      </c>
      <c r="AE669" s="22" t="n">
        <f aca="false">IF(D669="Expiring: notice window (verified)",Scoring!$C$30,IF(OR(D669="Expired (verified)",D669="30-yr mark: notice window (est.)",D669="Year-15 window"),Scoring!$C$31,IF(D669="Expiring: 10-yr horizon (verified)",Scoring!$C$32,IF(D669="Past 30-yr mark (verify)",Scoring!$C$33,IF(OR(D669="Credit period",D669="Superseded record"),Scoring!$C$35,Scoring!$C$34)))))</f>
        <v>0</v>
      </c>
      <c r="AF669" s="22" t="n">
        <f aca="false">IF(T669="Y",0,IF(ISNUMBER(V669),IF(Scoring!$B$4-V669&gt;15,Scoring!$C$36,IF(Scoring!$B$4-V669&gt;=10,Scoring!$C$37,IF(Scoring!$B$4-V669&gt;=5,Scoring!$C$38,Scoring!$C$39))),IF(OR(N669="",D669="Out of program"),Scoring!$C$40,IF(O669&gt;15,Scoring!$C$36,IF(O669&gt;=10,Scoring!$C$37,IF(O669&gt;=5,Scoring!$C$38,Scoring!$C$39))))))</f>
        <v>12</v>
      </c>
      <c r="AG669" s="22" t="n">
        <f aca="false">IF(T669="Y",0,IF(Y669="Y",Scoring!$C$41,IF(ISNUMBER(O669),IF(O669&gt;=25,Scoring!$C$42,IF(O669&gt;=15,Scoring!$C$43,Scoring!$C$44)),Scoring!$C$44)))</f>
        <v>2</v>
      </c>
      <c r="AH669" s="22" t="n">
        <f aca="false">IF(T669="Y",0,IF(W669="",Scoring!$C$49,IFERROR(VLOOKUP(W669,Scoring!$B$45:$C$48,2,FALSE()),Scoring!$C$49)))</f>
        <v>5</v>
      </c>
      <c r="AI669" s="23" t="n">
        <f aca="false">C669+IF(ISNUMBER(J669),J669,0)/100000+(10000-ROW())/1000000000</f>
        <v>29.000409331</v>
      </c>
      <c r="AJ669" s="18"/>
      <c r="AK669" s="18"/>
      <c r="AL669" s="18"/>
      <c r="AM669" s="18"/>
    </row>
    <row r="670" customFormat="false" ht="15" hidden="false" customHeight="false" outlineLevel="0" collapsed="false">
      <c r="A670" s="15" t="n">
        <f aca="false">RANK(AI670,$AI$2:$AI$755)</f>
        <v>669</v>
      </c>
      <c r="B670" s="16" t="str">
        <f aca="false">IF(T670="Y","Superseded",IF(C670&gt;=Scoring!$B$16,"Immediate",IF(C670&gt;=Scoring!$B$17,"This week",IF(C670&gt;=Scoring!$B$18,"Nurture","Low"))))</f>
        <v>Low</v>
      </c>
      <c r="C670" s="3" t="n">
        <f aca="false">SUM(AC670:AH670)</f>
        <v>29</v>
      </c>
      <c r="D670" s="15" t="str">
        <f aca="false">IF(T670="Y","Superseded record",IF(AND(U670&lt;&gt;"",AA670&lt;0),"Expired (verified)",IF(AND(U670&lt;&gt;"",AA670&lt;=Scoring!$B$5),"Expiring: notice window (verified)",IF(AND(U670&lt;&gt;"",AA670&lt;=Scoring!$B$6),"Expiring: 10-yr horizon (verified)",IF(M670="No Longer Monitored","Out of program",IF(N670="","Unknown vintage",IF(N670&lt;Scoring!$B$12,"Pre-1990, still listed",IF(AND(U670="",AA670&lt;0),"Past 30-yr mark (verify)",IF(AND(U670="",AA670&lt;=Scoring!$B$5),"30-yr mark: notice window (est.)",IF(AND(O670&gt;=Scoring!$B$7,O670&lt;=Scoring!$B$8),"Year-15 window",IF(O670&gt;=Scoring!$B$9,"Recap window",IF(O670&gt;=11,"Late compliance","Credit period"))))))))))))</f>
        <v>Unknown vintage</v>
      </c>
      <c r="E670" s="15" t="s">
        <v>2336</v>
      </c>
      <c r="F670" s="15" t="s">
        <v>2337</v>
      </c>
      <c r="G670" s="15" t="s">
        <v>2338</v>
      </c>
      <c r="H670" s="15" t="s">
        <v>658</v>
      </c>
      <c r="I670" s="15"/>
      <c r="J670" s="15" t="n">
        <v>35</v>
      </c>
      <c r="K670" s="15"/>
      <c r="L670" s="15" t="str">
        <f aca="false">IF(OR(J670="",K670=""),"",MAX(J670-K670,0))</f>
        <v/>
      </c>
      <c r="M670" s="15" t="s">
        <v>99</v>
      </c>
      <c r="N670" s="17"/>
      <c r="O670" s="15" t="str">
        <f aca="false">IF(N670="","",Scoring!$B$4-N670)</f>
        <v/>
      </c>
      <c r="P670" s="15" t="str">
        <f aca="false">IF(N670="","",N670+14)</f>
        <v/>
      </c>
      <c r="Q670" s="15" t="str">
        <f aca="false">IF(N670="","",IF(N670&lt;Scoring!$B$12,"n/a (pre-1990)",N670+Scoring!$B$13))</f>
        <v/>
      </c>
      <c r="R670" s="15" t="str">
        <f aca="false">IF(J670="","Unknown",IF(J670&gt;=5,"Yes","No (under 5 units)"))</f>
        <v>Yes</v>
      </c>
      <c r="S670" s="15" t="s">
        <v>2339</v>
      </c>
      <c r="T670" s="18"/>
      <c r="U670" s="19"/>
      <c r="V670" s="18"/>
      <c r="W670" s="18"/>
      <c r="X670" s="20"/>
      <c r="Y670" s="18"/>
      <c r="Z670" s="18"/>
      <c r="AA670" s="21" t="str">
        <f aca="false">IF(U670&lt;&gt;"",(U670-Scoring!$B$3)/365.25,IF(N670="","",IF(N670&lt;Scoring!$B$12,"",(DATE(N670+Scoring!$B$13,12,31)-Scoring!$B$3)/365.25)))</f>
        <v/>
      </c>
      <c r="AB670" s="22" t="n">
        <f aca="false">IF(T670="Y",0,IF(OR(D670="Expired (verified)",D670="Expiring: notice window (verified)",D670="Expiring: 10-yr horizon (verified)",D670="Past 30-yr mark (verify)",D670="30-yr mark: notice window (est.)",D670="Year-15 window"),1,0)+IF(ISNUMBER(O670),IF(O670&gt;=Scoring!$B$10,1,0),0)+IF(AND(ISNUMBER(L670),ISNUMBER(J670)),IF(J670&gt;0,IF(L670/J670&gt;=Scoring!$B$11,1,0),0),0)+IF(ISNUMBER(Z670),MIN(Z670,3),0))</f>
        <v>0</v>
      </c>
      <c r="AC670" s="22" t="n">
        <f aca="false">IF(AB670&gt;=3,Scoring!$C$24,IF(AB670=2,Scoring!$C$23,IF(AB670=1,Scoring!$C$22,0)))</f>
        <v>0</v>
      </c>
      <c r="AD670" s="22" t="n">
        <f aca="false">IF(T670="Y",0,IF(ISNUMBER(X670),IF(X670&gt;0.7,Scoring!$C$25,IF(X670&gt;=0.5,Scoring!$C$26,IF(X670&gt;=0.3,Scoring!$C$27,Scoring!$C$28))),Scoring!$C$29))</f>
        <v>10</v>
      </c>
      <c r="AE670" s="22" t="n">
        <f aca="false">IF(D670="Expiring: notice window (verified)",Scoring!$C$30,IF(OR(D670="Expired (verified)",D670="30-yr mark: notice window (est.)",D670="Year-15 window"),Scoring!$C$31,IF(D670="Expiring: 10-yr horizon (verified)",Scoring!$C$32,IF(D670="Past 30-yr mark (verify)",Scoring!$C$33,IF(OR(D670="Credit period",D670="Superseded record"),Scoring!$C$35,Scoring!$C$34)))))</f>
        <v>4</v>
      </c>
      <c r="AF670" s="22" t="n">
        <f aca="false">IF(T670="Y",0,IF(ISNUMBER(V670),IF(Scoring!$B$4-V670&gt;15,Scoring!$C$36,IF(Scoring!$B$4-V670&gt;=10,Scoring!$C$37,IF(Scoring!$B$4-V670&gt;=5,Scoring!$C$38,Scoring!$C$39))),IF(OR(N670="",D670="Out of program"),Scoring!$C$40,IF(O670&gt;15,Scoring!$C$36,IF(O670&gt;=10,Scoring!$C$37,IF(O670&gt;=5,Scoring!$C$38,Scoring!$C$39))))))</f>
        <v>8</v>
      </c>
      <c r="AG670" s="22" t="n">
        <f aca="false">IF(T670="Y",0,IF(Y670="Y",Scoring!$C$41,IF(ISNUMBER(O670),IF(O670&gt;=25,Scoring!$C$42,IF(O670&gt;=15,Scoring!$C$43,Scoring!$C$44)),Scoring!$C$44)))</f>
        <v>2</v>
      </c>
      <c r="AH670" s="22" t="n">
        <f aca="false">IF(T670="Y",0,IF(W670="",Scoring!$C$49,IFERROR(VLOOKUP(W670,Scoring!$B$45:$C$48,2,FALSE()),Scoring!$C$49)))</f>
        <v>5</v>
      </c>
      <c r="AI670" s="23" t="n">
        <f aca="false">C670+IF(ISNUMBER(J670),J670,0)/100000+(10000-ROW())/1000000000</f>
        <v>29.00035933</v>
      </c>
      <c r="AJ670" s="18"/>
      <c r="AK670" s="18"/>
      <c r="AL670" s="18"/>
      <c r="AM670" s="18"/>
    </row>
    <row r="671" customFormat="false" ht="15" hidden="false" customHeight="false" outlineLevel="0" collapsed="false">
      <c r="A671" s="15" t="n">
        <f aca="false">RANK(AI671,$AI$2:$AI$755)</f>
        <v>670</v>
      </c>
      <c r="B671" s="16" t="str">
        <f aca="false">IF(T671="Y","Superseded",IF(C671&gt;=Scoring!$B$16,"Immediate",IF(C671&gt;=Scoring!$B$17,"This week",IF(C671&gt;=Scoring!$B$18,"Nurture","Low"))))</f>
        <v>Low</v>
      </c>
      <c r="C671" s="3" t="n">
        <f aca="false">SUM(AC671:AH671)</f>
        <v>29</v>
      </c>
      <c r="D671" s="15" t="str">
        <f aca="false">IF(T671="Y","Superseded record",IF(AND(U671&lt;&gt;"",AA671&lt;0),"Expired (verified)",IF(AND(U671&lt;&gt;"",AA671&lt;=Scoring!$B$5),"Expiring: notice window (verified)",IF(AND(U671&lt;&gt;"",AA671&lt;=Scoring!$B$6),"Expiring: 10-yr horizon (verified)",IF(M671="No Longer Monitored","Out of program",IF(N671="","Unknown vintage",IF(N671&lt;Scoring!$B$12,"Pre-1990, still listed",IF(AND(U671="",AA671&lt;0),"Past 30-yr mark (verify)",IF(AND(U671="",AA671&lt;=Scoring!$B$5),"30-yr mark: notice window (est.)",IF(AND(O671&gt;=Scoring!$B$7,O671&lt;=Scoring!$B$8),"Year-15 window",IF(O671&gt;=Scoring!$B$9,"Recap window",IF(O671&gt;=11,"Late compliance","Credit period"))))))))))))</f>
        <v>Unknown vintage</v>
      </c>
      <c r="E671" s="15" t="s">
        <v>2340</v>
      </c>
      <c r="F671" s="15" t="s">
        <v>2341</v>
      </c>
      <c r="G671" s="15" t="s">
        <v>2342</v>
      </c>
      <c r="H671" s="15" t="s">
        <v>688</v>
      </c>
      <c r="I671" s="15"/>
      <c r="J671" s="15" t="n">
        <v>32</v>
      </c>
      <c r="K671" s="15"/>
      <c r="L671" s="15" t="str">
        <f aca="false">IF(OR(J671="",K671=""),"",MAX(J671-K671,0))</f>
        <v/>
      </c>
      <c r="M671" s="15" t="s">
        <v>99</v>
      </c>
      <c r="N671" s="17"/>
      <c r="O671" s="15" t="str">
        <f aca="false">IF(N671="","",Scoring!$B$4-N671)</f>
        <v/>
      </c>
      <c r="P671" s="15" t="str">
        <f aca="false">IF(N671="","",N671+14)</f>
        <v/>
      </c>
      <c r="Q671" s="15" t="str">
        <f aca="false">IF(N671="","",IF(N671&lt;Scoring!$B$12,"n/a (pre-1990)",N671+Scoring!$B$13))</f>
        <v/>
      </c>
      <c r="R671" s="15" t="str">
        <f aca="false">IF(J671="","Unknown",IF(J671&gt;=5,"Yes","No (under 5 units)"))</f>
        <v>Yes</v>
      </c>
      <c r="S671" s="15" t="s">
        <v>2339</v>
      </c>
      <c r="T671" s="18"/>
      <c r="U671" s="19"/>
      <c r="V671" s="18"/>
      <c r="W671" s="18"/>
      <c r="X671" s="20"/>
      <c r="Y671" s="18"/>
      <c r="Z671" s="18"/>
      <c r="AA671" s="21" t="str">
        <f aca="false">IF(U671&lt;&gt;"",(U671-Scoring!$B$3)/365.25,IF(N671="","",IF(N671&lt;Scoring!$B$12,"",(DATE(N671+Scoring!$B$13,12,31)-Scoring!$B$3)/365.25)))</f>
        <v/>
      </c>
      <c r="AB671" s="22" t="n">
        <f aca="false">IF(T671="Y",0,IF(OR(D671="Expired (verified)",D671="Expiring: notice window (verified)",D671="Expiring: 10-yr horizon (verified)",D671="Past 30-yr mark (verify)",D671="30-yr mark: notice window (est.)",D671="Year-15 window"),1,0)+IF(ISNUMBER(O671),IF(O671&gt;=Scoring!$B$10,1,0),0)+IF(AND(ISNUMBER(L671),ISNUMBER(J671)),IF(J671&gt;0,IF(L671/J671&gt;=Scoring!$B$11,1,0),0),0)+IF(ISNUMBER(Z671),MIN(Z671,3),0))</f>
        <v>0</v>
      </c>
      <c r="AC671" s="22" t="n">
        <f aca="false">IF(AB671&gt;=3,Scoring!$C$24,IF(AB671=2,Scoring!$C$23,IF(AB671=1,Scoring!$C$22,0)))</f>
        <v>0</v>
      </c>
      <c r="AD671" s="22" t="n">
        <f aca="false">IF(T671="Y",0,IF(ISNUMBER(X671),IF(X671&gt;0.7,Scoring!$C$25,IF(X671&gt;=0.5,Scoring!$C$26,IF(X671&gt;=0.3,Scoring!$C$27,Scoring!$C$28))),Scoring!$C$29))</f>
        <v>10</v>
      </c>
      <c r="AE671" s="22" t="n">
        <f aca="false">IF(D671="Expiring: notice window (verified)",Scoring!$C$30,IF(OR(D671="Expired (verified)",D671="30-yr mark: notice window (est.)",D671="Year-15 window"),Scoring!$C$31,IF(D671="Expiring: 10-yr horizon (verified)",Scoring!$C$32,IF(D671="Past 30-yr mark (verify)",Scoring!$C$33,IF(OR(D671="Credit period",D671="Superseded record"),Scoring!$C$35,Scoring!$C$34)))))</f>
        <v>4</v>
      </c>
      <c r="AF671" s="22" t="n">
        <f aca="false">IF(T671="Y",0,IF(ISNUMBER(V671),IF(Scoring!$B$4-V671&gt;15,Scoring!$C$36,IF(Scoring!$B$4-V671&gt;=10,Scoring!$C$37,IF(Scoring!$B$4-V671&gt;=5,Scoring!$C$38,Scoring!$C$39))),IF(OR(N671="",D671="Out of program"),Scoring!$C$40,IF(O671&gt;15,Scoring!$C$36,IF(O671&gt;=10,Scoring!$C$37,IF(O671&gt;=5,Scoring!$C$38,Scoring!$C$39))))))</f>
        <v>8</v>
      </c>
      <c r="AG671" s="22" t="n">
        <f aca="false">IF(T671="Y",0,IF(Y671="Y",Scoring!$C$41,IF(ISNUMBER(O671),IF(O671&gt;=25,Scoring!$C$42,IF(O671&gt;=15,Scoring!$C$43,Scoring!$C$44)),Scoring!$C$44)))</f>
        <v>2</v>
      </c>
      <c r="AH671" s="22" t="n">
        <f aca="false">IF(T671="Y",0,IF(W671="",Scoring!$C$49,IFERROR(VLOOKUP(W671,Scoring!$B$45:$C$48,2,FALSE()),Scoring!$C$49)))</f>
        <v>5</v>
      </c>
      <c r="AI671" s="23" t="n">
        <f aca="false">C671+IF(ISNUMBER(J671),J671,0)/100000+(10000-ROW())/1000000000</f>
        <v>29.000329329</v>
      </c>
      <c r="AJ671" s="18"/>
      <c r="AK671" s="18"/>
      <c r="AL671" s="18"/>
      <c r="AM671" s="18"/>
    </row>
    <row r="672" customFormat="false" ht="15" hidden="false" customHeight="false" outlineLevel="0" collapsed="false">
      <c r="A672" s="15" t="n">
        <f aca="false">RANK(AI672,$AI$2:$AI$755)</f>
        <v>671</v>
      </c>
      <c r="B672" s="16" t="str">
        <f aca="false">IF(T672="Y","Superseded",IF(C672&gt;=Scoring!$B$16,"Immediate",IF(C672&gt;=Scoring!$B$17,"This week",IF(C672&gt;=Scoring!$B$18,"Nurture","Low"))))</f>
        <v>Low</v>
      </c>
      <c r="C672" s="3" t="n">
        <f aca="false">SUM(AC672:AH672)</f>
        <v>29</v>
      </c>
      <c r="D672" s="15" t="str">
        <f aca="false">IF(T672="Y","Superseded record",IF(AND(U672&lt;&gt;"",AA672&lt;0),"Expired (verified)",IF(AND(U672&lt;&gt;"",AA672&lt;=Scoring!$B$5),"Expiring: notice window (verified)",IF(AND(U672&lt;&gt;"",AA672&lt;=Scoring!$B$6),"Expiring: 10-yr horizon (verified)",IF(M672="No Longer Monitored","Out of program",IF(N672="","Unknown vintage",IF(N672&lt;Scoring!$B$12,"Pre-1990, still listed",IF(AND(U672="",AA672&lt;0),"Past 30-yr mark (verify)",IF(AND(U672="",AA672&lt;=Scoring!$B$5),"30-yr mark: notice window (est.)",IF(AND(O672&gt;=Scoring!$B$7,O672&lt;=Scoring!$B$8),"Year-15 window",IF(O672&gt;=Scoring!$B$9,"Recap window",IF(O672&gt;=11,"Late compliance","Credit period"))))))))))))</f>
        <v>Credit period</v>
      </c>
      <c r="E672" s="15" t="s">
        <v>2343</v>
      </c>
      <c r="F672" s="15" t="s">
        <v>2344</v>
      </c>
      <c r="G672" s="15" t="s">
        <v>2345</v>
      </c>
      <c r="H672" s="15" t="s">
        <v>340</v>
      </c>
      <c r="I672" s="15" t="s">
        <v>341</v>
      </c>
      <c r="J672" s="15" t="n">
        <v>26</v>
      </c>
      <c r="K672" s="15" t="n">
        <v>25</v>
      </c>
      <c r="L672" s="15" t="n">
        <f aca="false">IF(OR(J672="",K672=""),"",MAX(J672-K672,0))</f>
        <v>1</v>
      </c>
      <c r="M672" s="15" t="s">
        <v>99</v>
      </c>
      <c r="N672" s="17" t="n">
        <v>2016</v>
      </c>
      <c r="O672" s="15" t="n">
        <f aca="false">IF(N672="","",Scoring!$B$4-N672)</f>
        <v>10</v>
      </c>
      <c r="P672" s="15" t="n">
        <f aca="false">IF(N672="","",N672+14)</f>
        <v>2030</v>
      </c>
      <c r="Q672" s="15" t="n">
        <f aca="false">IF(N672="","",IF(N672&lt;Scoring!$B$12,"n/a (pre-1990)",N672+Scoring!$B$13))</f>
        <v>2045</v>
      </c>
      <c r="R672" s="15" t="str">
        <f aca="false">IF(J672="","Unknown",IF(J672&gt;=5,"Yes","No (under 5 units)"))</f>
        <v>Yes</v>
      </c>
      <c r="S672" s="15"/>
      <c r="T672" s="18"/>
      <c r="U672" s="19"/>
      <c r="V672" s="18"/>
      <c r="W672" s="18"/>
      <c r="X672" s="20"/>
      <c r="Y672" s="18"/>
      <c r="Z672" s="18"/>
      <c r="AA672" s="21" t="n">
        <f aca="false">IF(U672&lt;&gt;"",(U672-Scoring!$B$3)/365.25,IF(N672="","",IF(N672&lt;Scoring!$B$12,"",(DATE(N672+Scoring!$B$13,12,31)-Scoring!$B$3)/365.25)))</f>
        <v>19.2470910335387</v>
      </c>
      <c r="AB672" s="22" t="n">
        <f aca="false">IF(T672="Y",0,IF(OR(D672="Expired (verified)",D672="Expiring: notice window (verified)",D672="Expiring: 10-yr horizon (verified)",D672="Past 30-yr mark (verify)",D672="30-yr mark: notice window (est.)",D672="Year-15 window"),1,0)+IF(ISNUMBER(O672),IF(O672&gt;=Scoring!$B$10,1,0),0)+IF(AND(ISNUMBER(L672),ISNUMBER(J672)),IF(J672&gt;0,IF(L672/J672&gt;=Scoring!$B$11,1,0),0),0)+IF(ISNUMBER(Z672),MIN(Z672,3),0))</f>
        <v>0</v>
      </c>
      <c r="AC672" s="22" t="n">
        <f aca="false">IF(AB672&gt;=3,Scoring!$C$24,IF(AB672=2,Scoring!$C$23,IF(AB672=1,Scoring!$C$22,0)))</f>
        <v>0</v>
      </c>
      <c r="AD672" s="22" t="n">
        <f aca="false">IF(T672="Y",0,IF(ISNUMBER(X672),IF(X672&gt;0.7,Scoring!$C$25,IF(X672&gt;=0.5,Scoring!$C$26,IF(X672&gt;=0.3,Scoring!$C$27,Scoring!$C$28))),Scoring!$C$29))</f>
        <v>10</v>
      </c>
      <c r="AE672" s="22" t="n">
        <f aca="false">IF(D672="Expiring: notice window (verified)",Scoring!$C$30,IF(OR(D672="Expired (verified)",D672="30-yr mark: notice window (est.)",D672="Year-15 window"),Scoring!$C$31,IF(D672="Expiring: 10-yr horizon (verified)",Scoring!$C$32,IF(D672="Past 30-yr mark (verify)",Scoring!$C$33,IF(OR(D672="Credit period",D672="Superseded record"),Scoring!$C$35,Scoring!$C$34)))))</f>
        <v>0</v>
      </c>
      <c r="AF672" s="22" t="n">
        <f aca="false">IF(T672="Y",0,IF(ISNUMBER(V672),IF(Scoring!$B$4-V672&gt;15,Scoring!$C$36,IF(Scoring!$B$4-V672&gt;=10,Scoring!$C$37,IF(Scoring!$B$4-V672&gt;=5,Scoring!$C$38,Scoring!$C$39))),IF(OR(N672="",D672="Out of program"),Scoring!$C$40,IF(O672&gt;15,Scoring!$C$36,IF(O672&gt;=10,Scoring!$C$37,IF(O672&gt;=5,Scoring!$C$38,Scoring!$C$39))))))</f>
        <v>12</v>
      </c>
      <c r="AG672" s="22" t="n">
        <f aca="false">IF(T672="Y",0,IF(Y672="Y",Scoring!$C$41,IF(ISNUMBER(O672),IF(O672&gt;=25,Scoring!$C$42,IF(O672&gt;=15,Scoring!$C$43,Scoring!$C$44)),Scoring!$C$44)))</f>
        <v>2</v>
      </c>
      <c r="AH672" s="22" t="n">
        <f aca="false">IF(T672="Y",0,IF(W672="",Scoring!$C$49,IFERROR(VLOOKUP(W672,Scoring!$B$45:$C$48,2,FALSE()),Scoring!$C$49)))</f>
        <v>5</v>
      </c>
      <c r="AI672" s="23" t="n">
        <f aca="false">C672+IF(ISNUMBER(J672),J672,0)/100000+(10000-ROW())/1000000000</f>
        <v>29.000269328</v>
      </c>
      <c r="AJ672" s="18"/>
      <c r="AK672" s="18"/>
      <c r="AL672" s="18"/>
      <c r="AM672" s="18"/>
    </row>
    <row r="673" customFormat="false" ht="15" hidden="false" customHeight="false" outlineLevel="0" collapsed="false">
      <c r="A673" s="15" t="n">
        <f aca="false">RANK(AI673,$AI$2:$AI$755)</f>
        <v>672</v>
      </c>
      <c r="B673" s="16" t="str">
        <f aca="false">IF(T673="Y","Superseded",IF(C673&gt;=Scoring!$B$16,"Immediate",IF(C673&gt;=Scoring!$B$17,"This week",IF(C673&gt;=Scoring!$B$18,"Nurture","Low"))))</f>
        <v>Low</v>
      </c>
      <c r="C673" s="3" t="n">
        <f aca="false">SUM(AC673:AH673)</f>
        <v>29</v>
      </c>
      <c r="D673" s="15" t="str">
        <f aca="false">IF(T673="Y","Superseded record",IF(AND(U673&lt;&gt;"",AA673&lt;0),"Expired (verified)",IF(AND(U673&lt;&gt;"",AA673&lt;=Scoring!$B$5),"Expiring: notice window (verified)",IF(AND(U673&lt;&gt;"",AA673&lt;=Scoring!$B$6),"Expiring: 10-yr horizon (verified)",IF(M673="No Longer Monitored","Out of program",IF(N673="","Unknown vintage",IF(N673&lt;Scoring!$B$12,"Pre-1990, still listed",IF(AND(U673="",AA673&lt;0),"Past 30-yr mark (verify)",IF(AND(U673="",AA673&lt;=Scoring!$B$5),"30-yr mark: notice window (est.)",IF(AND(O673&gt;=Scoring!$B$7,O673&lt;=Scoring!$B$8),"Year-15 window",IF(O673&gt;=Scoring!$B$9,"Recap window",IF(O673&gt;=11,"Late compliance","Credit period"))))))))))))</f>
        <v>Out of program</v>
      </c>
      <c r="E673" s="15" t="s">
        <v>2346</v>
      </c>
      <c r="F673" s="15" t="s">
        <v>2347</v>
      </c>
      <c r="G673" s="15"/>
      <c r="H673" s="15" t="s">
        <v>777</v>
      </c>
      <c r="I673" s="15"/>
      <c r="J673" s="15" t="n">
        <v>15</v>
      </c>
      <c r="K673" s="15"/>
      <c r="L673" s="15" t="str">
        <f aca="false">IF(OR(J673="",K673=""),"",MAX(J673-K673,0))</f>
        <v/>
      </c>
      <c r="M673" s="15" t="s">
        <v>1757</v>
      </c>
      <c r="N673" s="17"/>
      <c r="O673" s="15" t="str">
        <f aca="false">IF(N673="","",Scoring!$B$4-N673)</f>
        <v/>
      </c>
      <c r="P673" s="15" t="str">
        <f aca="false">IF(N673="","",N673+14)</f>
        <v/>
      </c>
      <c r="Q673" s="15" t="str">
        <f aca="false">IF(N673="","",IF(N673&lt;Scoring!$B$12,"n/a (pre-1990)",N673+Scoring!$B$13))</f>
        <v/>
      </c>
      <c r="R673" s="15" t="str">
        <f aca="false">IF(J673="","Unknown",IF(J673&gt;=5,"Yes","No (under 5 units)"))</f>
        <v>Yes</v>
      </c>
      <c r="S673" s="15" t="s">
        <v>2339</v>
      </c>
      <c r="T673" s="18"/>
      <c r="U673" s="19"/>
      <c r="V673" s="18"/>
      <c r="W673" s="18"/>
      <c r="X673" s="20"/>
      <c r="Y673" s="18"/>
      <c r="Z673" s="18"/>
      <c r="AA673" s="21" t="str">
        <f aca="false">IF(U673&lt;&gt;"",(U673-Scoring!$B$3)/365.25,IF(N673="","",IF(N673&lt;Scoring!$B$12,"",(DATE(N673+Scoring!$B$13,12,31)-Scoring!$B$3)/365.25)))</f>
        <v/>
      </c>
      <c r="AB673" s="22" t="n">
        <f aca="false">IF(T673="Y",0,IF(OR(D673="Expired (verified)",D673="Expiring: notice window (verified)",D673="Expiring: 10-yr horizon (verified)",D673="Past 30-yr mark (verify)",D673="30-yr mark: notice window (est.)",D673="Year-15 window"),1,0)+IF(ISNUMBER(O673),IF(O673&gt;=Scoring!$B$10,1,0),0)+IF(AND(ISNUMBER(L673),ISNUMBER(J673)),IF(J673&gt;0,IF(L673/J673&gt;=Scoring!$B$11,1,0),0),0)+IF(ISNUMBER(Z673),MIN(Z673,3),0))</f>
        <v>0</v>
      </c>
      <c r="AC673" s="22" t="n">
        <f aca="false">IF(AB673&gt;=3,Scoring!$C$24,IF(AB673=2,Scoring!$C$23,IF(AB673=1,Scoring!$C$22,0)))</f>
        <v>0</v>
      </c>
      <c r="AD673" s="22" t="n">
        <f aca="false">IF(T673="Y",0,IF(ISNUMBER(X673),IF(X673&gt;0.7,Scoring!$C$25,IF(X673&gt;=0.5,Scoring!$C$26,IF(X673&gt;=0.3,Scoring!$C$27,Scoring!$C$28))),Scoring!$C$29))</f>
        <v>10</v>
      </c>
      <c r="AE673" s="22" t="n">
        <f aca="false">IF(D673="Expiring: notice window (verified)",Scoring!$C$30,IF(OR(D673="Expired (verified)",D673="30-yr mark: notice window (est.)",D673="Year-15 window"),Scoring!$C$31,IF(D673="Expiring: 10-yr horizon (verified)",Scoring!$C$32,IF(D673="Past 30-yr mark (verify)",Scoring!$C$33,IF(OR(D673="Credit period",D673="Superseded record"),Scoring!$C$35,Scoring!$C$34)))))</f>
        <v>4</v>
      </c>
      <c r="AF673" s="22" t="n">
        <f aca="false">IF(T673="Y",0,IF(ISNUMBER(V673),IF(Scoring!$B$4-V673&gt;15,Scoring!$C$36,IF(Scoring!$B$4-V673&gt;=10,Scoring!$C$37,IF(Scoring!$B$4-V673&gt;=5,Scoring!$C$38,Scoring!$C$39))),IF(OR(N673="",D673="Out of program"),Scoring!$C$40,IF(O673&gt;15,Scoring!$C$36,IF(O673&gt;=10,Scoring!$C$37,IF(O673&gt;=5,Scoring!$C$38,Scoring!$C$39))))))</f>
        <v>8</v>
      </c>
      <c r="AG673" s="22" t="n">
        <f aca="false">IF(T673="Y",0,IF(Y673="Y",Scoring!$C$41,IF(ISNUMBER(O673),IF(O673&gt;=25,Scoring!$C$42,IF(O673&gt;=15,Scoring!$C$43,Scoring!$C$44)),Scoring!$C$44)))</f>
        <v>2</v>
      </c>
      <c r="AH673" s="22" t="n">
        <f aca="false">IF(T673="Y",0,IF(W673="",Scoring!$C$49,IFERROR(VLOOKUP(W673,Scoring!$B$45:$C$48,2,FALSE()),Scoring!$C$49)))</f>
        <v>5</v>
      </c>
      <c r="AI673" s="23" t="n">
        <f aca="false">C673+IF(ISNUMBER(J673),J673,0)/100000+(10000-ROW())/1000000000</f>
        <v>29.000159327</v>
      </c>
      <c r="AJ673" s="18"/>
      <c r="AK673" s="18"/>
      <c r="AL673" s="18"/>
      <c r="AM673" s="18"/>
    </row>
    <row r="674" customFormat="false" ht="15" hidden="false" customHeight="false" outlineLevel="0" collapsed="false">
      <c r="A674" s="15" t="n">
        <f aca="false">RANK(AI674,$AI$2:$AI$755)</f>
        <v>673</v>
      </c>
      <c r="B674" s="16" t="str">
        <f aca="false">IF(T674="Y","Superseded",IF(C674&gt;=Scoring!$B$16,"Immediate",IF(C674&gt;=Scoring!$B$17,"This week",IF(C674&gt;=Scoring!$B$18,"Nurture","Low"))))</f>
        <v>Low</v>
      </c>
      <c r="C674" s="3" t="n">
        <f aca="false">SUM(AC674:AH674)</f>
        <v>29</v>
      </c>
      <c r="D674" s="15" t="str">
        <f aca="false">IF(T674="Y","Superseded record",IF(AND(U674&lt;&gt;"",AA674&lt;0),"Expired (verified)",IF(AND(U674&lt;&gt;"",AA674&lt;=Scoring!$B$5),"Expiring: notice window (verified)",IF(AND(U674&lt;&gt;"",AA674&lt;=Scoring!$B$6),"Expiring: 10-yr horizon (verified)",IF(M674="No Longer Monitored","Out of program",IF(N674="","Unknown vintage",IF(N674&lt;Scoring!$B$12,"Pre-1990, still listed",IF(AND(U674="",AA674&lt;0),"Past 30-yr mark (verify)",IF(AND(U674="",AA674&lt;=Scoring!$B$5),"30-yr mark: notice window (est.)",IF(AND(O674&gt;=Scoring!$B$7,O674&lt;=Scoring!$B$8),"Year-15 window",IF(O674&gt;=Scoring!$B$9,"Recap window",IF(O674&gt;=11,"Late compliance","Credit period"))))))))))))</f>
        <v>Unknown vintage</v>
      </c>
      <c r="E674" s="15" t="s">
        <v>2348</v>
      </c>
      <c r="F674" s="15" t="s">
        <v>2349</v>
      </c>
      <c r="G674" s="15" t="s">
        <v>2350</v>
      </c>
      <c r="H674" s="15" t="s">
        <v>617</v>
      </c>
      <c r="I674" s="15"/>
      <c r="J674" s="15" t="n">
        <v>6</v>
      </c>
      <c r="K674" s="15"/>
      <c r="L674" s="15" t="str">
        <f aca="false">IF(OR(J674="",K674=""),"",MAX(J674-K674,0))</f>
        <v/>
      </c>
      <c r="M674" s="15" t="s">
        <v>99</v>
      </c>
      <c r="N674" s="17"/>
      <c r="O674" s="15" t="str">
        <f aca="false">IF(N674="","",Scoring!$B$4-N674)</f>
        <v/>
      </c>
      <c r="P674" s="15" t="str">
        <f aca="false">IF(N674="","",N674+14)</f>
        <v/>
      </c>
      <c r="Q674" s="15" t="str">
        <f aca="false">IF(N674="","",IF(N674&lt;Scoring!$B$12,"n/a (pre-1990)",N674+Scoring!$B$13))</f>
        <v/>
      </c>
      <c r="R674" s="15" t="str">
        <f aca="false">IF(J674="","Unknown",IF(J674&gt;=5,"Yes","No (under 5 units)"))</f>
        <v>Yes</v>
      </c>
      <c r="S674" s="15" t="s">
        <v>2339</v>
      </c>
      <c r="T674" s="18"/>
      <c r="U674" s="19"/>
      <c r="V674" s="18"/>
      <c r="W674" s="18"/>
      <c r="X674" s="20"/>
      <c r="Y674" s="18"/>
      <c r="Z674" s="18"/>
      <c r="AA674" s="21" t="str">
        <f aca="false">IF(U674&lt;&gt;"",(U674-Scoring!$B$3)/365.25,IF(N674="","",IF(N674&lt;Scoring!$B$12,"",(DATE(N674+Scoring!$B$13,12,31)-Scoring!$B$3)/365.25)))</f>
        <v/>
      </c>
      <c r="AB674" s="22" t="n">
        <f aca="false">IF(T674="Y",0,IF(OR(D674="Expired (verified)",D674="Expiring: notice window (verified)",D674="Expiring: 10-yr horizon (verified)",D674="Past 30-yr mark (verify)",D674="30-yr mark: notice window (est.)",D674="Year-15 window"),1,0)+IF(ISNUMBER(O674),IF(O674&gt;=Scoring!$B$10,1,0),0)+IF(AND(ISNUMBER(L674),ISNUMBER(J674)),IF(J674&gt;0,IF(L674/J674&gt;=Scoring!$B$11,1,0),0),0)+IF(ISNUMBER(Z674),MIN(Z674,3),0))</f>
        <v>0</v>
      </c>
      <c r="AC674" s="22" t="n">
        <f aca="false">IF(AB674&gt;=3,Scoring!$C$24,IF(AB674=2,Scoring!$C$23,IF(AB674=1,Scoring!$C$22,0)))</f>
        <v>0</v>
      </c>
      <c r="AD674" s="22" t="n">
        <f aca="false">IF(T674="Y",0,IF(ISNUMBER(X674),IF(X674&gt;0.7,Scoring!$C$25,IF(X674&gt;=0.5,Scoring!$C$26,IF(X674&gt;=0.3,Scoring!$C$27,Scoring!$C$28))),Scoring!$C$29))</f>
        <v>10</v>
      </c>
      <c r="AE674" s="22" t="n">
        <f aca="false">IF(D674="Expiring: notice window (verified)",Scoring!$C$30,IF(OR(D674="Expired (verified)",D674="30-yr mark: notice window (est.)",D674="Year-15 window"),Scoring!$C$31,IF(D674="Expiring: 10-yr horizon (verified)",Scoring!$C$32,IF(D674="Past 30-yr mark (verify)",Scoring!$C$33,IF(OR(D674="Credit period",D674="Superseded record"),Scoring!$C$35,Scoring!$C$34)))))</f>
        <v>4</v>
      </c>
      <c r="AF674" s="22" t="n">
        <f aca="false">IF(T674="Y",0,IF(ISNUMBER(V674),IF(Scoring!$B$4-V674&gt;15,Scoring!$C$36,IF(Scoring!$B$4-V674&gt;=10,Scoring!$C$37,IF(Scoring!$B$4-V674&gt;=5,Scoring!$C$38,Scoring!$C$39))),IF(OR(N674="",D674="Out of program"),Scoring!$C$40,IF(O674&gt;15,Scoring!$C$36,IF(O674&gt;=10,Scoring!$C$37,IF(O674&gt;=5,Scoring!$C$38,Scoring!$C$39))))))</f>
        <v>8</v>
      </c>
      <c r="AG674" s="22" t="n">
        <f aca="false">IF(T674="Y",0,IF(Y674="Y",Scoring!$C$41,IF(ISNUMBER(O674),IF(O674&gt;=25,Scoring!$C$42,IF(O674&gt;=15,Scoring!$C$43,Scoring!$C$44)),Scoring!$C$44)))</f>
        <v>2</v>
      </c>
      <c r="AH674" s="22" t="n">
        <f aca="false">IF(T674="Y",0,IF(W674="",Scoring!$C$49,IFERROR(VLOOKUP(W674,Scoring!$B$45:$C$48,2,FALSE()),Scoring!$C$49)))</f>
        <v>5</v>
      </c>
      <c r="AI674" s="23" t="n">
        <f aca="false">C674+IF(ISNUMBER(J674),J674,0)/100000+(10000-ROW())/1000000000</f>
        <v>29.000069326</v>
      </c>
      <c r="AJ674" s="18"/>
      <c r="AK674" s="18"/>
      <c r="AL674" s="18"/>
      <c r="AM674" s="18"/>
    </row>
    <row r="675" customFormat="false" ht="15" hidden="false" customHeight="false" outlineLevel="0" collapsed="false">
      <c r="A675" s="15" t="n">
        <f aca="false">RANK(AI675,$AI$2:$AI$755)</f>
        <v>674</v>
      </c>
      <c r="B675" s="16" t="str">
        <f aca="false">IF(T675="Y","Superseded",IF(C675&gt;=Scoring!$B$16,"Immediate",IF(C675&gt;=Scoring!$B$17,"This week",IF(C675&gt;=Scoring!$B$18,"Nurture","Low"))))</f>
        <v>Low</v>
      </c>
      <c r="C675" s="3" t="n">
        <f aca="false">SUM(AC675:AH675)</f>
        <v>29</v>
      </c>
      <c r="D675" s="15" t="str">
        <f aca="false">IF(T675="Y","Superseded record",IF(AND(U675&lt;&gt;"",AA675&lt;0),"Expired (verified)",IF(AND(U675&lt;&gt;"",AA675&lt;=Scoring!$B$5),"Expiring: notice window (verified)",IF(AND(U675&lt;&gt;"",AA675&lt;=Scoring!$B$6),"Expiring: 10-yr horizon (verified)",IF(M675="No Longer Monitored","Out of program",IF(N675="","Unknown vintage",IF(N675&lt;Scoring!$B$12,"Pre-1990, still listed",IF(AND(U675="",AA675&lt;0),"Past 30-yr mark (verify)",IF(AND(U675="",AA675&lt;=Scoring!$B$5),"30-yr mark: notice window (est.)",IF(AND(O675&gt;=Scoring!$B$7,O675&lt;=Scoring!$B$8),"Year-15 window",IF(O675&gt;=Scoring!$B$9,"Recap window",IF(O675&gt;=11,"Late compliance","Credit period"))))))))))))</f>
        <v>Out of program</v>
      </c>
      <c r="E675" s="15" t="s">
        <v>2351</v>
      </c>
      <c r="F675" s="15" t="s">
        <v>2352</v>
      </c>
      <c r="G675" s="15" t="s">
        <v>2353</v>
      </c>
      <c r="H675" s="15" t="s">
        <v>97</v>
      </c>
      <c r="I675" s="15" t="s">
        <v>1090</v>
      </c>
      <c r="J675" s="15"/>
      <c r="K675" s="15"/>
      <c r="L675" s="15" t="str">
        <f aca="false">IF(OR(J675="",K675=""),"",MAX(J675-K675,0))</f>
        <v/>
      </c>
      <c r="M675" s="15" t="s">
        <v>1757</v>
      </c>
      <c r="N675" s="17"/>
      <c r="O675" s="15" t="str">
        <f aca="false">IF(N675="","",Scoring!$B$4-N675)</f>
        <v/>
      </c>
      <c r="P675" s="15" t="str">
        <f aca="false">IF(N675="","",N675+14)</f>
        <v/>
      </c>
      <c r="Q675" s="15" t="str">
        <f aca="false">IF(N675="","",IF(N675&lt;Scoring!$B$12,"n/a (pre-1990)",N675+Scoring!$B$13))</f>
        <v/>
      </c>
      <c r="R675" s="15" t="str">
        <f aca="false">IF(J675="","Unknown",IF(J675&gt;=5,"Yes","No (under 5 units)"))</f>
        <v>Unknown</v>
      </c>
      <c r="S675" s="15" t="s">
        <v>2339</v>
      </c>
      <c r="T675" s="18"/>
      <c r="U675" s="19"/>
      <c r="V675" s="18"/>
      <c r="W675" s="18"/>
      <c r="X675" s="20"/>
      <c r="Y675" s="18"/>
      <c r="Z675" s="18"/>
      <c r="AA675" s="21" t="str">
        <f aca="false">IF(U675&lt;&gt;"",(U675-Scoring!$B$3)/365.25,IF(N675="","",IF(N675&lt;Scoring!$B$12,"",(DATE(N675+Scoring!$B$13,12,31)-Scoring!$B$3)/365.25)))</f>
        <v/>
      </c>
      <c r="AB675" s="22" t="n">
        <f aca="false">IF(T675="Y",0,IF(OR(D675="Expired (verified)",D675="Expiring: notice window (verified)",D675="Expiring: 10-yr horizon (verified)",D675="Past 30-yr mark (verify)",D675="30-yr mark: notice window (est.)",D675="Year-15 window"),1,0)+IF(ISNUMBER(O675),IF(O675&gt;=Scoring!$B$10,1,0),0)+IF(AND(ISNUMBER(L675),ISNUMBER(J675)),IF(J675&gt;0,IF(L675/J675&gt;=Scoring!$B$11,1,0),0),0)+IF(ISNUMBER(Z675),MIN(Z675,3),0))</f>
        <v>0</v>
      </c>
      <c r="AC675" s="22" t="n">
        <f aca="false">IF(AB675&gt;=3,Scoring!$C$24,IF(AB675=2,Scoring!$C$23,IF(AB675=1,Scoring!$C$22,0)))</f>
        <v>0</v>
      </c>
      <c r="AD675" s="22" t="n">
        <f aca="false">IF(T675="Y",0,IF(ISNUMBER(X675),IF(X675&gt;0.7,Scoring!$C$25,IF(X675&gt;=0.5,Scoring!$C$26,IF(X675&gt;=0.3,Scoring!$C$27,Scoring!$C$28))),Scoring!$C$29))</f>
        <v>10</v>
      </c>
      <c r="AE675" s="22" t="n">
        <f aca="false">IF(D675="Expiring: notice window (verified)",Scoring!$C$30,IF(OR(D675="Expired (verified)",D675="30-yr mark: notice window (est.)",D675="Year-15 window"),Scoring!$C$31,IF(D675="Expiring: 10-yr horizon (verified)",Scoring!$C$32,IF(D675="Past 30-yr mark (verify)",Scoring!$C$33,IF(OR(D675="Credit period",D675="Superseded record"),Scoring!$C$35,Scoring!$C$34)))))</f>
        <v>4</v>
      </c>
      <c r="AF675" s="22" t="n">
        <f aca="false">IF(T675="Y",0,IF(ISNUMBER(V675),IF(Scoring!$B$4-V675&gt;15,Scoring!$C$36,IF(Scoring!$B$4-V675&gt;=10,Scoring!$C$37,IF(Scoring!$B$4-V675&gt;=5,Scoring!$C$38,Scoring!$C$39))),IF(OR(N675="",D675="Out of program"),Scoring!$C$40,IF(O675&gt;15,Scoring!$C$36,IF(O675&gt;=10,Scoring!$C$37,IF(O675&gt;=5,Scoring!$C$38,Scoring!$C$39))))))</f>
        <v>8</v>
      </c>
      <c r="AG675" s="22" t="n">
        <f aca="false">IF(T675="Y",0,IF(Y675="Y",Scoring!$C$41,IF(ISNUMBER(O675),IF(O675&gt;=25,Scoring!$C$42,IF(O675&gt;=15,Scoring!$C$43,Scoring!$C$44)),Scoring!$C$44)))</f>
        <v>2</v>
      </c>
      <c r="AH675" s="22" t="n">
        <f aca="false">IF(T675="Y",0,IF(W675="",Scoring!$C$49,IFERROR(VLOOKUP(W675,Scoring!$B$45:$C$48,2,FALSE()),Scoring!$C$49)))</f>
        <v>5</v>
      </c>
      <c r="AI675" s="23" t="n">
        <f aca="false">C675+IF(ISNUMBER(J675),J675,0)/100000+(10000-ROW())/1000000000</f>
        <v>29.000009325</v>
      </c>
      <c r="AJ675" s="18"/>
      <c r="AK675" s="18"/>
      <c r="AL675" s="18"/>
      <c r="AM675" s="18"/>
    </row>
    <row r="676" customFormat="false" ht="15" hidden="false" customHeight="false" outlineLevel="0" collapsed="false">
      <c r="A676" s="15" t="n">
        <f aca="false">RANK(AI676,$AI$2:$AI$755)</f>
        <v>675</v>
      </c>
      <c r="B676" s="16" t="str">
        <f aca="false">IF(T676="Y","Superseded",IF(C676&gt;=Scoring!$B$16,"Immediate",IF(C676&gt;=Scoring!$B$17,"This week",IF(C676&gt;=Scoring!$B$18,"Nurture","Low"))))</f>
        <v>Low</v>
      </c>
      <c r="C676" s="3" t="n">
        <f aca="false">SUM(AC676:AH676)</f>
        <v>25</v>
      </c>
      <c r="D676" s="15" t="str">
        <f aca="false">IF(T676="Y","Superseded record",IF(AND(U676&lt;&gt;"",AA676&lt;0),"Expired (verified)",IF(AND(U676&lt;&gt;"",AA676&lt;=Scoring!$B$5),"Expiring: notice window (verified)",IF(AND(U676&lt;&gt;"",AA676&lt;=Scoring!$B$6),"Expiring: 10-yr horizon (verified)",IF(M676="No Longer Monitored","Out of program",IF(N676="","Unknown vintage",IF(N676&lt;Scoring!$B$12,"Pre-1990, still listed",IF(AND(U676="",AA676&lt;0),"Past 30-yr mark (verify)",IF(AND(U676="",AA676&lt;=Scoring!$B$5),"30-yr mark: notice window (est.)",IF(AND(O676&gt;=Scoring!$B$7,O676&lt;=Scoring!$B$8),"Year-15 window",IF(O676&gt;=Scoring!$B$9,"Recap window",IF(O676&gt;=11,"Late compliance","Credit period"))))))))))))</f>
        <v>Credit period</v>
      </c>
      <c r="E676" s="15" t="s">
        <v>2354</v>
      </c>
      <c r="F676" s="15" t="s">
        <v>2355</v>
      </c>
      <c r="G676" s="15" t="s">
        <v>2356</v>
      </c>
      <c r="H676" s="15" t="s">
        <v>97</v>
      </c>
      <c r="I676" s="15" t="s">
        <v>362</v>
      </c>
      <c r="J676" s="15" t="n">
        <v>315</v>
      </c>
      <c r="K676" s="15" t="n">
        <v>315</v>
      </c>
      <c r="L676" s="15" t="n">
        <f aca="false">IF(OR(J676="",K676=""),"",MAX(J676-K676,0))</f>
        <v>0</v>
      </c>
      <c r="M676" s="15" t="s">
        <v>99</v>
      </c>
      <c r="N676" s="17" t="n">
        <v>2020</v>
      </c>
      <c r="O676" s="15" t="n">
        <f aca="false">IF(N676="","",Scoring!$B$4-N676)</f>
        <v>6</v>
      </c>
      <c r="P676" s="15" t="n">
        <f aca="false">IF(N676="","",N676+14)</f>
        <v>2034</v>
      </c>
      <c r="Q676" s="15" t="n">
        <f aca="false">IF(N676="","",IF(N676&lt;Scoring!$B$12,"n/a (pre-1990)",N676+Scoring!$B$13))</f>
        <v>2049</v>
      </c>
      <c r="R676" s="15" t="str">
        <f aca="false">IF(J676="","Unknown",IF(J676&gt;=5,"Yes","No (under 5 units)"))</f>
        <v>Yes</v>
      </c>
      <c r="S676" s="15"/>
      <c r="T676" s="18"/>
      <c r="U676" s="19"/>
      <c r="V676" s="18"/>
      <c r="W676" s="18"/>
      <c r="X676" s="20"/>
      <c r="Y676" s="18"/>
      <c r="Z676" s="18"/>
      <c r="AA676" s="21" t="n">
        <f aca="false">IF(U676&lt;&gt;"",(U676-Scoring!$B$3)/365.25,IF(N676="","",IF(N676&lt;Scoring!$B$12,"",(DATE(N676+Scoring!$B$13,12,31)-Scoring!$B$3)/365.25)))</f>
        <v>23.2470910335387</v>
      </c>
      <c r="AB676" s="22" t="n">
        <f aca="false">IF(T676="Y",0,IF(OR(D676="Expired (verified)",D676="Expiring: notice window (verified)",D676="Expiring: 10-yr horizon (verified)",D676="Past 30-yr mark (verify)",D676="30-yr mark: notice window (est.)",D676="Year-15 window"),1,0)+IF(ISNUMBER(O676),IF(O676&gt;=Scoring!$B$10,1,0),0)+IF(AND(ISNUMBER(L676),ISNUMBER(J676)),IF(J676&gt;0,IF(L676/J676&gt;=Scoring!$B$11,1,0),0),0)+IF(ISNUMBER(Z676),MIN(Z676,3),0))</f>
        <v>0</v>
      </c>
      <c r="AC676" s="22" t="n">
        <f aca="false">IF(AB676&gt;=3,Scoring!$C$24,IF(AB676=2,Scoring!$C$23,IF(AB676=1,Scoring!$C$22,0)))</f>
        <v>0</v>
      </c>
      <c r="AD676" s="22" t="n">
        <f aca="false">IF(T676="Y",0,IF(ISNUMBER(X676),IF(X676&gt;0.7,Scoring!$C$25,IF(X676&gt;=0.5,Scoring!$C$26,IF(X676&gt;=0.3,Scoring!$C$27,Scoring!$C$28))),Scoring!$C$29))</f>
        <v>10</v>
      </c>
      <c r="AE676" s="22" t="n">
        <f aca="false">IF(D676="Expiring: notice window (verified)",Scoring!$C$30,IF(OR(D676="Expired (verified)",D676="30-yr mark: notice window (est.)",D676="Year-15 window"),Scoring!$C$31,IF(D676="Expiring: 10-yr horizon (verified)",Scoring!$C$32,IF(D676="Past 30-yr mark (verify)",Scoring!$C$33,IF(OR(D676="Credit period",D676="Superseded record"),Scoring!$C$35,Scoring!$C$34)))))</f>
        <v>0</v>
      </c>
      <c r="AF676" s="22" t="n">
        <f aca="false">IF(T676="Y",0,IF(ISNUMBER(V676),IF(Scoring!$B$4-V676&gt;15,Scoring!$C$36,IF(Scoring!$B$4-V676&gt;=10,Scoring!$C$37,IF(Scoring!$B$4-V676&gt;=5,Scoring!$C$38,Scoring!$C$39))),IF(OR(N676="",D676="Out of program"),Scoring!$C$40,IF(O676&gt;15,Scoring!$C$36,IF(O676&gt;=10,Scoring!$C$37,IF(O676&gt;=5,Scoring!$C$38,Scoring!$C$39))))))</f>
        <v>8</v>
      </c>
      <c r="AG676" s="22" t="n">
        <f aca="false">IF(T676="Y",0,IF(Y676="Y",Scoring!$C$41,IF(ISNUMBER(O676),IF(O676&gt;=25,Scoring!$C$42,IF(O676&gt;=15,Scoring!$C$43,Scoring!$C$44)),Scoring!$C$44)))</f>
        <v>2</v>
      </c>
      <c r="AH676" s="22" t="n">
        <f aca="false">IF(T676="Y",0,IF(W676="",Scoring!$C$49,IFERROR(VLOOKUP(W676,Scoring!$B$45:$C$48,2,FALSE()),Scoring!$C$49)))</f>
        <v>5</v>
      </c>
      <c r="AI676" s="23" t="n">
        <f aca="false">C676+IF(ISNUMBER(J676),J676,0)/100000+(10000-ROW())/1000000000</f>
        <v>25.003159324</v>
      </c>
      <c r="AJ676" s="18"/>
      <c r="AK676" s="18"/>
      <c r="AL676" s="18"/>
      <c r="AM676" s="18"/>
    </row>
    <row r="677" customFormat="false" ht="15" hidden="false" customHeight="false" outlineLevel="0" collapsed="false">
      <c r="A677" s="15" t="n">
        <f aca="false">RANK(AI677,$AI$2:$AI$755)</f>
        <v>676</v>
      </c>
      <c r="B677" s="16" t="str">
        <f aca="false">IF(T677="Y","Superseded",IF(C677&gt;=Scoring!$B$16,"Immediate",IF(C677&gt;=Scoring!$B$17,"This week",IF(C677&gt;=Scoring!$B$18,"Nurture","Low"))))</f>
        <v>Low</v>
      </c>
      <c r="C677" s="3" t="n">
        <f aca="false">SUM(AC677:AH677)</f>
        <v>25</v>
      </c>
      <c r="D677" s="15" t="str">
        <f aca="false">IF(T677="Y","Superseded record",IF(AND(U677&lt;&gt;"",AA677&lt;0),"Expired (verified)",IF(AND(U677&lt;&gt;"",AA677&lt;=Scoring!$B$5),"Expiring: notice window (verified)",IF(AND(U677&lt;&gt;"",AA677&lt;=Scoring!$B$6),"Expiring: 10-yr horizon (verified)",IF(M677="No Longer Monitored","Out of program",IF(N677="","Unknown vintage",IF(N677&lt;Scoring!$B$12,"Pre-1990, still listed",IF(AND(U677="",AA677&lt;0),"Past 30-yr mark (verify)",IF(AND(U677="",AA677&lt;=Scoring!$B$5),"30-yr mark: notice window (est.)",IF(AND(O677&gt;=Scoring!$B$7,O677&lt;=Scoring!$B$8),"Year-15 window",IF(O677&gt;=Scoring!$B$9,"Recap window",IF(O677&gt;=11,"Late compliance","Credit period"))))))))))))</f>
        <v>Credit period</v>
      </c>
      <c r="E677" s="15" t="s">
        <v>2357</v>
      </c>
      <c r="F677" s="15" t="s">
        <v>2358</v>
      </c>
      <c r="G677" s="15" t="s">
        <v>2359</v>
      </c>
      <c r="H677" s="15" t="s">
        <v>473</v>
      </c>
      <c r="I677" s="15" t="s">
        <v>510</v>
      </c>
      <c r="J677" s="15" t="n">
        <v>264</v>
      </c>
      <c r="K677" s="15" t="n">
        <v>264</v>
      </c>
      <c r="L677" s="15" t="n">
        <f aca="false">IF(OR(J677="",K677=""),"",MAX(J677-K677,0))</f>
        <v>0</v>
      </c>
      <c r="M677" s="15" t="s">
        <v>99</v>
      </c>
      <c r="N677" s="17" t="n">
        <v>2021</v>
      </c>
      <c r="O677" s="15" t="n">
        <f aca="false">IF(N677="","",Scoring!$B$4-N677)</f>
        <v>5</v>
      </c>
      <c r="P677" s="15" t="n">
        <f aca="false">IF(N677="","",N677+14)</f>
        <v>2035</v>
      </c>
      <c r="Q677" s="15" t="n">
        <f aca="false">IF(N677="","",IF(N677&lt;Scoring!$B$12,"n/a (pre-1990)",N677+Scoring!$B$13))</f>
        <v>2050</v>
      </c>
      <c r="R677" s="15" t="str">
        <f aca="false">IF(J677="","Unknown",IF(J677&gt;=5,"Yes","No (under 5 units)"))</f>
        <v>Yes</v>
      </c>
      <c r="S677" s="15"/>
      <c r="T677" s="18"/>
      <c r="U677" s="19"/>
      <c r="V677" s="18"/>
      <c r="W677" s="18"/>
      <c r="X677" s="20"/>
      <c r="Y677" s="18"/>
      <c r="Z677" s="18"/>
      <c r="AA677" s="21" t="n">
        <f aca="false">IF(U677&lt;&gt;"",(U677-Scoring!$B$3)/365.25,IF(N677="","",IF(N677&lt;Scoring!$B$12,"",(DATE(N677+Scoring!$B$13,12,31)-Scoring!$B$3)/365.25)))</f>
        <v>24.2464065708419</v>
      </c>
      <c r="AB677" s="22" t="n">
        <f aca="false">IF(T677="Y",0,IF(OR(D677="Expired (verified)",D677="Expiring: notice window (verified)",D677="Expiring: 10-yr horizon (verified)",D677="Past 30-yr mark (verify)",D677="30-yr mark: notice window (est.)",D677="Year-15 window"),1,0)+IF(ISNUMBER(O677),IF(O677&gt;=Scoring!$B$10,1,0),0)+IF(AND(ISNUMBER(L677),ISNUMBER(J677)),IF(J677&gt;0,IF(L677/J677&gt;=Scoring!$B$11,1,0),0),0)+IF(ISNUMBER(Z677),MIN(Z677,3),0))</f>
        <v>0</v>
      </c>
      <c r="AC677" s="22" t="n">
        <f aca="false">IF(AB677&gt;=3,Scoring!$C$24,IF(AB677=2,Scoring!$C$23,IF(AB677=1,Scoring!$C$22,0)))</f>
        <v>0</v>
      </c>
      <c r="AD677" s="22" t="n">
        <f aca="false">IF(T677="Y",0,IF(ISNUMBER(X677),IF(X677&gt;0.7,Scoring!$C$25,IF(X677&gt;=0.5,Scoring!$C$26,IF(X677&gt;=0.3,Scoring!$C$27,Scoring!$C$28))),Scoring!$C$29))</f>
        <v>10</v>
      </c>
      <c r="AE677" s="22" t="n">
        <f aca="false">IF(D677="Expiring: notice window (verified)",Scoring!$C$30,IF(OR(D677="Expired (verified)",D677="30-yr mark: notice window (est.)",D677="Year-15 window"),Scoring!$C$31,IF(D677="Expiring: 10-yr horizon (verified)",Scoring!$C$32,IF(D677="Past 30-yr mark (verify)",Scoring!$C$33,IF(OR(D677="Credit period",D677="Superseded record"),Scoring!$C$35,Scoring!$C$34)))))</f>
        <v>0</v>
      </c>
      <c r="AF677" s="22" t="n">
        <f aca="false">IF(T677="Y",0,IF(ISNUMBER(V677),IF(Scoring!$B$4-V677&gt;15,Scoring!$C$36,IF(Scoring!$B$4-V677&gt;=10,Scoring!$C$37,IF(Scoring!$B$4-V677&gt;=5,Scoring!$C$38,Scoring!$C$39))),IF(OR(N677="",D677="Out of program"),Scoring!$C$40,IF(O677&gt;15,Scoring!$C$36,IF(O677&gt;=10,Scoring!$C$37,IF(O677&gt;=5,Scoring!$C$38,Scoring!$C$39))))))</f>
        <v>8</v>
      </c>
      <c r="AG677" s="22" t="n">
        <f aca="false">IF(T677="Y",0,IF(Y677="Y",Scoring!$C$41,IF(ISNUMBER(O677),IF(O677&gt;=25,Scoring!$C$42,IF(O677&gt;=15,Scoring!$C$43,Scoring!$C$44)),Scoring!$C$44)))</f>
        <v>2</v>
      </c>
      <c r="AH677" s="22" t="n">
        <f aca="false">IF(T677="Y",0,IF(W677="",Scoring!$C$49,IFERROR(VLOOKUP(W677,Scoring!$B$45:$C$48,2,FALSE()),Scoring!$C$49)))</f>
        <v>5</v>
      </c>
      <c r="AI677" s="23" t="n">
        <f aca="false">C677+IF(ISNUMBER(J677),J677,0)/100000+(10000-ROW())/1000000000</f>
        <v>25.002649323</v>
      </c>
      <c r="AJ677" s="18"/>
      <c r="AK677" s="18"/>
      <c r="AL677" s="18"/>
      <c r="AM677" s="18"/>
    </row>
    <row r="678" customFormat="false" ht="15" hidden="false" customHeight="false" outlineLevel="0" collapsed="false">
      <c r="A678" s="15" t="n">
        <f aca="false">RANK(AI678,$AI$2:$AI$755)</f>
        <v>677</v>
      </c>
      <c r="B678" s="16" t="str">
        <f aca="false">IF(T678="Y","Superseded",IF(C678&gt;=Scoring!$B$16,"Immediate",IF(C678&gt;=Scoring!$B$17,"This week",IF(C678&gt;=Scoring!$B$18,"Nurture","Low"))))</f>
        <v>Low</v>
      </c>
      <c r="C678" s="3" t="n">
        <f aca="false">SUM(AC678:AH678)</f>
        <v>25</v>
      </c>
      <c r="D678" s="15" t="str">
        <f aca="false">IF(T678="Y","Superseded record",IF(AND(U678&lt;&gt;"",AA678&lt;0),"Expired (verified)",IF(AND(U678&lt;&gt;"",AA678&lt;=Scoring!$B$5),"Expiring: notice window (verified)",IF(AND(U678&lt;&gt;"",AA678&lt;=Scoring!$B$6),"Expiring: 10-yr horizon (verified)",IF(M678="No Longer Monitored","Out of program",IF(N678="","Unknown vintage",IF(N678&lt;Scoring!$B$12,"Pre-1990, still listed",IF(AND(U678="",AA678&lt;0),"Past 30-yr mark (verify)",IF(AND(U678="",AA678&lt;=Scoring!$B$5),"30-yr mark: notice window (est.)",IF(AND(O678&gt;=Scoring!$B$7,O678&lt;=Scoring!$B$8),"Year-15 window",IF(O678&gt;=Scoring!$B$9,"Recap window",IF(O678&gt;=11,"Late compliance","Credit period"))))))))))))</f>
        <v>Credit period</v>
      </c>
      <c r="E678" s="15" t="s">
        <v>2360</v>
      </c>
      <c r="F678" s="15" t="s">
        <v>2361</v>
      </c>
      <c r="G678" s="15" t="s">
        <v>2362</v>
      </c>
      <c r="H678" s="15" t="s">
        <v>455</v>
      </c>
      <c r="I678" s="15" t="s">
        <v>152</v>
      </c>
      <c r="J678" s="15" t="n">
        <v>236</v>
      </c>
      <c r="K678" s="15" t="n">
        <v>236</v>
      </c>
      <c r="L678" s="15" t="n">
        <f aca="false">IF(OR(J678="",K678=""),"",MAX(J678-K678,0))</f>
        <v>0</v>
      </c>
      <c r="M678" s="15" t="s">
        <v>99</v>
      </c>
      <c r="N678" s="17" t="n">
        <v>2018</v>
      </c>
      <c r="O678" s="15" t="n">
        <f aca="false">IF(N678="","",Scoring!$B$4-N678)</f>
        <v>8</v>
      </c>
      <c r="P678" s="15" t="n">
        <f aca="false">IF(N678="","",N678+14)</f>
        <v>2032</v>
      </c>
      <c r="Q678" s="15" t="n">
        <f aca="false">IF(N678="","",IF(N678&lt;Scoring!$B$12,"n/a (pre-1990)",N678+Scoring!$B$13))</f>
        <v>2047</v>
      </c>
      <c r="R678" s="15" t="str">
        <f aca="false">IF(J678="","Unknown",IF(J678&gt;=5,"Yes","No (under 5 units)"))</f>
        <v>Yes</v>
      </c>
      <c r="S678" s="15"/>
      <c r="T678" s="18"/>
      <c r="U678" s="19"/>
      <c r="V678" s="18"/>
      <c r="W678" s="18"/>
      <c r="X678" s="20"/>
      <c r="Y678" s="18"/>
      <c r="Z678" s="18"/>
      <c r="AA678" s="21" t="n">
        <f aca="false">IF(U678&lt;&gt;"",(U678-Scoring!$B$3)/365.25,IF(N678="","",IF(N678&lt;Scoring!$B$12,"",(DATE(N678+Scoring!$B$13,12,31)-Scoring!$B$3)/365.25)))</f>
        <v>21.2457221081451</v>
      </c>
      <c r="AB678" s="22" t="n">
        <f aca="false">IF(T678="Y",0,IF(OR(D678="Expired (verified)",D678="Expiring: notice window (verified)",D678="Expiring: 10-yr horizon (verified)",D678="Past 30-yr mark (verify)",D678="30-yr mark: notice window (est.)",D678="Year-15 window"),1,0)+IF(ISNUMBER(O678),IF(O678&gt;=Scoring!$B$10,1,0),0)+IF(AND(ISNUMBER(L678),ISNUMBER(J678)),IF(J678&gt;0,IF(L678/J678&gt;=Scoring!$B$11,1,0),0),0)+IF(ISNUMBER(Z678),MIN(Z678,3),0))</f>
        <v>0</v>
      </c>
      <c r="AC678" s="22" t="n">
        <f aca="false">IF(AB678&gt;=3,Scoring!$C$24,IF(AB678=2,Scoring!$C$23,IF(AB678=1,Scoring!$C$22,0)))</f>
        <v>0</v>
      </c>
      <c r="AD678" s="22" t="n">
        <f aca="false">IF(T678="Y",0,IF(ISNUMBER(X678),IF(X678&gt;0.7,Scoring!$C$25,IF(X678&gt;=0.5,Scoring!$C$26,IF(X678&gt;=0.3,Scoring!$C$27,Scoring!$C$28))),Scoring!$C$29))</f>
        <v>10</v>
      </c>
      <c r="AE678" s="22" t="n">
        <f aca="false">IF(D678="Expiring: notice window (verified)",Scoring!$C$30,IF(OR(D678="Expired (verified)",D678="30-yr mark: notice window (est.)",D678="Year-15 window"),Scoring!$C$31,IF(D678="Expiring: 10-yr horizon (verified)",Scoring!$C$32,IF(D678="Past 30-yr mark (verify)",Scoring!$C$33,IF(OR(D678="Credit period",D678="Superseded record"),Scoring!$C$35,Scoring!$C$34)))))</f>
        <v>0</v>
      </c>
      <c r="AF678" s="22" t="n">
        <f aca="false">IF(T678="Y",0,IF(ISNUMBER(V678),IF(Scoring!$B$4-V678&gt;15,Scoring!$C$36,IF(Scoring!$B$4-V678&gt;=10,Scoring!$C$37,IF(Scoring!$B$4-V678&gt;=5,Scoring!$C$38,Scoring!$C$39))),IF(OR(N678="",D678="Out of program"),Scoring!$C$40,IF(O678&gt;15,Scoring!$C$36,IF(O678&gt;=10,Scoring!$C$37,IF(O678&gt;=5,Scoring!$C$38,Scoring!$C$39))))))</f>
        <v>8</v>
      </c>
      <c r="AG678" s="22" t="n">
        <f aca="false">IF(T678="Y",0,IF(Y678="Y",Scoring!$C$41,IF(ISNUMBER(O678),IF(O678&gt;=25,Scoring!$C$42,IF(O678&gt;=15,Scoring!$C$43,Scoring!$C$44)),Scoring!$C$44)))</f>
        <v>2</v>
      </c>
      <c r="AH678" s="22" t="n">
        <f aca="false">IF(T678="Y",0,IF(W678="",Scoring!$C$49,IFERROR(VLOOKUP(W678,Scoring!$B$45:$C$48,2,FALSE()),Scoring!$C$49)))</f>
        <v>5</v>
      </c>
      <c r="AI678" s="23" t="n">
        <f aca="false">C678+IF(ISNUMBER(J678),J678,0)/100000+(10000-ROW())/1000000000</f>
        <v>25.002369322</v>
      </c>
      <c r="AJ678" s="18"/>
      <c r="AK678" s="18"/>
      <c r="AL678" s="18"/>
      <c r="AM678" s="18"/>
    </row>
    <row r="679" customFormat="false" ht="15" hidden="false" customHeight="false" outlineLevel="0" collapsed="false">
      <c r="A679" s="15" t="n">
        <f aca="false">RANK(AI679,$AI$2:$AI$755)</f>
        <v>678</v>
      </c>
      <c r="B679" s="16" t="str">
        <f aca="false">IF(T679="Y","Superseded",IF(C679&gt;=Scoring!$B$16,"Immediate",IF(C679&gt;=Scoring!$B$17,"This week",IF(C679&gt;=Scoring!$B$18,"Nurture","Low"))))</f>
        <v>Low</v>
      </c>
      <c r="C679" s="3" t="n">
        <f aca="false">SUM(AC679:AH679)</f>
        <v>25</v>
      </c>
      <c r="D679" s="15" t="str">
        <f aca="false">IF(T679="Y","Superseded record",IF(AND(U679&lt;&gt;"",AA679&lt;0),"Expired (verified)",IF(AND(U679&lt;&gt;"",AA679&lt;=Scoring!$B$5),"Expiring: notice window (verified)",IF(AND(U679&lt;&gt;"",AA679&lt;=Scoring!$B$6),"Expiring: 10-yr horizon (verified)",IF(M679="No Longer Monitored","Out of program",IF(N679="","Unknown vintage",IF(N679&lt;Scoring!$B$12,"Pre-1990, still listed",IF(AND(U679="",AA679&lt;0),"Past 30-yr mark (verify)",IF(AND(U679="",AA679&lt;=Scoring!$B$5),"30-yr mark: notice window (est.)",IF(AND(O679&gt;=Scoring!$B$7,O679&lt;=Scoring!$B$8),"Year-15 window",IF(O679&gt;=Scoring!$B$9,"Recap window",IF(O679&gt;=11,"Late compliance","Credit period"))))))))))))</f>
        <v>Credit period</v>
      </c>
      <c r="E679" s="15" t="s">
        <v>2363</v>
      </c>
      <c r="F679" s="15" t="s">
        <v>2364</v>
      </c>
      <c r="G679" s="15" t="s">
        <v>2365</v>
      </c>
      <c r="H679" s="15" t="s">
        <v>146</v>
      </c>
      <c r="I679" s="15" t="s">
        <v>362</v>
      </c>
      <c r="J679" s="15" t="n">
        <v>224</v>
      </c>
      <c r="K679" s="15" t="n">
        <v>224</v>
      </c>
      <c r="L679" s="15" t="n">
        <f aca="false">IF(OR(J679="",K679=""),"",MAX(J679-K679,0))</f>
        <v>0</v>
      </c>
      <c r="M679" s="15" t="s">
        <v>99</v>
      </c>
      <c r="N679" s="17" t="n">
        <v>2021</v>
      </c>
      <c r="O679" s="15" t="n">
        <f aca="false">IF(N679="","",Scoring!$B$4-N679)</f>
        <v>5</v>
      </c>
      <c r="P679" s="15" t="n">
        <f aca="false">IF(N679="","",N679+14)</f>
        <v>2035</v>
      </c>
      <c r="Q679" s="15" t="n">
        <f aca="false">IF(N679="","",IF(N679&lt;Scoring!$B$12,"n/a (pre-1990)",N679+Scoring!$B$13))</f>
        <v>2050</v>
      </c>
      <c r="R679" s="15" t="str">
        <f aca="false">IF(J679="","Unknown",IF(J679&gt;=5,"Yes","No (under 5 units)"))</f>
        <v>Yes</v>
      </c>
      <c r="S679" s="15"/>
      <c r="T679" s="18"/>
      <c r="U679" s="19"/>
      <c r="V679" s="18"/>
      <c r="W679" s="18"/>
      <c r="X679" s="20"/>
      <c r="Y679" s="18"/>
      <c r="Z679" s="18"/>
      <c r="AA679" s="21" t="n">
        <f aca="false">IF(U679&lt;&gt;"",(U679-Scoring!$B$3)/365.25,IF(N679="","",IF(N679&lt;Scoring!$B$12,"",(DATE(N679+Scoring!$B$13,12,31)-Scoring!$B$3)/365.25)))</f>
        <v>24.2464065708419</v>
      </c>
      <c r="AB679" s="22" t="n">
        <f aca="false">IF(T679="Y",0,IF(OR(D679="Expired (verified)",D679="Expiring: notice window (verified)",D679="Expiring: 10-yr horizon (verified)",D679="Past 30-yr mark (verify)",D679="30-yr mark: notice window (est.)",D679="Year-15 window"),1,0)+IF(ISNUMBER(O679),IF(O679&gt;=Scoring!$B$10,1,0),0)+IF(AND(ISNUMBER(L679),ISNUMBER(J679)),IF(J679&gt;0,IF(L679/J679&gt;=Scoring!$B$11,1,0),0),0)+IF(ISNUMBER(Z679),MIN(Z679,3),0))</f>
        <v>0</v>
      </c>
      <c r="AC679" s="22" t="n">
        <f aca="false">IF(AB679&gt;=3,Scoring!$C$24,IF(AB679=2,Scoring!$C$23,IF(AB679=1,Scoring!$C$22,0)))</f>
        <v>0</v>
      </c>
      <c r="AD679" s="22" t="n">
        <f aca="false">IF(T679="Y",0,IF(ISNUMBER(X679),IF(X679&gt;0.7,Scoring!$C$25,IF(X679&gt;=0.5,Scoring!$C$26,IF(X679&gt;=0.3,Scoring!$C$27,Scoring!$C$28))),Scoring!$C$29))</f>
        <v>10</v>
      </c>
      <c r="AE679" s="22" t="n">
        <f aca="false">IF(D679="Expiring: notice window (verified)",Scoring!$C$30,IF(OR(D679="Expired (verified)",D679="30-yr mark: notice window (est.)",D679="Year-15 window"),Scoring!$C$31,IF(D679="Expiring: 10-yr horizon (verified)",Scoring!$C$32,IF(D679="Past 30-yr mark (verify)",Scoring!$C$33,IF(OR(D679="Credit period",D679="Superseded record"),Scoring!$C$35,Scoring!$C$34)))))</f>
        <v>0</v>
      </c>
      <c r="AF679" s="22" t="n">
        <f aca="false">IF(T679="Y",0,IF(ISNUMBER(V679),IF(Scoring!$B$4-V679&gt;15,Scoring!$C$36,IF(Scoring!$B$4-V679&gt;=10,Scoring!$C$37,IF(Scoring!$B$4-V679&gt;=5,Scoring!$C$38,Scoring!$C$39))),IF(OR(N679="",D679="Out of program"),Scoring!$C$40,IF(O679&gt;15,Scoring!$C$36,IF(O679&gt;=10,Scoring!$C$37,IF(O679&gt;=5,Scoring!$C$38,Scoring!$C$39))))))</f>
        <v>8</v>
      </c>
      <c r="AG679" s="22" t="n">
        <f aca="false">IF(T679="Y",0,IF(Y679="Y",Scoring!$C$41,IF(ISNUMBER(O679),IF(O679&gt;=25,Scoring!$C$42,IF(O679&gt;=15,Scoring!$C$43,Scoring!$C$44)),Scoring!$C$44)))</f>
        <v>2</v>
      </c>
      <c r="AH679" s="22" t="n">
        <f aca="false">IF(T679="Y",0,IF(W679="",Scoring!$C$49,IFERROR(VLOOKUP(W679,Scoring!$B$45:$C$48,2,FALSE()),Scoring!$C$49)))</f>
        <v>5</v>
      </c>
      <c r="AI679" s="23" t="n">
        <f aca="false">C679+IF(ISNUMBER(J679),J679,0)/100000+(10000-ROW())/1000000000</f>
        <v>25.002249321</v>
      </c>
      <c r="AJ679" s="18"/>
      <c r="AK679" s="18"/>
      <c r="AL679" s="18"/>
      <c r="AM679" s="18"/>
    </row>
    <row r="680" customFormat="false" ht="15" hidden="false" customHeight="false" outlineLevel="0" collapsed="false">
      <c r="A680" s="15" t="n">
        <f aca="false">RANK(AI680,$AI$2:$AI$755)</f>
        <v>679</v>
      </c>
      <c r="B680" s="16" t="str">
        <f aca="false">IF(T680="Y","Superseded",IF(C680&gt;=Scoring!$B$16,"Immediate",IF(C680&gt;=Scoring!$B$17,"This week",IF(C680&gt;=Scoring!$B$18,"Nurture","Low"))))</f>
        <v>Low</v>
      </c>
      <c r="C680" s="3" t="n">
        <f aca="false">SUM(AC680:AH680)</f>
        <v>25</v>
      </c>
      <c r="D680" s="15" t="str">
        <f aca="false">IF(T680="Y","Superseded record",IF(AND(U680&lt;&gt;"",AA680&lt;0),"Expired (verified)",IF(AND(U680&lt;&gt;"",AA680&lt;=Scoring!$B$5),"Expiring: notice window (verified)",IF(AND(U680&lt;&gt;"",AA680&lt;=Scoring!$B$6),"Expiring: 10-yr horizon (verified)",IF(M680="No Longer Monitored","Out of program",IF(N680="","Unknown vintage",IF(N680&lt;Scoring!$B$12,"Pre-1990, still listed",IF(AND(U680="",AA680&lt;0),"Past 30-yr mark (verify)",IF(AND(U680="",AA680&lt;=Scoring!$B$5),"30-yr mark: notice window (est.)",IF(AND(O680&gt;=Scoring!$B$7,O680&lt;=Scoring!$B$8),"Year-15 window",IF(O680&gt;=Scoring!$B$9,"Recap window",IF(O680&gt;=11,"Late compliance","Credit period"))))))))))))</f>
        <v>Credit period</v>
      </c>
      <c r="E680" s="15" t="s">
        <v>2366</v>
      </c>
      <c r="F680" s="15" t="s">
        <v>2367</v>
      </c>
      <c r="G680" s="15" t="s">
        <v>2368</v>
      </c>
      <c r="H680" s="15" t="s">
        <v>877</v>
      </c>
      <c r="I680" s="15" t="s">
        <v>878</v>
      </c>
      <c r="J680" s="15" t="n">
        <v>212</v>
      </c>
      <c r="K680" s="15" t="n">
        <v>212</v>
      </c>
      <c r="L680" s="15" t="n">
        <f aca="false">IF(OR(J680="",K680=""),"",MAX(J680-K680,0))</f>
        <v>0</v>
      </c>
      <c r="M680" s="15" t="s">
        <v>99</v>
      </c>
      <c r="N680" s="17" t="n">
        <v>2021</v>
      </c>
      <c r="O680" s="15" t="n">
        <f aca="false">IF(N680="","",Scoring!$B$4-N680)</f>
        <v>5</v>
      </c>
      <c r="P680" s="15" t="n">
        <f aca="false">IF(N680="","",N680+14)</f>
        <v>2035</v>
      </c>
      <c r="Q680" s="15" t="n">
        <f aca="false">IF(N680="","",IF(N680&lt;Scoring!$B$12,"n/a (pre-1990)",N680+Scoring!$B$13))</f>
        <v>2050</v>
      </c>
      <c r="R680" s="15" t="str">
        <f aca="false">IF(J680="","Unknown",IF(J680&gt;=5,"Yes","No (under 5 units)"))</f>
        <v>Yes</v>
      </c>
      <c r="S680" s="15"/>
      <c r="T680" s="18"/>
      <c r="U680" s="19"/>
      <c r="V680" s="18"/>
      <c r="W680" s="18"/>
      <c r="X680" s="20"/>
      <c r="Y680" s="18"/>
      <c r="Z680" s="18"/>
      <c r="AA680" s="21" t="n">
        <f aca="false">IF(U680&lt;&gt;"",(U680-Scoring!$B$3)/365.25,IF(N680="","",IF(N680&lt;Scoring!$B$12,"",(DATE(N680+Scoring!$B$13,12,31)-Scoring!$B$3)/365.25)))</f>
        <v>24.2464065708419</v>
      </c>
      <c r="AB680" s="22" t="n">
        <f aca="false">IF(T680="Y",0,IF(OR(D680="Expired (verified)",D680="Expiring: notice window (verified)",D680="Expiring: 10-yr horizon (verified)",D680="Past 30-yr mark (verify)",D680="30-yr mark: notice window (est.)",D680="Year-15 window"),1,0)+IF(ISNUMBER(O680),IF(O680&gt;=Scoring!$B$10,1,0),0)+IF(AND(ISNUMBER(L680),ISNUMBER(J680)),IF(J680&gt;0,IF(L680/J680&gt;=Scoring!$B$11,1,0),0),0)+IF(ISNUMBER(Z680),MIN(Z680,3),0))</f>
        <v>0</v>
      </c>
      <c r="AC680" s="22" t="n">
        <f aca="false">IF(AB680&gt;=3,Scoring!$C$24,IF(AB680=2,Scoring!$C$23,IF(AB680=1,Scoring!$C$22,0)))</f>
        <v>0</v>
      </c>
      <c r="AD680" s="22" t="n">
        <f aca="false">IF(T680="Y",0,IF(ISNUMBER(X680),IF(X680&gt;0.7,Scoring!$C$25,IF(X680&gt;=0.5,Scoring!$C$26,IF(X680&gt;=0.3,Scoring!$C$27,Scoring!$C$28))),Scoring!$C$29))</f>
        <v>10</v>
      </c>
      <c r="AE680" s="22" t="n">
        <f aca="false">IF(D680="Expiring: notice window (verified)",Scoring!$C$30,IF(OR(D680="Expired (verified)",D680="30-yr mark: notice window (est.)",D680="Year-15 window"),Scoring!$C$31,IF(D680="Expiring: 10-yr horizon (verified)",Scoring!$C$32,IF(D680="Past 30-yr mark (verify)",Scoring!$C$33,IF(OR(D680="Credit period",D680="Superseded record"),Scoring!$C$35,Scoring!$C$34)))))</f>
        <v>0</v>
      </c>
      <c r="AF680" s="22" t="n">
        <f aca="false">IF(T680="Y",0,IF(ISNUMBER(V680),IF(Scoring!$B$4-V680&gt;15,Scoring!$C$36,IF(Scoring!$B$4-V680&gt;=10,Scoring!$C$37,IF(Scoring!$B$4-V680&gt;=5,Scoring!$C$38,Scoring!$C$39))),IF(OR(N680="",D680="Out of program"),Scoring!$C$40,IF(O680&gt;15,Scoring!$C$36,IF(O680&gt;=10,Scoring!$C$37,IF(O680&gt;=5,Scoring!$C$38,Scoring!$C$39))))))</f>
        <v>8</v>
      </c>
      <c r="AG680" s="22" t="n">
        <f aca="false">IF(T680="Y",0,IF(Y680="Y",Scoring!$C$41,IF(ISNUMBER(O680),IF(O680&gt;=25,Scoring!$C$42,IF(O680&gt;=15,Scoring!$C$43,Scoring!$C$44)),Scoring!$C$44)))</f>
        <v>2</v>
      </c>
      <c r="AH680" s="22" t="n">
        <f aca="false">IF(T680="Y",0,IF(W680="",Scoring!$C$49,IFERROR(VLOOKUP(W680,Scoring!$B$45:$C$48,2,FALSE()),Scoring!$C$49)))</f>
        <v>5</v>
      </c>
      <c r="AI680" s="23" t="n">
        <f aca="false">C680+IF(ISNUMBER(J680),J680,0)/100000+(10000-ROW())/1000000000</f>
        <v>25.00212932</v>
      </c>
      <c r="AJ680" s="18"/>
      <c r="AK680" s="18"/>
      <c r="AL680" s="18"/>
      <c r="AM680" s="18"/>
    </row>
    <row r="681" customFormat="false" ht="15" hidden="false" customHeight="false" outlineLevel="0" collapsed="false">
      <c r="A681" s="15" t="n">
        <f aca="false">RANK(AI681,$AI$2:$AI$755)</f>
        <v>680</v>
      </c>
      <c r="B681" s="16" t="str">
        <f aca="false">IF(T681="Y","Superseded",IF(C681&gt;=Scoring!$B$16,"Immediate",IF(C681&gt;=Scoring!$B$17,"This week",IF(C681&gt;=Scoring!$B$18,"Nurture","Low"))))</f>
        <v>Low</v>
      </c>
      <c r="C681" s="3" t="n">
        <f aca="false">SUM(AC681:AH681)</f>
        <v>25</v>
      </c>
      <c r="D681" s="15" t="str">
        <f aca="false">IF(T681="Y","Superseded record",IF(AND(U681&lt;&gt;"",AA681&lt;0),"Expired (verified)",IF(AND(U681&lt;&gt;"",AA681&lt;=Scoring!$B$5),"Expiring: notice window (verified)",IF(AND(U681&lt;&gt;"",AA681&lt;=Scoring!$B$6),"Expiring: 10-yr horizon (verified)",IF(M681="No Longer Monitored","Out of program",IF(N681="","Unknown vintage",IF(N681&lt;Scoring!$B$12,"Pre-1990, still listed",IF(AND(U681="",AA681&lt;0),"Past 30-yr mark (verify)",IF(AND(U681="",AA681&lt;=Scoring!$B$5),"30-yr mark: notice window (est.)",IF(AND(O681&gt;=Scoring!$B$7,O681&lt;=Scoring!$B$8),"Year-15 window",IF(O681&gt;=Scoring!$B$9,"Recap window",IF(O681&gt;=11,"Late compliance","Credit period"))))))))))))</f>
        <v>Credit period</v>
      </c>
      <c r="E681" s="15" t="s">
        <v>2369</v>
      </c>
      <c r="F681" s="15" t="s">
        <v>2370</v>
      </c>
      <c r="G681" s="15" t="s">
        <v>2371</v>
      </c>
      <c r="H681" s="15" t="s">
        <v>107</v>
      </c>
      <c r="I681" s="15" t="s">
        <v>594</v>
      </c>
      <c r="J681" s="15" t="n">
        <v>180</v>
      </c>
      <c r="K681" s="15" t="n">
        <v>177</v>
      </c>
      <c r="L681" s="15" t="n">
        <f aca="false">IF(OR(J681="",K681=""),"",MAX(J681-K681,0))</f>
        <v>3</v>
      </c>
      <c r="M681" s="15" t="s">
        <v>99</v>
      </c>
      <c r="N681" s="17" t="n">
        <v>2019</v>
      </c>
      <c r="O681" s="15" t="n">
        <f aca="false">IF(N681="","",Scoring!$B$4-N681)</f>
        <v>7</v>
      </c>
      <c r="P681" s="15" t="n">
        <f aca="false">IF(N681="","",N681+14)</f>
        <v>2033</v>
      </c>
      <c r="Q681" s="15" t="n">
        <f aca="false">IF(N681="","",IF(N681&lt;Scoring!$B$12,"n/a (pre-1990)",N681+Scoring!$B$13))</f>
        <v>2048</v>
      </c>
      <c r="R681" s="15" t="str">
        <f aca="false">IF(J681="","Unknown",IF(J681&gt;=5,"Yes","No (under 5 units)"))</f>
        <v>Yes</v>
      </c>
      <c r="S681" s="15"/>
      <c r="T681" s="18"/>
      <c r="U681" s="19"/>
      <c r="V681" s="18"/>
      <c r="W681" s="18"/>
      <c r="X681" s="20"/>
      <c r="Y681" s="18"/>
      <c r="Z681" s="18"/>
      <c r="AA681" s="21" t="n">
        <f aca="false">IF(U681&lt;&gt;"",(U681-Scoring!$B$3)/365.25,IF(N681="","",IF(N681&lt;Scoring!$B$12,"",(DATE(N681+Scoring!$B$13,12,31)-Scoring!$B$3)/365.25)))</f>
        <v>22.2477754962355</v>
      </c>
      <c r="AB681" s="22" t="n">
        <f aca="false">IF(T681="Y",0,IF(OR(D681="Expired (verified)",D681="Expiring: notice window (verified)",D681="Expiring: 10-yr horizon (verified)",D681="Past 30-yr mark (verify)",D681="30-yr mark: notice window (est.)",D681="Year-15 window"),1,0)+IF(ISNUMBER(O681),IF(O681&gt;=Scoring!$B$10,1,0),0)+IF(AND(ISNUMBER(L681),ISNUMBER(J681)),IF(J681&gt;0,IF(L681/J681&gt;=Scoring!$B$11,1,0),0),0)+IF(ISNUMBER(Z681),MIN(Z681,3),0))</f>
        <v>0</v>
      </c>
      <c r="AC681" s="22" t="n">
        <f aca="false">IF(AB681&gt;=3,Scoring!$C$24,IF(AB681=2,Scoring!$C$23,IF(AB681=1,Scoring!$C$22,0)))</f>
        <v>0</v>
      </c>
      <c r="AD681" s="22" t="n">
        <f aca="false">IF(T681="Y",0,IF(ISNUMBER(X681),IF(X681&gt;0.7,Scoring!$C$25,IF(X681&gt;=0.5,Scoring!$C$26,IF(X681&gt;=0.3,Scoring!$C$27,Scoring!$C$28))),Scoring!$C$29))</f>
        <v>10</v>
      </c>
      <c r="AE681" s="22" t="n">
        <f aca="false">IF(D681="Expiring: notice window (verified)",Scoring!$C$30,IF(OR(D681="Expired (verified)",D681="30-yr mark: notice window (est.)",D681="Year-15 window"),Scoring!$C$31,IF(D681="Expiring: 10-yr horizon (verified)",Scoring!$C$32,IF(D681="Past 30-yr mark (verify)",Scoring!$C$33,IF(OR(D681="Credit period",D681="Superseded record"),Scoring!$C$35,Scoring!$C$34)))))</f>
        <v>0</v>
      </c>
      <c r="AF681" s="22" t="n">
        <f aca="false">IF(T681="Y",0,IF(ISNUMBER(V681),IF(Scoring!$B$4-V681&gt;15,Scoring!$C$36,IF(Scoring!$B$4-V681&gt;=10,Scoring!$C$37,IF(Scoring!$B$4-V681&gt;=5,Scoring!$C$38,Scoring!$C$39))),IF(OR(N681="",D681="Out of program"),Scoring!$C$40,IF(O681&gt;15,Scoring!$C$36,IF(O681&gt;=10,Scoring!$C$37,IF(O681&gt;=5,Scoring!$C$38,Scoring!$C$39))))))</f>
        <v>8</v>
      </c>
      <c r="AG681" s="22" t="n">
        <f aca="false">IF(T681="Y",0,IF(Y681="Y",Scoring!$C$41,IF(ISNUMBER(O681),IF(O681&gt;=25,Scoring!$C$42,IF(O681&gt;=15,Scoring!$C$43,Scoring!$C$44)),Scoring!$C$44)))</f>
        <v>2</v>
      </c>
      <c r="AH681" s="22" t="n">
        <f aca="false">IF(T681="Y",0,IF(W681="",Scoring!$C$49,IFERROR(VLOOKUP(W681,Scoring!$B$45:$C$48,2,FALSE()),Scoring!$C$49)))</f>
        <v>5</v>
      </c>
      <c r="AI681" s="23" t="n">
        <f aca="false">C681+IF(ISNUMBER(J681),J681,0)/100000+(10000-ROW())/1000000000</f>
        <v>25.001809319</v>
      </c>
      <c r="AJ681" s="18"/>
      <c r="AK681" s="18"/>
      <c r="AL681" s="18"/>
      <c r="AM681" s="18"/>
    </row>
    <row r="682" customFormat="false" ht="15" hidden="false" customHeight="false" outlineLevel="0" collapsed="false">
      <c r="A682" s="15" t="n">
        <f aca="false">RANK(AI682,$AI$2:$AI$755)</f>
        <v>681</v>
      </c>
      <c r="B682" s="16" t="str">
        <f aca="false">IF(T682="Y","Superseded",IF(C682&gt;=Scoring!$B$16,"Immediate",IF(C682&gt;=Scoring!$B$17,"This week",IF(C682&gt;=Scoring!$B$18,"Nurture","Low"))))</f>
        <v>Low</v>
      </c>
      <c r="C682" s="3" t="n">
        <f aca="false">SUM(AC682:AH682)</f>
        <v>25</v>
      </c>
      <c r="D682" s="15" t="str">
        <f aca="false">IF(T682="Y","Superseded record",IF(AND(U682&lt;&gt;"",AA682&lt;0),"Expired (verified)",IF(AND(U682&lt;&gt;"",AA682&lt;=Scoring!$B$5),"Expiring: notice window (verified)",IF(AND(U682&lt;&gt;"",AA682&lt;=Scoring!$B$6),"Expiring: 10-yr horizon (verified)",IF(M682="No Longer Monitored","Out of program",IF(N682="","Unknown vintage",IF(N682&lt;Scoring!$B$12,"Pre-1990, still listed",IF(AND(U682="",AA682&lt;0),"Past 30-yr mark (verify)",IF(AND(U682="",AA682&lt;=Scoring!$B$5),"30-yr mark: notice window (est.)",IF(AND(O682&gt;=Scoring!$B$7,O682&lt;=Scoring!$B$8),"Year-15 window",IF(O682&gt;=Scoring!$B$9,"Recap window",IF(O682&gt;=11,"Late compliance","Credit period"))))))))))))</f>
        <v>Credit period</v>
      </c>
      <c r="E682" s="15" t="s">
        <v>2372</v>
      </c>
      <c r="F682" s="15" t="s">
        <v>2373</v>
      </c>
      <c r="G682" s="15" t="s">
        <v>2374</v>
      </c>
      <c r="H682" s="15" t="s">
        <v>97</v>
      </c>
      <c r="I682" s="15" t="s">
        <v>245</v>
      </c>
      <c r="J682" s="15" t="n">
        <v>172</v>
      </c>
      <c r="K682" s="15" t="n">
        <v>172</v>
      </c>
      <c r="L682" s="15" t="n">
        <f aca="false">IF(OR(J682="",K682=""),"",MAX(J682-K682,0))</f>
        <v>0</v>
      </c>
      <c r="M682" s="15" t="s">
        <v>99</v>
      </c>
      <c r="N682" s="17" t="n">
        <v>2018</v>
      </c>
      <c r="O682" s="15" t="n">
        <f aca="false">IF(N682="","",Scoring!$B$4-N682)</f>
        <v>8</v>
      </c>
      <c r="P682" s="15" t="n">
        <f aca="false">IF(N682="","",N682+14)</f>
        <v>2032</v>
      </c>
      <c r="Q682" s="15" t="n">
        <f aca="false">IF(N682="","",IF(N682&lt;Scoring!$B$12,"n/a (pre-1990)",N682+Scoring!$B$13))</f>
        <v>2047</v>
      </c>
      <c r="R682" s="15" t="str">
        <f aca="false">IF(J682="","Unknown",IF(J682&gt;=5,"Yes","No (under 5 units)"))</f>
        <v>Yes</v>
      </c>
      <c r="S682" s="15"/>
      <c r="T682" s="18"/>
      <c r="U682" s="19"/>
      <c r="V682" s="18"/>
      <c r="W682" s="18"/>
      <c r="X682" s="20"/>
      <c r="Y682" s="18"/>
      <c r="Z682" s="18"/>
      <c r="AA682" s="21" t="n">
        <f aca="false">IF(U682&lt;&gt;"",(U682-Scoring!$B$3)/365.25,IF(N682="","",IF(N682&lt;Scoring!$B$12,"",(DATE(N682+Scoring!$B$13,12,31)-Scoring!$B$3)/365.25)))</f>
        <v>21.2457221081451</v>
      </c>
      <c r="AB682" s="22" t="n">
        <f aca="false">IF(T682="Y",0,IF(OR(D682="Expired (verified)",D682="Expiring: notice window (verified)",D682="Expiring: 10-yr horizon (verified)",D682="Past 30-yr mark (verify)",D682="30-yr mark: notice window (est.)",D682="Year-15 window"),1,0)+IF(ISNUMBER(O682),IF(O682&gt;=Scoring!$B$10,1,0),0)+IF(AND(ISNUMBER(L682),ISNUMBER(J682)),IF(J682&gt;0,IF(L682/J682&gt;=Scoring!$B$11,1,0),0),0)+IF(ISNUMBER(Z682),MIN(Z682,3),0))</f>
        <v>0</v>
      </c>
      <c r="AC682" s="22" t="n">
        <f aca="false">IF(AB682&gt;=3,Scoring!$C$24,IF(AB682=2,Scoring!$C$23,IF(AB682=1,Scoring!$C$22,0)))</f>
        <v>0</v>
      </c>
      <c r="AD682" s="22" t="n">
        <f aca="false">IF(T682="Y",0,IF(ISNUMBER(X682),IF(X682&gt;0.7,Scoring!$C$25,IF(X682&gt;=0.5,Scoring!$C$26,IF(X682&gt;=0.3,Scoring!$C$27,Scoring!$C$28))),Scoring!$C$29))</f>
        <v>10</v>
      </c>
      <c r="AE682" s="22" t="n">
        <f aca="false">IF(D682="Expiring: notice window (verified)",Scoring!$C$30,IF(OR(D682="Expired (verified)",D682="30-yr mark: notice window (est.)",D682="Year-15 window"),Scoring!$C$31,IF(D682="Expiring: 10-yr horizon (verified)",Scoring!$C$32,IF(D682="Past 30-yr mark (verify)",Scoring!$C$33,IF(OR(D682="Credit period",D682="Superseded record"),Scoring!$C$35,Scoring!$C$34)))))</f>
        <v>0</v>
      </c>
      <c r="AF682" s="22" t="n">
        <f aca="false">IF(T682="Y",0,IF(ISNUMBER(V682),IF(Scoring!$B$4-V682&gt;15,Scoring!$C$36,IF(Scoring!$B$4-V682&gt;=10,Scoring!$C$37,IF(Scoring!$B$4-V682&gt;=5,Scoring!$C$38,Scoring!$C$39))),IF(OR(N682="",D682="Out of program"),Scoring!$C$40,IF(O682&gt;15,Scoring!$C$36,IF(O682&gt;=10,Scoring!$C$37,IF(O682&gt;=5,Scoring!$C$38,Scoring!$C$39))))))</f>
        <v>8</v>
      </c>
      <c r="AG682" s="22" t="n">
        <f aca="false">IF(T682="Y",0,IF(Y682="Y",Scoring!$C$41,IF(ISNUMBER(O682),IF(O682&gt;=25,Scoring!$C$42,IF(O682&gt;=15,Scoring!$C$43,Scoring!$C$44)),Scoring!$C$44)))</f>
        <v>2</v>
      </c>
      <c r="AH682" s="22" t="n">
        <f aca="false">IF(T682="Y",0,IF(W682="",Scoring!$C$49,IFERROR(VLOOKUP(W682,Scoring!$B$45:$C$48,2,FALSE()),Scoring!$C$49)))</f>
        <v>5</v>
      </c>
      <c r="AI682" s="23" t="n">
        <f aca="false">C682+IF(ISNUMBER(J682),J682,0)/100000+(10000-ROW())/1000000000</f>
        <v>25.001729318</v>
      </c>
      <c r="AJ682" s="18"/>
      <c r="AK682" s="18"/>
      <c r="AL682" s="18"/>
      <c r="AM682" s="18"/>
    </row>
    <row r="683" customFormat="false" ht="15" hidden="false" customHeight="false" outlineLevel="0" collapsed="false">
      <c r="A683" s="15" t="n">
        <f aca="false">RANK(AI683,$AI$2:$AI$755)</f>
        <v>682</v>
      </c>
      <c r="B683" s="16" t="str">
        <f aca="false">IF(T683="Y","Superseded",IF(C683&gt;=Scoring!$B$16,"Immediate",IF(C683&gt;=Scoring!$B$17,"This week",IF(C683&gt;=Scoring!$B$18,"Nurture","Low"))))</f>
        <v>Low</v>
      </c>
      <c r="C683" s="3" t="n">
        <f aca="false">SUM(AC683:AH683)</f>
        <v>25</v>
      </c>
      <c r="D683" s="15" t="str">
        <f aca="false">IF(T683="Y","Superseded record",IF(AND(U683&lt;&gt;"",AA683&lt;0),"Expired (verified)",IF(AND(U683&lt;&gt;"",AA683&lt;=Scoring!$B$5),"Expiring: notice window (verified)",IF(AND(U683&lt;&gt;"",AA683&lt;=Scoring!$B$6),"Expiring: 10-yr horizon (verified)",IF(M683="No Longer Monitored","Out of program",IF(N683="","Unknown vintage",IF(N683&lt;Scoring!$B$12,"Pre-1990, still listed",IF(AND(U683="",AA683&lt;0),"Past 30-yr mark (verify)",IF(AND(U683="",AA683&lt;=Scoring!$B$5),"30-yr mark: notice window (est.)",IF(AND(O683&gt;=Scoring!$B$7,O683&lt;=Scoring!$B$8),"Year-15 window",IF(O683&gt;=Scoring!$B$9,"Recap window",IF(O683&gt;=11,"Late compliance","Credit period"))))))))))))</f>
        <v>Credit period</v>
      </c>
      <c r="E683" s="15" t="s">
        <v>2375</v>
      </c>
      <c r="F683" s="15" t="s">
        <v>2376</v>
      </c>
      <c r="G683" s="15" t="s">
        <v>2377</v>
      </c>
      <c r="H683" s="15" t="s">
        <v>97</v>
      </c>
      <c r="I683" s="15" t="s">
        <v>362</v>
      </c>
      <c r="J683" s="15" t="n">
        <v>153</v>
      </c>
      <c r="K683" s="15" t="n">
        <v>153</v>
      </c>
      <c r="L683" s="15" t="n">
        <f aca="false">IF(OR(J683="",K683=""),"",MAX(J683-K683,0))</f>
        <v>0</v>
      </c>
      <c r="M683" s="15" t="s">
        <v>99</v>
      </c>
      <c r="N683" s="17" t="n">
        <v>2018</v>
      </c>
      <c r="O683" s="15" t="n">
        <f aca="false">IF(N683="","",Scoring!$B$4-N683)</f>
        <v>8</v>
      </c>
      <c r="P683" s="15" t="n">
        <f aca="false">IF(N683="","",N683+14)</f>
        <v>2032</v>
      </c>
      <c r="Q683" s="15" t="n">
        <f aca="false">IF(N683="","",IF(N683&lt;Scoring!$B$12,"n/a (pre-1990)",N683+Scoring!$B$13))</f>
        <v>2047</v>
      </c>
      <c r="R683" s="15" t="str">
        <f aca="false">IF(J683="","Unknown",IF(J683&gt;=5,"Yes","No (under 5 units)"))</f>
        <v>Yes</v>
      </c>
      <c r="S683" s="15"/>
      <c r="T683" s="18"/>
      <c r="U683" s="19"/>
      <c r="V683" s="18"/>
      <c r="W683" s="18"/>
      <c r="X683" s="20"/>
      <c r="Y683" s="18"/>
      <c r="Z683" s="18"/>
      <c r="AA683" s="21" t="n">
        <f aca="false">IF(U683&lt;&gt;"",(U683-Scoring!$B$3)/365.25,IF(N683="","",IF(N683&lt;Scoring!$B$12,"",(DATE(N683+Scoring!$B$13,12,31)-Scoring!$B$3)/365.25)))</f>
        <v>21.2457221081451</v>
      </c>
      <c r="AB683" s="22" t="n">
        <f aca="false">IF(T683="Y",0,IF(OR(D683="Expired (verified)",D683="Expiring: notice window (verified)",D683="Expiring: 10-yr horizon (verified)",D683="Past 30-yr mark (verify)",D683="30-yr mark: notice window (est.)",D683="Year-15 window"),1,0)+IF(ISNUMBER(O683),IF(O683&gt;=Scoring!$B$10,1,0),0)+IF(AND(ISNUMBER(L683),ISNUMBER(J683)),IF(J683&gt;0,IF(L683/J683&gt;=Scoring!$B$11,1,0),0),0)+IF(ISNUMBER(Z683),MIN(Z683,3),0))</f>
        <v>0</v>
      </c>
      <c r="AC683" s="22" t="n">
        <f aca="false">IF(AB683&gt;=3,Scoring!$C$24,IF(AB683=2,Scoring!$C$23,IF(AB683=1,Scoring!$C$22,0)))</f>
        <v>0</v>
      </c>
      <c r="AD683" s="22" t="n">
        <f aca="false">IF(T683="Y",0,IF(ISNUMBER(X683),IF(X683&gt;0.7,Scoring!$C$25,IF(X683&gt;=0.5,Scoring!$C$26,IF(X683&gt;=0.3,Scoring!$C$27,Scoring!$C$28))),Scoring!$C$29))</f>
        <v>10</v>
      </c>
      <c r="AE683" s="22" t="n">
        <f aca="false">IF(D683="Expiring: notice window (verified)",Scoring!$C$30,IF(OR(D683="Expired (verified)",D683="30-yr mark: notice window (est.)",D683="Year-15 window"),Scoring!$C$31,IF(D683="Expiring: 10-yr horizon (verified)",Scoring!$C$32,IF(D683="Past 30-yr mark (verify)",Scoring!$C$33,IF(OR(D683="Credit period",D683="Superseded record"),Scoring!$C$35,Scoring!$C$34)))))</f>
        <v>0</v>
      </c>
      <c r="AF683" s="22" t="n">
        <f aca="false">IF(T683="Y",0,IF(ISNUMBER(V683),IF(Scoring!$B$4-V683&gt;15,Scoring!$C$36,IF(Scoring!$B$4-V683&gt;=10,Scoring!$C$37,IF(Scoring!$B$4-V683&gt;=5,Scoring!$C$38,Scoring!$C$39))),IF(OR(N683="",D683="Out of program"),Scoring!$C$40,IF(O683&gt;15,Scoring!$C$36,IF(O683&gt;=10,Scoring!$C$37,IF(O683&gt;=5,Scoring!$C$38,Scoring!$C$39))))))</f>
        <v>8</v>
      </c>
      <c r="AG683" s="22" t="n">
        <f aca="false">IF(T683="Y",0,IF(Y683="Y",Scoring!$C$41,IF(ISNUMBER(O683),IF(O683&gt;=25,Scoring!$C$42,IF(O683&gt;=15,Scoring!$C$43,Scoring!$C$44)),Scoring!$C$44)))</f>
        <v>2</v>
      </c>
      <c r="AH683" s="22" t="n">
        <f aca="false">IF(T683="Y",0,IF(W683="",Scoring!$C$49,IFERROR(VLOOKUP(W683,Scoring!$B$45:$C$48,2,FALSE()),Scoring!$C$49)))</f>
        <v>5</v>
      </c>
      <c r="AI683" s="23" t="n">
        <f aca="false">C683+IF(ISNUMBER(J683),J683,0)/100000+(10000-ROW())/1000000000</f>
        <v>25.001539317</v>
      </c>
      <c r="AJ683" s="18"/>
      <c r="AK683" s="18"/>
      <c r="AL683" s="18"/>
      <c r="AM683" s="18"/>
    </row>
    <row r="684" customFormat="false" ht="15" hidden="false" customHeight="false" outlineLevel="0" collapsed="false">
      <c r="A684" s="15" t="n">
        <f aca="false">RANK(AI684,$AI$2:$AI$755)</f>
        <v>683</v>
      </c>
      <c r="B684" s="16" t="str">
        <f aca="false">IF(T684="Y","Superseded",IF(C684&gt;=Scoring!$B$16,"Immediate",IF(C684&gt;=Scoring!$B$17,"This week",IF(C684&gt;=Scoring!$B$18,"Nurture","Low"))))</f>
        <v>Low</v>
      </c>
      <c r="C684" s="3" t="n">
        <f aca="false">SUM(AC684:AH684)</f>
        <v>25</v>
      </c>
      <c r="D684" s="15" t="str">
        <f aca="false">IF(T684="Y","Superseded record",IF(AND(U684&lt;&gt;"",AA684&lt;0),"Expired (verified)",IF(AND(U684&lt;&gt;"",AA684&lt;=Scoring!$B$5),"Expiring: notice window (verified)",IF(AND(U684&lt;&gt;"",AA684&lt;=Scoring!$B$6),"Expiring: 10-yr horizon (verified)",IF(M684="No Longer Monitored","Out of program",IF(N684="","Unknown vintage",IF(N684&lt;Scoring!$B$12,"Pre-1990, still listed",IF(AND(U684="",AA684&lt;0),"Past 30-yr mark (verify)",IF(AND(U684="",AA684&lt;=Scoring!$B$5),"30-yr mark: notice window (est.)",IF(AND(O684&gt;=Scoring!$B$7,O684&lt;=Scoring!$B$8),"Year-15 window",IF(O684&gt;=Scoring!$B$9,"Recap window",IF(O684&gt;=11,"Late compliance","Credit period"))))))))))))</f>
        <v>Credit period</v>
      </c>
      <c r="E684" s="15" t="s">
        <v>2378</v>
      </c>
      <c r="F684" s="15" t="s">
        <v>2379</v>
      </c>
      <c r="G684" s="15" t="s">
        <v>2380</v>
      </c>
      <c r="H684" s="15" t="s">
        <v>97</v>
      </c>
      <c r="I684" s="15" t="s">
        <v>260</v>
      </c>
      <c r="J684" s="15" t="n">
        <v>126</v>
      </c>
      <c r="K684" s="15" t="n">
        <v>126</v>
      </c>
      <c r="L684" s="15" t="n">
        <f aca="false">IF(OR(J684="",K684=""),"",MAX(J684-K684,0))</f>
        <v>0</v>
      </c>
      <c r="M684" s="15" t="s">
        <v>99</v>
      </c>
      <c r="N684" s="17" t="n">
        <v>2018</v>
      </c>
      <c r="O684" s="15" t="n">
        <f aca="false">IF(N684="","",Scoring!$B$4-N684)</f>
        <v>8</v>
      </c>
      <c r="P684" s="15" t="n">
        <f aca="false">IF(N684="","",N684+14)</f>
        <v>2032</v>
      </c>
      <c r="Q684" s="15" t="n">
        <f aca="false">IF(N684="","",IF(N684&lt;Scoring!$B$12,"n/a (pre-1990)",N684+Scoring!$B$13))</f>
        <v>2047</v>
      </c>
      <c r="R684" s="15" t="str">
        <f aca="false">IF(J684="","Unknown",IF(J684&gt;=5,"Yes","No (under 5 units)"))</f>
        <v>Yes</v>
      </c>
      <c r="S684" s="15"/>
      <c r="T684" s="18"/>
      <c r="U684" s="19"/>
      <c r="V684" s="18"/>
      <c r="W684" s="18"/>
      <c r="X684" s="20"/>
      <c r="Y684" s="18"/>
      <c r="Z684" s="18"/>
      <c r="AA684" s="21" t="n">
        <f aca="false">IF(U684&lt;&gt;"",(U684-Scoring!$B$3)/365.25,IF(N684="","",IF(N684&lt;Scoring!$B$12,"",(DATE(N684+Scoring!$B$13,12,31)-Scoring!$B$3)/365.25)))</f>
        <v>21.2457221081451</v>
      </c>
      <c r="AB684" s="22" t="n">
        <f aca="false">IF(T684="Y",0,IF(OR(D684="Expired (verified)",D684="Expiring: notice window (verified)",D684="Expiring: 10-yr horizon (verified)",D684="Past 30-yr mark (verify)",D684="30-yr mark: notice window (est.)",D684="Year-15 window"),1,0)+IF(ISNUMBER(O684),IF(O684&gt;=Scoring!$B$10,1,0),0)+IF(AND(ISNUMBER(L684),ISNUMBER(J684)),IF(J684&gt;0,IF(L684/J684&gt;=Scoring!$B$11,1,0),0),0)+IF(ISNUMBER(Z684),MIN(Z684,3),0))</f>
        <v>0</v>
      </c>
      <c r="AC684" s="22" t="n">
        <f aca="false">IF(AB684&gt;=3,Scoring!$C$24,IF(AB684=2,Scoring!$C$23,IF(AB684=1,Scoring!$C$22,0)))</f>
        <v>0</v>
      </c>
      <c r="AD684" s="22" t="n">
        <f aca="false">IF(T684="Y",0,IF(ISNUMBER(X684),IF(X684&gt;0.7,Scoring!$C$25,IF(X684&gt;=0.5,Scoring!$C$26,IF(X684&gt;=0.3,Scoring!$C$27,Scoring!$C$28))),Scoring!$C$29))</f>
        <v>10</v>
      </c>
      <c r="AE684" s="22" t="n">
        <f aca="false">IF(D684="Expiring: notice window (verified)",Scoring!$C$30,IF(OR(D684="Expired (verified)",D684="30-yr mark: notice window (est.)",D684="Year-15 window"),Scoring!$C$31,IF(D684="Expiring: 10-yr horizon (verified)",Scoring!$C$32,IF(D684="Past 30-yr mark (verify)",Scoring!$C$33,IF(OR(D684="Credit period",D684="Superseded record"),Scoring!$C$35,Scoring!$C$34)))))</f>
        <v>0</v>
      </c>
      <c r="AF684" s="22" t="n">
        <f aca="false">IF(T684="Y",0,IF(ISNUMBER(V684),IF(Scoring!$B$4-V684&gt;15,Scoring!$C$36,IF(Scoring!$B$4-V684&gt;=10,Scoring!$C$37,IF(Scoring!$B$4-V684&gt;=5,Scoring!$C$38,Scoring!$C$39))),IF(OR(N684="",D684="Out of program"),Scoring!$C$40,IF(O684&gt;15,Scoring!$C$36,IF(O684&gt;=10,Scoring!$C$37,IF(O684&gt;=5,Scoring!$C$38,Scoring!$C$39))))))</f>
        <v>8</v>
      </c>
      <c r="AG684" s="22" t="n">
        <f aca="false">IF(T684="Y",0,IF(Y684="Y",Scoring!$C$41,IF(ISNUMBER(O684),IF(O684&gt;=25,Scoring!$C$42,IF(O684&gt;=15,Scoring!$C$43,Scoring!$C$44)),Scoring!$C$44)))</f>
        <v>2</v>
      </c>
      <c r="AH684" s="22" t="n">
        <f aca="false">IF(T684="Y",0,IF(W684="",Scoring!$C$49,IFERROR(VLOOKUP(W684,Scoring!$B$45:$C$48,2,FALSE()),Scoring!$C$49)))</f>
        <v>5</v>
      </c>
      <c r="AI684" s="23" t="n">
        <f aca="false">C684+IF(ISNUMBER(J684),J684,0)/100000+(10000-ROW())/1000000000</f>
        <v>25.001269316</v>
      </c>
      <c r="AJ684" s="18"/>
      <c r="AK684" s="18"/>
      <c r="AL684" s="18"/>
      <c r="AM684" s="18"/>
    </row>
    <row r="685" customFormat="false" ht="15" hidden="false" customHeight="false" outlineLevel="0" collapsed="false">
      <c r="A685" s="15" t="n">
        <f aca="false">RANK(AI685,$AI$2:$AI$755)</f>
        <v>684</v>
      </c>
      <c r="B685" s="16" t="str">
        <f aca="false">IF(T685="Y","Superseded",IF(C685&gt;=Scoring!$B$16,"Immediate",IF(C685&gt;=Scoring!$B$17,"This week",IF(C685&gt;=Scoring!$B$18,"Nurture","Low"))))</f>
        <v>Low</v>
      </c>
      <c r="C685" s="3" t="n">
        <f aca="false">SUM(AC685:AH685)</f>
        <v>25</v>
      </c>
      <c r="D685" s="15" t="str">
        <f aca="false">IF(T685="Y","Superseded record",IF(AND(U685&lt;&gt;"",AA685&lt;0),"Expired (verified)",IF(AND(U685&lt;&gt;"",AA685&lt;=Scoring!$B$5),"Expiring: notice window (verified)",IF(AND(U685&lt;&gt;"",AA685&lt;=Scoring!$B$6),"Expiring: 10-yr horizon (verified)",IF(M685="No Longer Monitored","Out of program",IF(N685="","Unknown vintage",IF(N685&lt;Scoring!$B$12,"Pre-1990, still listed",IF(AND(U685="",AA685&lt;0),"Past 30-yr mark (verify)",IF(AND(U685="",AA685&lt;=Scoring!$B$5),"30-yr mark: notice window (est.)",IF(AND(O685&gt;=Scoring!$B$7,O685&lt;=Scoring!$B$8),"Year-15 window",IF(O685&gt;=Scoring!$B$9,"Recap window",IF(O685&gt;=11,"Late compliance","Credit period"))))))))))))</f>
        <v>Credit period</v>
      </c>
      <c r="E685" s="15" t="s">
        <v>2381</v>
      </c>
      <c r="F685" s="15" t="s">
        <v>2382</v>
      </c>
      <c r="G685" s="15" t="s">
        <v>2383</v>
      </c>
      <c r="H685" s="15" t="s">
        <v>287</v>
      </c>
      <c r="I685" s="15" t="s">
        <v>288</v>
      </c>
      <c r="J685" s="15" t="n">
        <v>110</v>
      </c>
      <c r="K685" s="15" t="n">
        <v>110</v>
      </c>
      <c r="L685" s="15" t="n">
        <f aca="false">IF(OR(J685="",K685=""),"",MAX(J685-K685,0))</f>
        <v>0</v>
      </c>
      <c r="M685" s="15" t="s">
        <v>99</v>
      </c>
      <c r="N685" s="17" t="n">
        <v>2020</v>
      </c>
      <c r="O685" s="15" t="n">
        <f aca="false">IF(N685="","",Scoring!$B$4-N685)</f>
        <v>6</v>
      </c>
      <c r="P685" s="15" t="n">
        <f aca="false">IF(N685="","",N685+14)</f>
        <v>2034</v>
      </c>
      <c r="Q685" s="15" t="n">
        <f aca="false">IF(N685="","",IF(N685&lt;Scoring!$B$12,"n/a (pre-1990)",N685+Scoring!$B$13))</f>
        <v>2049</v>
      </c>
      <c r="R685" s="15" t="str">
        <f aca="false">IF(J685="","Unknown",IF(J685&gt;=5,"Yes","No (under 5 units)"))</f>
        <v>Yes</v>
      </c>
      <c r="S685" s="15"/>
      <c r="T685" s="18"/>
      <c r="U685" s="19"/>
      <c r="V685" s="18"/>
      <c r="W685" s="18"/>
      <c r="X685" s="20"/>
      <c r="Y685" s="18"/>
      <c r="Z685" s="18"/>
      <c r="AA685" s="21" t="n">
        <f aca="false">IF(U685&lt;&gt;"",(U685-Scoring!$B$3)/365.25,IF(N685="","",IF(N685&lt;Scoring!$B$12,"",(DATE(N685+Scoring!$B$13,12,31)-Scoring!$B$3)/365.25)))</f>
        <v>23.2470910335387</v>
      </c>
      <c r="AB685" s="22" t="n">
        <f aca="false">IF(T685="Y",0,IF(OR(D685="Expired (verified)",D685="Expiring: notice window (verified)",D685="Expiring: 10-yr horizon (verified)",D685="Past 30-yr mark (verify)",D685="30-yr mark: notice window (est.)",D685="Year-15 window"),1,0)+IF(ISNUMBER(O685),IF(O685&gt;=Scoring!$B$10,1,0),0)+IF(AND(ISNUMBER(L685),ISNUMBER(J685)),IF(J685&gt;0,IF(L685/J685&gt;=Scoring!$B$11,1,0),0),0)+IF(ISNUMBER(Z685),MIN(Z685,3),0))</f>
        <v>0</v>
      </c>
      <c r="AC685" s="22" t="n">
        <f aca="false">IF(AB685&gt;=3,Scoring!$C$24,IF(AB685=2,Scoring!$C$23,IF(AB685=1,Scoring!$C$22,0)))</f>
        <v>0</v>
      </c>
      <c r="AD685" s="22" t="n">
        <f aca="false">IF(T685="Y",0,IF(ISNUMBER(X685),IF(X685&gt;0.7,Scoring!$C$25,IF(X685&gt;=0.5,Scoring!$C$26,IF(X685&gt;=0.3,Scoring!$C$27,Scoring!$C$28))),Scoring!$C$29))</f>
        <v>10</v>
      </c>
      <c r="AE685" s="22" t="n">
        <f aca="false">IF(D685="Expiring: notice window (verified)",Scoring!$C$30,IF(OR(D685="Expired (verified)",D685="30-yr mark: notice window (est.)",D685="Year-15 window"),Scoring!$C$31,IF(D685="Expiring: 10-yr horizon (verified)",Scoring!$C$32,IF(D685="Past 30-yr mark (verify)",Scoring!$C$33,IF(OR(D685="Credit period",D685="Superseded record"),Scoring!$C$35,Scoring!$C$34)))))</f>
        <v>0</v>
      </c>
      <c r="AF685" s="22" t="n">
        <f aca="false">IF(T685="Y",0,IF(ISNUMBER(V685),IF(Scoring!$B$4-V685&gt;15,Scoring!$C$36,IF(Scoring!$B$4-V685&gt;=10,Scoring!$C$37,IF(Scoring!$B$4-V685&gt;=5,Scoring!$C$38,Scoring!$C$39))),IF(OR(N685="",D685="Out of program"),Scoring!$C$40,IF(O685&gt;15,Scoring!$C$36,IF(O685&gt;=10,Scoring!$C$37,IF(O685&gt;=5,Scoring!$C$38,Scoring!$C$39))))))</f>
        <v>8</v>
      </c>
      <c r="AG685" s="22" t="n">
        <f aca="false">IF(T685="Y",0,IF(Y685="Y",Scoring!$C$41,IF(ISNUMBER(O685),IF(O685&gt;=25,Scoring!$C$42,IF(O685&gt;=15,Scoring!$C$43,Scoring!$C$44)),Scoring!$C$44)))</f>
        <v>2</v>
      </c>
      <c r="AH685" s="22" t="n">
        <f aca="false">IF(T685="Y",0,IF(W685="",Scoring!$C$49,IFERROR(VLOOKUP(W685,Scoring!$B$45:$C$48,2,FALSE()),Scoring!$C$49)))</f>
        <v>5</v>
      </c>
      <c r="AI685" s="23" t="n">
        <f aca="false">C685+IF(ISNUMBER(J685),J685,0)/100000+(10000-ROW())/1000000000</f>
        <v>25.001109315</v>
      </c>
      <c r="AJ685" s="18"/>
      <c r="AK685" s="18"/>
      <c r="AL685" s="18"/>
      <c r="AM685" s="18"/>
    </row>
    <row r="686" customFormat="false" ht="15" hidden="false" customHeight="false" outlineLevel="0" collapsed="false">
      <c r="A686" s="15" t="n">
        <f aca="false">RANK(AI686,$AI$2:$AI$755)</f>
        <v>685</v>
      </c>
      <c r="B686" s="16" t="str">
        <f aca="false">IF(T686="Y","Superseded",IF(C686&gt;=Scoring!$B$16,"Immediate",IF(C686&gt;=Scoring!$B$17,"This week",IF(C686&gt;=Scoring!$B$18,"Nurture","Low"))))</f>
        <v>Low</v>
      </c>
      <c r="C686" s="3" t="n">
        <f aca="false">SUM(AC686:AH686)</f>
        <v>25</v>
      </c>
      <c r="D686" s="15" t="str">
        <f aca="false">IF(T686="Y","Superseded record",IF(AND(U686&lt;&gt;"",AA686&lt;0),"Expired (verified)",IF(AND(U686&lt;&gt;"",AA686&lt;=Scoring!$B$5),"Expiring: notice window (verified)",IF(AND(U686&lt;&gt;"",AA686&lt;=Scoring!$B$6),"Expiring: 10-yr horizon (verified)",IF(M686="No Longer Monitored","Out of program",IF(N686="","Unknown vintage",IF(N686&lt;Scoring!$B$12,"Pre-1990, still listed",IF(AND(U686="",AA686&lt;0),"Past 30-yr mark (verify)",IF(AND(U686="",AA686&lt;=Scoring!$B$5),"30-yr mark: notice window (est.)",IF(AND(O686&gt;=Scoring!$B$7,O686&lt;=Scoring!$B$8),"Year-15 window",IF(O686&gt;=Scoring!$B$9,"Recap window",IF(O686&gt;=11,"Late compliance","Credit period"))))))))))))</f>
        <v>Credit period</v>
      </c>
      <c r="E686" s="15" t="s">
        <v>2384</v>
      </c>
      <c r="F686" s="15" t="s">
        <v>2385</v>
      </c>
      <c r="G686" s="15" t="s">
        <v>2386</v>
      </c>
      <c r="H686" s="15" t="s">
        <v>97</v>
      </c>
      <c r="I686" s="15" t="s">
        <v>260</v>
      </c>
      <c r="J686" s="15" t="n">
        <v>101</v>
      </c>
      <c r="K686" s="15" t="n">
        <v>101</v>
      </c>
      <c r="L686" s="15" t="n">
        <f aca="false">IF(OR(J686="",K686=""),"",MAX(J686-K686,0))</f>
        <v>0</v>
      </c>
      <c r="M686" s="15" t="s">
        <v>99</v>
      </c>
      <c r="N686" s="17" t="n">
        <v>2018</v>
      </c>
      <c r="O686" s="15" t="n">
        <f aca="false">IF(N686="","",Scoring!$B$4-N686)</f>
        <v>8</v>
      </c>
      <c r="P686" s="15" t="n">
        <f aca="false">IF(N686="","",N686+14)</f>
        <v>2032</v>
      </c>
      <c r="Q686" s="15" t="n">
        <f aca="false">IF(N686="","",IF(N686&lt;Scoring!$B$12,"n/a (pre-1990)",N686+Scoring!$B$13))</f>
        <v>2047</v>
      </c>
      <c r="R686" s="15" t="str">
        <f aca="false">IF(J686="","Unknown",IF(J686&gt;=5,"Yes","No (under 5 units)"))</f>
        <v>Yes</v>
      </c>
      <c r="S686" s="15"/>
      <c r="T686" s="18"/>
      <c r="U686" s="19"/>
      <c r="V686" s="18"/>
      <c r="W686" s="18"/>
      <c r="X686" s="20"/>
      <c r="Y686" s="18"/>
      <c r="Z686" s="18"/>
      <c r="AA686" s="21" t="n">
        <f aca="false">IF(U686&lt;&gt;"",(U686-Scoring!$B$3)/365.25,IF(N686="","",IF(N686&lt;Scoring!$B$12,"",(DATE(N686+Scoring!$B$13,12,31)-Scoring!$B$3)/365.25)))</f>
        <v>21.2457221081451</v>
      </c>
      <c r="AB686" s="22" t="n">
        <f aca="false">IF(T686="Y",0,IF(OR(D686="Expired (verified)",D686="Expiring: notice window (verified)",D686="Expiring: 10-yr horizon (verified)",D686="Past 30-yr mark (verify)",D686="30-yr mark: notice window (est.)",D686="Year-15 window"),1,0)+IF(ISNUMBER(O686),IF(O686&gt;=Scoring!$B$10,1,0),0)+IF(AND(ISNUMBER(L686),ISNUMBER(J686)),IF(J686&gt;0,IF(L686/J686&gt;=Scoring!$B$11,1,0),0),0)+IF(ISNUMBER(Z686),MIN(Z686,3),0))</f>
        <v>0</v>
      </c>
      <c r="AC686" s="22" t="n">
        <f aca="false">IF(AB686&gt;=3,Scoring!$C$24,IF(AB686=2,Scoring!$C$23,IF(AB686=1,Scoring!$C$22,0)))</f>
        <v>0</v>
      </c>
      <c r="AD686" s="22" t="n">
        <f aca="false">IF(T686="Y",0,IF(ISNUMBER(X686),IF(X686&gt;0.7,Scoring!$C$25,IF(X686&gt;=0.5,Scoring!$C$26,IF(X686&gt;=0.3,Scoring!$C$27,Scoring!$C$28))),Scoring!$C$29))</f>
        <v>10</v>
      </c>
      <c r="AE686" s="22" t="n">
        <f aca="false">IF(D686="Expiring: notice window (verified)",Scoring!$C$30,IF(OR(D686="Expired (verified)",D686="30-yr mark: notice window (est.)",D686="Year-15 window"),Scoring!$C$31,IF(D686="Expiring: 10-yr horizon (verified)",Scoring!$C$32,IF(D686="Past 30-yr mark (verify)",Scoring!$C$33,IF(OR(D686="Credit period",D686="Superseded record"),Scoring!$C$35,Scoring!$C$34)))))</f>
        <v>0</v>
      </c>
      <c r="AF686" s="22" t="n">
        <f aca="false">IF(T686="Y",0,IF(ISNUMBER(V686),IF(Scoring!$B$4-V686&gt;15,Scoring!$C$36,IF(Scoring!$B$4-V686&gt;=10,Scoring!$C$37,IF(Scoring!$B$4-V686&gt;=5,Scoring!$C$38,Scoring!$C$39))),IF(OR(N686="",D686="Out of program"),Scoring!$C$40,IF(O686&gt;15,Scoring!$C$36,IF(O686&gt;=10,Scoring!$C$37,IF(O686&gt;=5,Scoring!$C$38,Scoring!$C$39))))))</f>
        <v>8</v>
      </c>
      <c r="AG686" s="22" t="n">
        <f aca="false">IF(T686="Y",0,IF(Y686="Y",Scoring!$C$41,IF(ISNUMBER(O686),IF(O686&gt;=25,Scoring!$C$42,IF(O686&gt;=15,Scoring!$C$43,Scoring!$C$44)),Scoring!$C$44)))</f>
        <v>2</v>
      </c>
      <c r="AH686" s="22" t="n">
        <f aca="false">IF(T686="Y",0,IF(W686="",Scoring!$C$49,IFERROR(VLOOKUP(W686,Scoring!$B$45:$C$48,2,FALSE()),Scoring!$C$49)))</f>
        <v>5</v>
      </c>
      <c r="AI686" s="23" t="n">
        <f aca="false">C686+IF(ISNUMBER(J686),J686,0)/100000+(10000-ROW())/1000000000</f>
        <v>25.001019314</v>
      </c>
      <c r="AJ686" s="18"/>
      <c r="AK686" s="18"/>
      <c r="AL686" s="18"/>
      <c r="AM686" s="18"/>
    </row>
    <row r="687" customFormat="false" ht="15" hidden="false" customHeight="false" outlineLevel="0" collapsed="false">
      <c r="A687" s="15" t="n">
        <f aca="false">RANK(AI687,$AI$2:$AI$755)</f>
        <v>686</v>
      </c>
      <c r="B687" s="16" t="str">
        <f aca="false">IF(T687="Y","Superseded",IF(C687&gt;=Scoring!$B$16,"Immediate",IF(C687&gt;=Scoring!$B$17,"This week",IF(C687&gt;=Scoring!$B$18,"Nurture","Low"))))</f>
        <v>Low</v>
      </c>
      <c r="C687" s="3" t="n">
        <f aca="false">SUM(AC687:AH687)</f>
        <v>25</v>
      </c>
      <c r="D687" s="15" t="str">
        <f aca="false">IF(T687="Y","Superseded record",IF(AND(U687&lt;&gt;"",AA687&lt;0),"Expired (verified)",IF(AND(U687&lt;&gt;"",AA687&lt;=Scoring!$B$5),"Expiring: notice window (verified)",IF(AND(U687&lt;&gt;"",AA687&lt;=Scoring!$B$6),"Expiring: 10-yr horizon (verified)",IF(M687="No Longer Monitored","Out of program",IF(N687="","Unknown vintage",IF(N687&lt;Scoring!$B$12,"Pre-1990, still listed",IF(AND(U687="",AA687&lt;0),"Past 30-yr mark (verify)",IF(AND(U687="",AA687&lt;=Scoring!$B$5),"30-yr mark: notice window (est.)",IF(AND(O687&gt;=Scoring!$B$7,O687&lt;=Scoring!$B$8),"Year-15 window",IF(O687&gt;=Scoring!$B$9,"Recap window",IF(O687&gt;=11,"Late compliance","Credit period"))))))))))))</f>
        <v>Credit period</v>
      </c>
      <c r="E687" s="15" t="s">
        <v>2387</v>
      </c>
      <c r="F687" s="15" t="s">
        <v>2388</v>
      </c>
      <c r="G687" s="15" t="s">
        <v>2389</v>
      </c>
      <c r="H687" s="15" t="s">
        <v>97</v>
      </c>
      <c r="I687" s="15" t="s">
        <v>103</v>
      </c>
      <c r="J687" s="15" t="n">
        <v>101</v>
      </c>
      <c r="K687" s="15" t="n">
        <v>101</v>
      </c>
      <c r="L687" s="15" t="n">
        <f aca="false">IF(OR(J687="",K687=""),"",MAX(J687-K687,0))</f>
        <v>0</v>
      </c>
      <c r="M687" s="15" t="s">
        <v>99</v>
      </c>
      <c r="N687" s="17" t="n">
        <v>2019</v>
      </c>
      <c r="O687" s="15" t="n">
        <f aca="false">IF(N687="","",Scoring!$B$4-N687)</f>
        <v>7</v>
      </c>
      <c r="P687" s="15" t="n">
        <f aca="false">IF(N687="","",N687+14)</f>
        <v>2033</v>
      </c>
      <c r="Q687" s="15" t="n">
        <f aca="false">IF(N687="","",IF(N687&lt;Scoring!$B$12,"n/a (pre-1990)",N687+Scoring!$B$13))</f>
        <v>2048</v>
      </c>
      <c r="R687" s="15" t="str">
        <f aca="false">IF(J687="","Unknown",IF(J687&gt;=5,"Yes","No (under 5 units)"))</f>
        <v>Yes</v>
      </c>
      <c r="S687" s="15"/>
      <c r="T687" s="18"/>
      <c r="U687" s="19"/>
      <c r="V687" s="18"/>
      <c r="W687" s="18"/>
      <c r="X687" s="20"/>
      <c r="Y687" s="18"/>
      <c r="Z687" s="18"/>
      <c r="AA687" s="21" t="n">
        <f aca="false">IF(U687&lt;&gt;"",(U687-Scoring!$B$3)/365.25,IF(N687="","",IF(N687&lt;Scoring!$B$12,"",(DATE(N687+Scoring!$B$13,12,31)-Scoring!$B$3)/365.25)))</f>
        <v>22.2477754962355</v>
      </c>
      <c r="AB687" s="22" t="n">
        <f aca="false">IF(T687="Y",0,IF(OR(D687="Expired (verified)",D687="Expiring: notice window (verified)",D687="Expiring: 10-yr horizon (verified)",D687="Past 30-yr mark (verify)",D687="30-yr mark: notice window (est.)",D687="Year-15 window"),1,0)+IF(ISNUMBER(O687),IF(O687&gt;=Scoring!$B$10,1,0),0)+IF(AND(ISNUMBER(L687),ISNUMBER(J687)),IF(J687&gt;0,IF(L687/J687&gt;=Scoring!$B$11,1,0),0),0)+IF(ISNUMBER(Z687),MIN(Z687,3),0))</f>
        <v>0</v>
      </c>
      <c r="AC687" s="22" t="n">
        <f aca="false">IF(AB687&gt;=3,Scoring!$C$24,IF(AB687=2,Scoring!$C$23,IF(AB687=1,Scoring!$C$22,0)))</f>
        <v>0</v>
      </c>
      <c r="AD687" s="22" t="n">
        <f aca="false">IF(T687="Y",0,IF(ISNUMBER(X687),IF(X687&gt;0.7,Scoring!$C$25,IF(X687&gt;=0.5,Scoring!$C$26,IF(X687&gt;=0.3,Scoring!$C$27,Scoring!$C$28))),Scoring!$C$29))</f>
        <v>10</v>
      </c>
      <c r="AE687" s="22" t="n">
        <f aca="false">IF(D687="Expiring: notice window (verified)",Scoring!$C$30,IF(OR(D687="Expired (verified)",D687="30-yr mark: notice window (est.)",D687="Year-15 window"),Scoring!$C$31,IF(D687="Expiring: 10-yr horizon (verified)",Scoring!$C$32,IF(D687="Past 30-yr mark (verify)",Scoring!$C$33,IF(OR(D687="Credit period",D687="Superseded record"),Scoring!$C$35,Scoring!$C$34)))))</f>
        <v>0</v>
      </c>
      <c r="AF687" s="22" t="n">
        <f aca="false">IF(T687="Y",0,IF(ISNUMBER(V687),IF(Scoring!$B$4-V687&gt;15,Scoring!$C$36,IF(Scoring!$B$4-V687&gt;=10,Scoring!$C$37,IF(Scoring!$B$4-V687&gt;=5,Scoring!$C$38,Scoring!$C$39))),IF(OR(N687="",D687="Out of program"),Scoring!$C$40,IF(O687&gt;15,Scoring!$C$36,IF(O687&gt;=10,Scoring!$C$37,IF(O687&gt;=5,Scoring!$C$38,Scoring!$C$39))))))</f>
        <v>8</v>
      </c>
      <c r="AG687" s="22" t="n">
        <f aca="false">IF(T687="Y",0,IF(Y687="Y",Scoring!$C$41,IF(ISNUMBER(O687),IF(O687&gt;=25,Scoring!$C$42,IF(O687&gt;=15,Scoring!$C$43,Scoring!$C$44)),Scoring!$C$44)))</f>
        <v>2</v>
      </c>
      <c r="AH687" s="22" t="n">
        <f aca="false">IF(T687="Y",0,IF(W687="",Scoring!$C$49,IFERROR(VLOOKUP(W687,Scoring!$B$45:$C$48,2,FALSE()),Scoring!$C$49)))</f>
        <v>5</v>
      </c>
      <c r="AI687" s="23" t="n">
        <f aca="false">C687+IF(ISNUMBER(J687),J687,0)/100000+(10000-ROW())/1000000000</f>
        <v>25.001019313</v>
      </c>
      <c r="AJ687" s="18"/>
      <c r="AK687" s="18"/>
      <c r="AL687" s="18"/>
      <c r="AM687" s="18"/>
    </row>
    <row r="688" customFormat="false" ht="15" hidden="false" customHeight="false" outlineLevel="0" collapsed="false">
      <c r="A688" s="15" t="n">
        <f aca="false">RANK(AI688,$AI$2:$AI$755)</f>
        <v>687</v>
      </c>
      <c r="B688" s="16" t="str">
        <f aca="false">IF(T688="Y","Superseded",IF(C688&gt;=Scoring!$B$16,"Immediate",IF(C688&gt;=Scoring!$B$17,"This week",IF(C688&gt;=Scoring!$B$18,"Nurture","Low"))))</f>
        <v>Low</v>
      </c>
      <c r="C688" s="3" t="n">
        <f aca="false">SUM(AC688:AH688)</f>
        <v>25</v>
      </c>
      <c r="D688" s="15" t="str">
        <f aca="false">IF(T688="Y","Superseded record",IF(AND(U688&lt;&gt;"",AA688&lt;0),"Expired (verified)",IF(AND(U688&lt;&gt;"",AA688&lt;=Scoring!$B$5),"Expiring: notice window (verified)",IF(AND(U688&lt;&gt;"",AA688&lt;=Scoring!$B$6),"Expiring: 10-yr horizon (verified)",IF(M688="No Longer Monitored","Out of program",IF(N688="","Unknown vintage",IF(N688&lt;Scoring!$B$12,"Pre-1990, still listed",IF(AND(U688="",AA688&lt;0),"Past 30-yr mark (verify)",IF(AND(U688="",AA688&lt;=Scoring!$B$5),"30-yr mark: notice window (est.)",IF(AND(O688&gt;=Scoring!$B$7,O688&lt;=Scoring!$B$8),"Year-15 window",IF(O688&gt;=Scoring!$B$9,"Recap window",IF(O688&gt;=11,"Late compliance","Credit period"))))))))))))</f>
        <v>Credit period</v>
      </c>
      <c r="E688" s="15" t="s">
        <v>2390</v>
      </c>
      <c r="F688" s="15" t="s">
        <v>2391</v>
      </c>
      <c r="G688" s="15" t="s">
        <v>2392</v>
      </c>
      <c r="H688" s="15" t="s">
        <v>97</v>
      </c>
      <c r="I688" s="15" t="s">
        <v>160</v>
      </c>
      <c r="J688" s="15" t="n">
        <v>93</v>
      </c>
      <c r="K688" s="15" t="n">
        <v>93</v>
      </c>
      <c r="L688" s="15" t="n">
        <f aca="false">IF(OR(J688="",K688=""),"",MAX(J688-K688,0))</f>
        <v>0</v>
      </c>
      <c r="M688" s="15" t="s">
        <v>99</v>
      </c>
      <c r="N688" s="17" t="n">
        <v>2019</v>
      </c>
      <c r="O688" s="15" t="n">
        <f aca="false">IF(N688="","",Scoring!$B$4-N688)</f>
        <v>7</v>
      </c>
      <c r="P688" s="15" t="n">
        <f aca="false">IF(N688="","",N688+14)</f>
        <v>2033</v>
      </c>
      <c r="Q688" s="15" t="n">
        <f aca="false">IF(N688="","",IF(N688&lt;Scoring!$B$12,"n/a (pre-1990)",N688+Scoring!$B$13))</f>
        <v>2048</v>
      </c>
      <c r="R688" s="15" t="str">
        <f aca="false">IF(J688="","Unknown",IF(J688&gt;=5,"Yes","No (under 5 units)"))</f>
        <v>Yes</v>
      </c>
      <c r="S688" s="15"/>
      <c r="T688" s="18"/>
      <c r="U688" s="19"/>
      <c r="V688" s="18"/>
      <c r="W688" s="18"/>
      <c r="X688" s="20"/>
      <c r="Y688" s="18"/>
      <c r="Z688" s="18"/>
      <c r="AA688" s="21" t="n">
        <f aca="false">IF(U688&lt;&gt;"",(U688-Scoring!$B$3)/365.25,IF(N688="","",IF(N688&lt;Scoring!$B$12,"",(DATE(N688+Scoring!$B$13,12,31)-Scoring!$B$3)/365.25)))</f>
        <v>22.2477754962355</v>
      </c>
      <c r="AB688" s="22" t="n">
        <f aca="false">IF(T688="Y",0,IF(OR(D688="Expired (verified)",D688="Expiring: notice window (verified)",D688="Expiring: 10-yr horizon (verified)",D688="Past 30-yr mark (verify)",D688="30-yr mark: notice window (est.)",D688="Year-15 window"),1,0)+IF(ISNUMBER(O688),IF(O688&gt;=Scoring!$B$10,1,0),0)+IF(AND(ISNUMBER(L688),ISNUMBER(J688)),IF(J688&gt;0,IF(L688/J688&gt;=Scoring!$B$11,1,0),0),0)+IF(ISNUMBER(Z688),MIN(Z688,3),0))</f>
        <v>0</v>
      </c>
      <c r="AC688" s="22" t="n">
        <f aca="false">IF(AB688&gt;=3,Scoring!$C$24,IF(AB688=2,Scoring!$C$23,IF(AB688=1,Scoring!$C$22,0)))</f>
        <v>0</v>
      </c>
      <c r="AD688" s="22" t="n">
        <f aca="false">IF(T688="Y",0,IF(ISNUMBER(X688),IF(X688&gt;0.7,Scoring!$C$25,IF(X688&gt;=0.5,Scoring!$C$26,IF(X688&gt;=0.3,Scoring!$C$27,Scoring!$C$28))),Scoring!$C$29))</f>
        <v>10</v>
      </c>
      <c r="AE688" s="22" t="n">
        <f aca="false">IF(D688="Expiring: notice window (verified)",Scoring!$C$30,IF(OR(D688="Expired (verified)",D688="30-yr mark: notice window (est.)",D688="Year-15 window"),Scoring!$C$31,IF(D688="Expiring: 10-yr horizon (verified)",Scoring!$C$32,IF(D688="Past 30-yr mark (verify)",Scoring!$C$33,IF(OR(D688="Credit period",D688="Superseded record"),Scoring!$C$35,Scoring!$C$34)))))</f>
        <v>0</v>
      </c>
      <c r="AF688" s="22" t="n">
        <f aca="false">IF(T688="Y",0,IF(ISNUMBER(V688),IF(Scoring!$B$4-V688&gt;15,Scoring!$C$36,IF(Scoring!$B$4-V688&gt;=10,Scoring!$C$37,IF(Scoring!$B$4-V688&gt;=5,Scoring!$C$38,Scoring!$C$39))),IF(OR(N688="",D688="Out of program"),Scoring!$C$40,IF(O688&gt;15,Scoring!$C$36,IF(O688&gt;=10,Scoring!$C$37,IF(O688&gt;=5,Scoring!$C$38,Scoring!$C$39))))))</f>
        <v>8</v>
      </c>
      <c r="AG688" s="22" t="n">
        <f aca="false">IF(T688="Y",0,IF(Y688="Y",Scoring!$C$41,IF(ISNUMBER(O688),IF(O688&gt;=25,Scoring!$C$42,IF(O688&gt;=15,Scoring!$C$43,Scoring!$C$44)),Scoring!$C$44)))</f>
        <v>2</v>
      </c>
      <c r="AH688" s="22" t="n">
        <f aca="false">IF(T688="Y",0,IF(W688="",Scoring!$C$49,IFERROR(VLOOKUP(W688,Scoring!$B$45:$C$48,2,FALSE()),Scoring!$C$49)))</f>
        <v>5</v>
      </c>
      <c r="AI688" s="23" t="n">
        <f aca="false">C688+IF(ISNUMBER(J688),J688,0)/100000+(10000-ROW())/1000000000</f>
        <v>25.000939312</v>
      </c>
      <c r="AJ688" s="18"/>
      <c r="AK688" s="18"/>
      <c r="AL688" s="18"/>
      <c r="AM688" s="18"/>
    </row>
    <row r="689" customFormat="false" ht="15" hidden="false" customHeight="false" outlineLevel="0" collapsed="false">
      <c r="A689" s="15" t="n">
        <f aca="false">RANK(AI689,$AI$2:$AI$755)</f>
        <v>688</v>
      </c>
      <c r="B689" s="16" t="str">
        <f aca="false">IF(T689="Y","Superseded",IF(C689&gt;=Scoring!$B$16,"Immediate",IF(C689&gt;=Scoring!$B$17,"This week",IF(C689&gt;=Scoring!$B$18,"Nurture","Low"))))</f>
        <v>Low</v>
      </c>
      <c r="C689" s="3" t="n">
        <f aca="false">SUM(AC689:AH689)</f>
        <v>25</v>
      </c>
      <c r="D689" s="15" t="str">
        <f aca="false">IF(T689="Y","Superseded record",IF(AND(U689&lt;&gt;"",AA689&lt;0),"Expired (verified)",IF(AND(U689&lt;&gt;"",AA689&lt;=Scoring!$B$5),"Expiring: notice window (verified)",IF(AND(U689&lt;&gt;"",AA689&lt;=Scoring!$B$6),"Expiring: 10-yr horizon (verified)",IF(M689="No Longer Monitored","Out of program",IF(N689="","Unknown vintage",IF(N689&lt;Scoring!$B$12,"Pre-1990, still listed",IF(AND(U689="",AA689&lt;0),"Past 30-yr mark (verify)",IF(AND(U689="",AA689&lt;=Scoring!$B$5),"30-yr mark: notice window (est.)",IF(AND(O689&gt;=Scoring!$B$7,O689&lt;=Scoring!$B$8),"Year-15 window",IF(O689&gt;=Scoring!$B$9,"Recap window",IF(O689&gt;=11,"Late compliance","Credit period"))))))))))))</f>
        <v>Credit period</v>
      </c>
      <c r="E689" s="15" t="s">
        <v>2393</v>
      </c>
      <c r="F689" s="15" t="s">
        <v>2394</v>
      </c>
      <c r="G689" s="15" t="s">
        <v>2395</v>
      </c>
      <c r="H689" s="15" t="s">
        <v>1681</v>
      </c>
      <c r="I689" s="15" t="s">
        <v>1682</v>
      </c>
      <c r="J689" s="15" t="n">
        <v>90</v>
      </c>
      <c r="K689" s="15" t="n">
        <v>88</v>
      </c>
      <c r="L689" s="15" t="n">
        <f aca="false">IF(OR(J689="",K689=""),"",MAX(J689-K689,0))</f>
        <v>2</v>
      </c>
      <c r="M689" s="15" t="s">
        <v>99</v>
      </c>
      <c r="N689" s="17" t="n">
        <v>2018</v>
      </c>
      <c r="O689" s="15" t="n">
        <f aca="false">IF(N689="","",Scoring!$B$4-N689)</f>
        <v>8</v>
      </c>
      <c r="P689" s="15" t="n">
        <f aca="false">IF(N689="","",N689+14)</f>
        <v>2032</v>
      </c>
      <c r="Q689" s="15" t="n">
        <f aca="false">IF(N689="","",IF(N689&lt;Scoring!$B$12,"n/a (pre-1990)",N689+Scoring!$B$13))</f>
        <v>2047</v>
      </c>
      <c r="R689" s="15" t="str">
        <f aca="false">IF(J689="","Unknown",IF(J689&gt;=5,"Yes","No (under 5 units)"))</f>
        <v>Yes</v>
      </c>
      <c r="S689" s="15"/>
      <c r="T689" s="18"/>
      <c r="U689" s="19"/>
      <c r="V689" s="18"/>
      <c r="W689" s="18"/>
      <c r="X689" s="20"/>
      <c r="Y689" s="18"/>
      <c r="Z689" s="18"/>
      <c r="AA689" s="21" t="n">
        <f aca="false">IF(U689&lt;&gt;"",(U689-Scoring!$B$3)/365.25,IF(N689="","",IF(N689&lt;Scoring!$B$12,"",(DATE(N689+Scoring!$B$13,12,31)-Scoring!$B$3)/365.25)))</f>
        <v>21.2457221081451</v>
      </c>
      <c r="AB689" s="22" t="n">
        <f aca="false">IF(T689="Y",0,IF(OR(D689="Expired (verified)",D689="Expiring: notice window (verified)",D689="Expiring: 10-yr horizon (verified)",D689="Past 30-yr mark (verify)",D689="30-yr mark: notice window (est.)",D689="Year-15 window"),1,0)+IF(ISNUMBER(O689),IF(O689&gt;=Scoring!$B$10,1,0),0)+IF(AND(ISNUMBER(L689),ISNUMBER(J689)),IF(J689&gt;0,IF(L689/J689&gt;=Scoring!$B$11,1,0),0),0)+IF(ISNUMBER(Z689),MIN(Z689,3),0))</f>
        <v>0</v>
      </c>
      <c r="AC689" s="22" t="n">
        <f aca="false">IF(AB689&gt;=3,Scoring!$C$24,IF(AB689=2,Scoring!$C$23,IF(AB689=1,Scoring!$C$22,0)))</f>
        <v>0</v>
      </c>
      <c r="AD689" s="22" t="n">
        <f aca="false">IF(T689="Y",0,IF(ISNUMBER(X689),IF(X689&gt;0.7,Scoring!$C$25,IF(X689&gt;=0.5,Scoring!$C$26,IF(X689&gt;=0.3,Scoring!$C$27,Scoring!$C$28))),Scoring!$C$29))</f>
        <v>10</v>
      </c>
      <c r="AE689" s="22" t="n">
        <f aca="false">IF(D689="Expiring: notice window (verified)",Scoring!$C$30,IF(OR(D689="Expired (verified)",D689="30-yr mark: notice window (est.)",D689="Year-15 window"),Scoring!$C$31,IF(D689="Expiring: 10-yr horizon (verified)",Scoring!$C$32,IF(D689="Past 30-yr mark (verify)",Scoring!$C$33,IF(OR(D689="Credit period",D689="Superseded record"),Scoring!$C$35,Scoring!$C$34)))))</f>
        <v>0</v>
      </c>
      <c r="AF689" s="22" t="n">
        <f aca="false">IF(T689="Y",0,IF(ISNUMBER(V689),IF(Scoring!$B$4-V689&gt;15,Scoring!$C$36,IF(Scoring!$B$4-V689&gt;=10,Scoring!$C$37,IF(Scoring!$B$4-V689&gt;=5,Scoring!$C$38,Scoring!$C$39))),IF(OR(N689="",D689="Out of program"),Scoring!$C$40,IF(O689&gt;15,Scoring!$C$36,IF(O689&gt;=10,Scoring!$C$37,IF(O689&gt;=5,Scoring!$C$38,Scoring!$C$39))))))</f>
        <v>8</v>
      </c>
      <c r="AG689" s="22" t="n">
        <f aca="false">IF(T689="Y",0,IF(Y689="Y",Scoring!$C$41,IF(ISNUMBER(O689),IF(O689&gt;=25,Scoring!$C$42,IF(O689&gt;=15,Scoring!$C$43,Scoring!$C$44)),Scoring!$C$44)))</f>
        <v>2</v>
      </c>
      <c r="AH689" s="22" t="n">
        <f aca="false">IF(T689="Y",0,IF(W689="",Scoring!$C$49,IFERROR(VLOOKUP(W689,Scoring!$B$45:$C$48,2,FALSE()),Scoring!$C$49)))</f>
        <v>5</v>
      </c>
      <c r="AI689" s="23" t="n">
        <f aca="false">C689+IF(ISNUMBER(J689),J689,0)/100000+(10000-ROW())/1000000000</f>
        <v>25.000909311</v>
      </c>
      <c r="AJ689" s="18"/>
      <c r="AK689" s="18"/>
      <c r="AL689" s="18"/>
      <c r="AM689" s="18"/>
    </row>
    <row r="690" customFormat="false" ht="15" hidden="false" customHeight="false" outlineLevel="0" collapsed="false">
      <c r="A690" s="15" t="n">
        <f aca="false">RANK(AI690,$AI$2:$AI$755)</f>
        <v>689</v>
      </c>
      <c r="B690" s="16" t="str">
        <f aca="false">IF(T690="Y","Superseded",IF(C690&gt;=Scoring!$B$16,"Immediate",IF(C690&gt;=Scoring!$B$17,"This week",IF(C690&gt;=Scoring!$B$18,"Nurture","Low"))))</f>
        <v>Low</v>
      </c>
      <c r="C690" s="3" t="n">
        <f aca="false">SUM(AC690:AH690)</f>
        <v>25</v>
      </c>
      <c r="D690" s="15" t="str">
        <f aca="false">IF(T690="Y","Superseded record",IF(AND(U690&lt;&gt;"",AA690&lt;0),"Expired (verified)",IF(AND(U690&lt;&gt;"",AA690&lt;=Scoring!$B$5),"Expiring: notice window (verified)",IF(AND(U690&lt;&gt;"",AA690&lt;=Scoring!$B$6),"Expiring: 10-yr horizon (verified)",IF(M690="No Longer Monitored","Out of program",IF(N690="","Unknown vintage",IF(N690&lt;Scoring!$B$12,"Pre-1990, still listed",IF(AND(U690="",AA690&lt;0),"Past 30-yr mark (verify)",IF(AND(U690="",AA690&lt;=Scoring!$B$5),"30-yr mark: notice window (est.)",IF(AND(O690&gt;=Scoring!$B$7,O690&lt;=Scoring!$B$8),"Year-15 window",IF(O690&gt;=Scoring!$B$9,"Recap window",IF(O690&gt;=11,"Late compliance","Credit period"))))))))))))</f>
        <v>Credit period</v>
      </c>
      <c r="E690" s="15" t="s">
        <v>2396</v>
      </c>
      <c r="F690" s="15" t="s">
        <v>2397</v>
      </c>
      <c r="G690" s="15" t="s">
        <v>2398</v>
      </c>
      <c r="H690" s="15" t="s">
        <v>97</v>
      </c>
      <c r="I690" s="15" t="s">
        <v>112</v>
      </c>
      <c r="J690" s="15" t="n">
        <v>90</v>
      </c>
      <c r="K690" s="15" t="n">
        <v>82</v>
      </c>
      <c r="L690" s="15" t="n">
        <f aca="false">IF(OR(J690="",K690=""),"",MAX(J690-K690,0))</f>
        <v>8</v>
      </c>
      <c r="M690" s="15" t="s">
        <v>99</v>
      </c>
      <c r="N690" s="17" t="n">
        <v>2020</v>
      </c>
      <c r="O690" s="15" t="n">
        <f aca="false">IF(N690="","",Scoring!$B$4-N690)</f>
        <v>6</v>
      </c>
      <c r="P690" s="15" t="n">
        <f aca="false">IF(N690="","",N690+14)</f>
        <v>2034</v>
      </c>
      <c r="Q690" s="15" t="n">
        <f aca="false">IF(N690="","",IF(N690&lt;Scoring!$B$12,"n/a (pre-1990)",N690+Scoring!$B$13))</f>
        <v>2049</v>
      </c>
      <c r="R690" s="15" t="str">
        <f aca="false">IF(J690="","Unknown",IF(J690&gt;=5,"Yes","No (under 5 units)"))</f>
        <v>Yes</v>
      </c>
      <c r="S690" s="15" t="s">
        <v>2399</v>
      </c>
      <c r="T690" s="18"/>
      <c r="U690" s="19"/>
      <c r="V690" s="18"/>
      <c r="W690" s="18"/>
      <c r="X690" s="20"/>
      <c r="Y690" s="18"/>
      <c r="Z690" s="18"/>
      <c r="AA690" s="21" t="n">
        <f aca="false">IF(U690&lt;&gt;"",(U690-Scoring!$B$3)/365.25,IF(N690="","",IF(N690&lt;Scoring!$B$12,"",(DATE(N690+Scoring!$B$13,12,31)-Scoring!$B$3)/365.25)))</f>
        <v>23.2470910335387</v>
      </c>
      <c r="AB690" s="22" t="n">
        <f aca="false">IF(T690="Y",0,IF(OR(D690="Expired (verified)",D690="Expiring: notice window (verified)",D690="Expiring: 10-yr horizon (verified)",D690="Past 30-yr mark (verify)",D690="30-yr mark: notice window (est.)",D690="Year-15 window"),1,0)+IF(ISNUMBER(O690),IF(O690&gt;=Scoring!$B$10,1,0),0)+IF(AND(ISNUMBER(L690),ISNUMBER(J690)),IF(J690&gt;0,IF(L690/J690&gt;=Scoring!$B$11,1,0),0),0)+IF(ISNUMBER(Z690),MIN(Z690,3),0))</f>
        <v>0</v>
      </c>
      <c r="AC690" s="22" t="n">
        <f aca="false">IF(AB690&gt;=3,Scoring!$C$24,IF(AB690=2,Scoring!$C$23,IF(AB690=1,Scoring!$C$22,0)))</f>
        <v>0</v>
      </c>
      <c r="AD690" s="22" t="n">
        <f aca="false">IF(T690="Y",0,IF(ISNUMBER(X690),IF(X690&gt;0.7,Scoring!$C$25,IF(X690&gt;=0.5,Scoring!$C$26,IF(X690&gt;=0.3,Scoring!$C$27,Scoring!$C$28))),Scoring!$C$29))</f>
        <v>10</v>
      </c>
      <c r="AE690" s="22" t="n">
        <f aca="false">IF(D690="Expiring: notice window (verified)",Scoring!$C$30,IF(OR(D690="Expired (verified)",D690="30-yr mark: notice window (est.)",D690="Year-15 window"),Scoring!$C$31,IF(D690="Expiring: 10-yr horizon (verified)",Scoring!$C$32,IF(D690="Past 30-yr mark (verify)",Scoring!$C$33,IF(OR(D690="Credit period",D690="Superseded record"),Scoring!$C$35,Scoring!$C$34)))))</f>
        <v>0</v>
      </c>
      <c r="AF690" s="22" t="n">
        <f aca="false">IF(T690="Y",0,IF(ISNUMBER(V690),IF(Scoring!$B$4-V690&gt;15,Scoring!$C$36,IF(Scoring!$B$4-V690&gt;=10,Scoring!$C$37,IF(Scoring!$B$4-V690&gt;=5,Scoring!$C$38,Scoring!$C$39))),IF(OR(N690="",D690="Out of program"),Scoring!$C$40,IF(O690&gt;15,Scoring!$C$36,IF(O690&gt;=10,Scoring!$C$37,IF(O690&gt;=5,Scoring!$C$38,Scoring!$C$39))))))</f>
        <v>8</v>
      </c>
      <c r="AG690" s="22" t="n">
        <f aca="false">IF(T690="Y",0,IF(Y690="Y",Scoring!$C$41,IF(ISNUMBER(O690),IF(O690&gt;=25,Scoring!$C$42,IF(O690&gt;=15,Scoring!$C$43,Scoring!$C$44)),Scoring!$C$44)))</f>
        <v>2</v>
      </c>
      <c r="AH690" s="22" t="n">
        <f aca="false">IF(T690="Y",0,IF(W690="",Scoring!$C$49,IFERROR(VLOOKUP(W690,Scoring!$B$45:$C$48,2,FALSE()),Scoring!$C$49)))</f>
        <v>5</v>
      </c>
      <c r="AI690" s="23" t="n">
        <f aca="false">C690+IF(ISNUMBER(J690),J690,0)/100000+(10000-ROW())/1000000000</f>
        <v>25.00090931</v>
      </c>
      <c r="AJ690" s="18"/>
      <c r="AK690" s="18"/>
      <c r="AL690" s="18"/>
      <c r="AM690" s="18"/>
    </row>
    <row r="691" customFormat="false" ht="15" hidden="false" customHeight="false" outlineLevel="0" collapsed="false">
      <c r="A691" s="15" t="n">
        <f aca="false">RANK(AI691,$AI$2:$AI$755)</f>
        <v>690</v>
      </c>
      <c r="B691" s="16" t="str">
        <f aca="false">IF(T691="Y","Superseded",IF(C691&gt;=Scoring!$B$16,"Immediate",IF(C691&gt;=Scoring!$B$17,"This week",IF(C691&gt;=Scoring!$B$18,"Nurture","Low"))))</f>
        <v>Low</v>
      </c>
      <c r="C691" s="3" t="n">
        <f aca="false">SUM(AC691:AH691)</f>
        <v>25</v>
      </c>
      <c r="D691" s="15" t="str">
        <f aca="false">IF(T691="Y","Superseded record",IF(AND(U691&lt;&gt;"",AA691&lt;0),"Expired (verified)",IF(AND(U691&lt;&gt;"",AA691&lt;=Scoring!$B$5),"Expiring: notice window (verified)",IF(AND(U691&lt;&gt;"",AA691&lt;=Scoring!$B$6),"Expiring: 10-yr horizon (verified)",IF(M691="No Longer Monitored","Out of program",IF(N691="","Unknown vintage",IF(N691&lt;Scoring!$B$12,"Pre-1990, still listed",IF(AND(U691="",AA691&lt;0),"Past 30-yr mark (verify)",IF(AND(U691="",AA691&lt;=Scoring!$B$5),"30-yr mark: notice window (est.)",IF(AND(O691&gt;=Scoring!$B$7,O691&lt;=Scoring!$B$8),"Year-15 window",IF(O691&gt;=Scoring!$B$9,"Recap window",IF(O691&gt;=11,"Late compliance","Credit period"))))))))))))</f>
        <v>Credit period</v>
      </c>
      <c r="E691" s="15" t="s">
        <v>2400</v>
      </c>
      <c r="F691" s="15" t="s">
        <v>2401</v>
      </c>
      <c r="G691" s="15" t="s">
        <v>2402</v>
      </c>
      <c r="H691" s="15" t="s">
        <v>2403</v>
      </c>
      <c r="I691" s="15" t="s">
        <v>1682</v>
      </c>
      <c r="J691" s="15" t="n">
        <v>88</v>
      </c>
      <c r="K691" s="15" t="n">
        <v>88</v>
      </c>
      <c r="L691" s="15" t="n">
        <f aca="false">IF(OR(J691="",K691=""),"",MAX(J691-K691,0))</f>
        <v>0</v>
      </c>
      <c r="M691" s="15" t="s">
        <v>99</v>
      </c>
      <c r="N691" s="17" t="n">
        <v>2018</v>
      </c>
      <c r="O691" s="15" t="n">
        <f aca="false">IF(N691="","",Scoring!$B$4-N691)</f>
        <v>8</v>
      </c>
      <c r="P691" s="15" t="n">
        <f aca="false">IF(N691="","",N691+14)</f>
        <v>2032</v>
      </c>
      <c r="Q691" s="15" t="n">
        <f aca="false">IF(N691="","",IF(N691&lt;Scoring!$B$12,"n/a (pre-1990)",N691+Scoring!$B$13))</f>
        <v>2047</v>
      </c>
      <c r="R691" s="15" t="str">
        <f aca="false">IF(J691="","Unknown",IF(J691&gt;=5,"Yes","No (under 5 units)"))</f>
        <v>Yes</v>
      </c>
      <c r="S691" s="15"/>
      <c r="T691" s="18"/>
      <c r="U691" s="19"/>
      <c r="V691" s="18"/>
      <c r="W691" s="18"/>
      <c r="X691" s="20"/>
      <c r="Y691" s="18"/>
      <c r="Z691" s="18"/>
      <c r="AA691" s="21" t="n">
        <f aca="false">IF(U691&lt;&gt;"",(U691-Scoring!$B$3)/365.25,IF(N691="","",IF(N691&lt;Scoring!$B$12,"",(DATE(N691+Scoring!$B$13,12,31)-Scoring!$B$3)/365.25)))</f>
        <v>21.2457221081451</v>
      </c>
      <c r="AB691" s="22" t="n">
        <f aca="false">IF(T691="Y",0,IF(OR(D691="Expired (verified)",D691="Expiring: notice window (verified)",D691="Expiring: 10-yr horizon (verified)",D691="Past 30-yr mark (verify)",D691="30-yr mark: notice window (est.)",D691="Year-15 window"),1,0)+IF(ISNUMBER(O691),IF(O691&gt;=Scoring!$B$10,1,0),0)+IF(AND(ISNUMBER(L691),ISNUMBER(J691)),IF(J691&gt;0,IF(L691/J691&gt;=Scoring!$B$11,1,0),0),0)+IF(ISNUMBER(Z691),MIN(Z691,3),0))</f>
        <v>0</v>
      </c>
      <c r="AC691" s="22" t="n">
        <f aca="false">IF(AB691&gt;=3,Scoring!$C$24,IF(AB691=2,Scoring!$C$23,IF(AB691=1,Scoring!$C$22,0)))</f>
        <v>0</v>
      </c>
      <c r="AD691" s="22" t="n">
        <f aca="false">IF(T691="Y",0,IF(ISNUMBER(X691),IF(X691&gt;0.7,Scoring!$C$25,IF(X691&gt;=0.5,Scoring!$C$26,IF(X691&gt;=0.3,Scoring!$C$27,Scoring!$C$28))),Scoring!$C$29))</f>
        <v>10</v>
      </c>
      <c r="AE691" s="22" t="n">
        <f aca="false">IF(D691="Expiring: notice window (verified)",Scoring!$C$30,IF(OR(D691="Expired (verified)",D691="30-yr mark: notice window (est.)",D691="Year-15 window"),Scoring!$C$31,IF(D691="Expiring: 10-yr horizon (verified)",Scoring!$C$32,IF(D691="Past 30-yr mark (verify)",Scoring!$C$33,IF(OR(D691="Credit period",D691="Superseded record"),Scoring!$C$35,Scoring!$C$34)))))</f>
        <v>0</v>
      </c>
      <c r="AF691" s="22" t="n">
        <f aca="false">IF(T691="Y",0,IF(ISNUMBER(V691),IF(Scoring!$B$4-V691&gt;15,Scoring!$C$36,IF(Scoring!$B$4-V691&gt;=10,Scoring!$C$37,IF(Scoring!$B$4-V691&gt;=5,Scoring!$C$38,Scoring!$C$39))),IF(OR(N691="",D691="Out of program"),Scoring!$C$40,IF(O691&gt;15,Scoring!$C$36,IF(O691&gt;=10,Scoring!$C$37,IF(O691&gt;=5,Scoring!$C$38,Scoring!$C$39))))))</f>
        <v>8</v>
      </c>
      <c r="AG691" s="22" t="n">
        <f aca="false">IF(T691="Y",0,IF(Y691="Y",Scoring!$C$41,IF(ISNUMBER(O691),IF(O691&gt;=25,Scoring!$C$42,IF(O691&gt;=15,Scoring!$C$43,Scoring!$C$44)),Scoring!$C$44)))</f>
        <v>2</v>
      </c>
      <c r="AH691" s="22" t="n">
        <f aca="false">IF(T691="Y",0,IF(W691="",Scoring!$C$49,IFERROR(VLOOKUP(W691,Scoring!$B$45:$C$48,2,FALSE()),Scoring!$C$49)))</f>
        <v>5</v>
      </c>
      <c r="AI691" s="23" t="n">
        <f aca="false">C691+IF(ISNUMBER(J691),J691,0)/100000+(10000-ROW())/1000000000</f>
        <v>25.000889309</v>
      </c>
      <c r="AJ691" s="18"/>
      <c r="AK691" s="18"/>
      <c r="AL691" s="18"/>
      <c r="AM691" s="18"/>
    </row>
    <row r="692" customFormat="false" ht="15" hidden="false" customHeight="false" outlineLevel="0" collapsed="false">
      <c r="A692" s="15" t="n">
        <f aca="false">RANK(AI692,$AI$2:$AI$755)</f>
        <v>691</v>
      </c>
      <c r="B692" s="16" t="str">
        <f aca="false">IF(T692="Y","Superseded",IF(C692&gt;=Scoring!$B$16,"Immediate",IF(C692&gt;=Scoring!$B$17,"This week",IF(C692&gt;=Scoring!$B$18,"Nurture","Low"))))</f>
        <v>Low</v>
      </c>
      <c r="C692" s="3" t="n">
        <f aca="false">SUM(AC692:AH692)</f>
        <v>25</v>
      </c>
      <c r="D692" s="15" t="str">
        <f aca="false">IF(T692="Y","Superseded record",IF(AND(U692&lt;&gt;"",AA692&lt;0),"Expired (verified)",IF(AND(U692&lt;&gt;"",AA692&lt;=Scoring!$B$5),"Expiring: notice window (verified)",IF(AND(U692&lt;&gt;"",AA692&lt;=Scoring!$B$6),"Expiring: 10-yr horizon (verified)",IF(M692="No Longer Monitored","Out of program",IF(N692="","Unknown vintage",IF(N692&lt;Scoring!$B$12,"Pre-1990, still listed",IF(AND(U692="",AA692&lt;0),"Past 30-yr mark (verify)",IF(AND(U692="",AA692&lt;=Scoring!$B$5),"30-yr mark: notice window (est.)",IF(AND(O692&gt;=Scoring!$B$7,O692&lt;=Scoring!$B$8),"Year-15 window",IF(O692&gt;=Scoring!$B$9,"Recap window",IF(O692&gt;=11,"Late compliance","Credit period"))))))))))))</f>
        <v>Credit period</v>
      </c>
      <c r="E692" s="15" t="s">
        <v>2404</v>
      </c>
      <c r="F692" s="15" t="s">
        <v>2405</v>
      </c>
      <c r="G692" s="15" t="s">
        <v>2406</v>
      </c>
      <c r="H692" s="15" t="s">
        <v>1358</v>
      </c>
      <c r="I692" s="15" t="s">
        <v>1359</v>
      </c>
      <c r="J692" s="15" t="n">
        <v>82</v>
      </c>
      <c r="K692" s="15" t="n">
        <v>81</v>
      </c>
      <c r="L692" s="15" t="n">
        <f aca="false">IF(OR(J692="",K692=""),"",MAX(J692-K692,0))</f>
        <v>1</v>
      </c>
      <c r="M692" s="15" t="s">
        <v>99</v>
      </c>
      <c r="N692" s="17" t="n">
        <v>2018</v>
      </c>
      <c r="O692" s="15" t="n">
        <f aca="false">IF(N692="","",Scoring!$B$4-N692)</f>
        <v>8</v>
      </c>
      <c r="P692" s="15" t="n">
        <f aca="false">IF(N692="","",N692+14)</f>
        <v>2032</v>
      </c>
      <c r="Q692" s="15" t="n">
        <f aca="false">IF(N692="","",IF(N692&lt;Scoring!$B$12,"n/a (pre-1990)",N692+Scoring!$B$13))</f>
        <v>2047</v>
      </c>
      <c r="R692" s="15" t="str">
        <f aca="false">IF(J692="","Unknown",IF(J692&gt;=5,"Yes","No (under 5 units)"))</f>
        <v>Yes</v>
      </c>
      <c r="S692" s="15"/>
      <c r="T692" s="18"/>
      <c r="U692" s="19"/>
      <c r="V692" s="18"/>
      <c r="W692" s="18"/>
      <c r="X692" s="20"/>
      <c r="Y692" s="18"/>
      <c r="Z692" s="18"/>
      <c r="AA692" s="21" t="n">
        <f aca="false">IF(U692&lt;&gt;"",(U692-Scoring!$B$3)/365.25,IF(N692="","",IF(N692&lt;Scoring!$B$12,"",(DATE(N692+Scoring!$B$13,12,31)-Scoring!$B$3)/365.25)))</f>
        <v>21.2457221081451</v>
      </c>
      <c r="AB692" s="22" t="n">
        <f aca="false">IF(T692="Y",0,IF(OR(D692="Expired (verified)",D692="Expiring: notice window (verified)",D692="Expiring: 10-yr horizon (verified)",D692="Past 30-yr mark (verify)",D692="30-yr mark: notice window (est.)",D692="Year-15 window"),1,0)+IF(ISNUMBER(O692),IF(O692&gt;=Scoring!$B$10,1,0),0)+IF(AND(ISNUMBER(L692),ISNUMBER(J692)),IF(J692&gt;0,IF(L692/J692&gt;=Scoring!$B$11,1,0),0),0)+IF(ISNUMBER(Z692),MIN(Z692,3),0))</f>
        <v>0</v>
      </c>
      <c r="AC692" s="22" t="n">
        <f aca="false">IF(AB692&gt;=3,Scoring!$C$24,IF(AB692=2,Scoring!$C$23,IF(AB692=1,Scoring!$C$22,0)))</f>
        <v>0</v>
      </c>
      <c r="AD692" s="22" t="n">
        <f aca="false">IF(T692="Y",0,IF(ISNUMBER(X692),IF(X692&gt;0.7,Scoring!$C$25,IF(X692&gt;=0.5,Scoring!$C$26,IF(X692&gt;=0.3,Scoring!$C$27,Scoring!$C$28))),Scoring!$C$29))</f>
        <v>10</v>
      </c>
      <c r="AE692" s="22" t="n">
        <f aca="false">IF(D692="Expiring: notice window (verified)",Scoring!$C$30,IF(OR(D692="Expired (verified)",D692="30-yr mark: notice window (est.)",D692="Year-15 window"),Scoring!$C$31,IF(D692="Expiring: 10-yr horizon (verified)",Scoring!$C$32,IF(D692="Past 30-yr mark (verify)",Scoring!$C$33,IF(OR(D692="Credit period",D692="Superseded record"),Scoring!$C$35,Scoring!$C$34)))))</f>
        <v>0</v>
      </c>
      <c r="AF692" s="22" t="n">
        <f aca="false">IF(T692="Y",0,IF(ISNUMBER(V692),IF(Scoring!$B$4-V692&gt;15,Scoring!$C$36,IF(Scoring!$B$4-V692&gt;=10,Scoring!$C$37,IF(Scoring!$B$4-V692&gt;=5,Scoring!$C$38,Scoring!$C$39))),IF(OR(N692="",D692="Out of program"),Scoring!$C$40,IF(O692&gt;15,Scoring!$C$36,IF(O692&gt;=10,Scoring!$C$37,IF(O692&gt;=5,Scoring!$C$38,Scoring!$C$39))))))</f>
        <v>8</v>
      </c>
      <c r="AG692" s="22" t="n">
        <f aca="false">IF(T692="Y",0,IF(Y692="Y",Scoring!$C$41,IF(ISNUMBER(O692),IF(O692&gt;=25,Scoring!$C$42,IF(O692&gt;=15,Scoring!$C$43,Scoring!$C$44)),Scoring!$C$44)))</f>
        <v>2</v>
      </c>
      <c r="AH692" s="22" t="n">
        <f aca="false">IF(T692="Y",0,IF(W692="",Scoring!$C$49,IFERROR(VLOOKUP(W692,Scoring!$B$45:$C$48,2,FALSE()),Scoring!$C$49)))</f>
        <v>5</v>
      </c>
      <c r="AI692" s="23" t="n">
        <f aca="false">C692+IF(ISNUMBER(J692),J692,0)/100000+(10000-ROW())/1000000000</f>
        <v>25.000829308</v>
      </c>
      <c r="AJ692" s="18"/>
      <c r="AK692" s="18"/>
      <c r="AL692" s="18"/>
      <c r="AM692" s="18"/>
    </row>
    <row r="693" customFormat="false" ht="15" hidden="false" customHeight="false" outlineLevel="0" collapsed="false">
      <c r="A693" s="15" t="n">
        <f aca="false">RANK(AI693,$AI$2:$AI$755)</f>
        <v>692</v>
      </c>
      <c r="B693" s="16" t="str">
        <f aca="false">IF(T693="Y","Superseded",IF(C693&gt;=Scoring!$B$16,"Immediate",IF(C693&gt;=Scoring!$B$17,"This week",IF(C693&gt;=Scoring!$B$18,"Nurture","Low"))))</f>
        <v>Low</v>
      </c>
      <c r="C693" s="3" t="n">
        <f aca="false">SUM(AC693:AH693)</f>
        <v>25</v>
      </c>
      <c r="D693" s="15" t="str">
        <f aca="false">IF(T693="Y","Superseded record",IF(AND(U693&lt;&gt;"",AA693&lt;0),"Expired (verified)",IF(AND(U693&lt;&gt;"",AA693&lt;=Scoring!$B$5),"Expiring: notice window (verified)",IF(AND(U693&lt;&gt;"",AA693&lt;=Scoring!$B$6),"Expiring: 10-yr horizon (verified)",IF(M693="No Longer Monitored","Out of program",IF(N693="","Unknown vintage",IF(N693&lt;Scoring!$B$12,"Pre-1990, still listed",IF(AND(U693="",AA693&lt;0),"Past 30-yr mark (verify)",IF(AND(U693="",AA693&lt;=Scoring!$B$5),"30-yr mark: notice window (est.)",IF(AND(O693&gt;=Scoring!$B$7,O693&lt;=Scoring!$B$8),"Year-15 window",IF(O693&gt;=Scoring!$B$9,"Recap window",IF(O693&gt;=11,"Late compliance","Credit period"))))))))))))</f>
        <v>Credit period</v>
      </c>
      <c r="E693" s="15" t="s">
        <v>2407</v>
      </c>
      <c r="F693" s="15" t="s">
        <v>2408</v>
      </c>
      <c r="G693" s="15" t="s">
        <v>2409</v>
      </c>
      <c r="H693" s="15" t="s">
        <v>97</v>
      </c>
      <c r="I693" s="15" t="s">
        <v>245</v>
      </c>
      <c r="J693" s="15" t="n">
        <v>80</v>
      </c>
      <c r="K693" s="15" t="n">
        <v>80</v>
      </c>
      <c r="L693" s="15" t="n">
        <f aca="false">IF(OR(J693="",K693=""),"",MAX(J693-K693,0))</f>
        <v>0</v>
      </c>
      <c r="M693" s="15" t="s">
        <v>99</v>
      </c>
      <c r="N693" s="17" t="n">
        <v>2018</v>
      </c>
      <c r="O693" s="15" t="n">
        <f aca="false">IF(N693="","",Scoring!$B$4-N693)</f>
        <v>8</v>
      </c>
      <c r="P693" s="15" t="n">
        <f aca="false">IF(N693="","",N693+14)</f>
        <v>2032</v>
      </c>
      <c r="Q693" s="15" t="n">
        <f aca="false">IF(N693="","",IF(N693&lt;Scoring!$B$12,"n/a (pre-1990)",N693+Scoring!$B$13))</f>
        <v>2047</v>
      </c>
      <c r="R693" s="15" t="str">
        <f aca="false">IF(J693="","Unknown",IF(J693&gt;=5,"Yes","No (under 5 units)"))</f>
        <v>Yes</v>
      </c>
      <c r="S693" s="15"/>
      <c r="T693" s="18"/>
      <c r="U693" s="19"/>
      <c r="V693" s="18"/>
      <c r="W693" s="18"/>
      <c r="X693" s="20"/>
      <c r="Y693" s="18"/>
      <c r="Z693" s="18"/>
      <c r="AA693" s="21" t="n">
        <f aca="false">IF(U693&lt;&gt;"",(U693-Scoring!$B$3)/365.25,IF(N693="","",IF(N693&lt;Scoring!$B$12,"",(DATE(N693+Scoring!$B$13,12,31)-Scoring!$B$3)/365.25)))</f>
        <v>21.2457221081451</v>
      </c>
      <c r="AB693" s="22" t="n">
        <f aca="false">IF(T693="Y",0,IF(OR(D693="Expired (verified)",D693="Expiring: notice window (verified)",D693="Expiring: 10-yr horizon (verified)",D693="Past 30-yr mark (verify)",D693="30-yr mark: notice window (est.)",D693="Year-15 window"),1,0)+IF(ISNUMBER(O693),IF(O693&gt;=Scoring!$B$10,1,0),0)+IF(AND(ISNUMBER(L693),ISNUMBER(J693)),IF(J693&gt;0,IF(L693/J693&gt;=Scoring!$B$11,1,0),0),0)+IF(ISNUMBER(Z693),MIN(Z693,3),0))</f>
        <v>0</v>
      </c>
      <c r="AC693" s="22" t="n">
        <f aca="false">IF(AB693&gt;=3,Scoring!$C$24,IF(AB693=2,Scoring!$C$23,IF(AB693=1,Scoring!$C$22,0)))</f>
        <v>0</v>
      </c>
      <c r="AD693" s="22" t="n">
        <f aca="false">IF(T693="Y",0,IF(ISNUMBER(X693),IF(X693&gt;0.7,Scoring!$C$25,IF(X693&gt;=0.5,Scoring!$C$26,IF(X693&gt;=0.3,Scoring!$C$27,Scoring!$C$28))),Scoring!$C$29))</f>
        <v>10</v>
      </c>
      <c r="AE693" s="22" t="n">
        <f aca="false">IF(D693="Expiring: notice window (verified)",Scoring!$C$30,IF(OR(D693="Expired (verified)",D693="30-yr mark: notice window (est.)",D693="Year-15 window"),Scoring!$C$31,IF(D693="Expiring: 10-yr horizon (verified)",Scoring!$C$32,IF(D693="Past 30-yr mark (verify)",Scoring!$C$33,IF(OR(D693="Credit period",D693="Superseded record"),Scoring!$C$35,Scoring!$C$34)))))</f>
        <v>0</v>
      </c>
      <c r="AF693" s="22" t="n">
        <f aca="false">IF(T693="Y",0,IF(ISNUMBER(V693),IF(Scoring!$B$4-V693&gt;15,Scoring!$C$36,IF(Scoring!$B$4-V693&gt;=10,Scoring!$C$37,IF(Scoring!$B$4-V693&gt;=5,Scoring!$C$38,Scoring!$C$39))),IF(OR(N693="",D693="Out of program"),Scoring!$C$40,IF(O693&gt;15,Scoring!$C$36,IF(O693&gt;=10,Scoring!$C$37,IF(O693&gt;=5,Scoring!$C$38,Scoring!$C$39))))))</f>
        <v>8</v>
      </c>
      <c r="AG693" s="22" t="n">
        <f aca="false">IF(T693="Y",0,IF(Y693="Y",Scoring!$C$41,IF(ISNUMBER(O693),IF(O693&gt;=25,Scoring!$C$42,IF(O693&gt;=15,Scoring!$C$43,Scoring!$C$44)),Scoring!$C$44)))</f>
        <v>2</v>
      </c>
      <c r="AH693" s="22" t="n">
        <f aca="false">IF(T693="Y",0,IF(W693="",Scoring!$C$49,IFERROR(VLOOKUP(W693,Scoring!$B$45:$C$48,2,FALSE()),Scoring!$C$49)))</f>
        <v>5</v>
      </c>
      <c r="AI693" s="23" t="n">
        <f aca="false">C693+IF(ISNUMBER(J693),J693,0)/100000+(10000-ROW())/1000000000</f>
        <v>25.000809307</v>
      </c>
      <c r="AJ693" s="18"/>
      <c r="AK693" s="18"/>
      <c r="AL693" s="18"/>
      <c r="AM693" s="18"/>
    </row>
    <row r="694" customFormat="false" ht="15" hidden="false" customHeight="false" outlineLevel="0" collapsed="false">
      <c r="A694" s="15" t="n">
        <f aca="false">RANK(AI694,$AI$2:$AI$755)</f>
        <v>693</v>
      </c>
      <c r="B694" s="16" t="str">
        <f aca="false">IF(T694="Y","Superseded",IF(C694&gt;=Scoring!$B$16,"Immediate",IF(C694&gt;=Scoring!$B$17,"This week",IF(C694&gt;=Scoring!$B$18,"Nurture","Low"))))</f>
        <v>Low</v>
      </c>
      <c r="C694" s="3" t="n">
        <f aca="false">SUM(AC694:AH694)</f>
        <v>25</v>
      </c>
      <c r="D694" s="15" t="str">
        <f aca="false">IF(T694="Y","Superseded record",IF(AND(U694&lt;&gt;"",AA694&lt;0),"Expired (verified)",IF(AND(U694&lt;&gt;"",AA694&lt;=Scoring!$B$5),"Expiring: notice window (verified)",IF(AND(U694&lt;&gt;"",AA694&lt;=Scoring!$B$6),"Expiring: 10-yr horizon (verified)",IF(M694="No Longer Monitored","Out of program",IF(N694="","Unknown vintage",IF(N694&lt;Scoring!$B$12,"Pre-1990, still listed",IF(AND(U694="",AA694&lt;0),"Past 30-yr mark (verify)",IF(AND(U694="",AA694&lt;=Scoring!$B$5),"30-yr mark: notice window (est.)",IF(AND(O694&gt;=Scoring!$B$7,O694&lt;=Scoring!$B$8),"Year-15 window",IF(O694&gt;=Scoring!$B$9,"Recap window",IF(O694&gt;=11,"Late compliance","Credit period"))))))))))))</f>
        <v>Credit period</v>
      </c>
      <c r="E694" s="15" t="s">
        <v>2410</v>
      </c>
      <c r="F694" s="15" t="s">
        <v>2411</v>
      </c>
      <c r="G694" s="15" t="s">
        <v>2412</v>
      </c>
      <c r="H694" s="15" t="s">
        <v>97</v>
      </c>
      <c r="I694" s="15" t="s">
        <v>863</v>
      </c>
      <c r="J694" s="15" t="n">
        <v>72</v>
      </c>
      <c r="K694" s="15" t="n">
        <v>71</v>
      </c>
      <c r="L694" s="15" t="n">
        <f aca="false">IF(OR(J694="",K694=""),"",MAX(J694-K694,0))</f>
        <v>1</v>
      </c>
      <c r="M694" s="15" t="s">
        <v>99</v>
      </c>
      <c r="N694" s="17" t="n">
        <v>2020</v>
      </c>
      <c r="O694" s="15" t="n">
        <f aca="false">IF(N694="","",Scoring!$B$4-N694)</f>
        <v>6</v>
      </c>
      <c r="P694" s="15" t="n">
        <f aca="false">IF(N694="","",N694+14)</f>
        <v>2034</v>
      </c>
      <c r="Q694" s="15" t="n">
        <f aca="false">IF(N694="","",IF(N694&lt;Scoring!$B$12,"n/a (pre-1990)",N694+Scoring!$B$13))</f>
        <v>2049</v>
      </c>
      <c r="R694" s="15" t="str">
        <f aca="false">IF(J694="","Unknown",IF(J694&gt;=5,"Yes","No (under 5 units)"))</f>
        <v>Yes</v>
      </c>
      <c r="S694" s="15"/>
      <c r="T694" s="18"/>
      <c r="U694" s="19"/>
      <c r="V694" s="18"/>
      <c r="W694" s="18"/>
      <c r="X694" s="20"/>
      <c r="Y694" s="18"/>
      <c r="Z694" s="18"/>
      <c r="AA694" s="21" t="n">
        <f aca="false">IF(U694&lt;&gt;"",(U694-Scoring!$B$3)/365.25,IF(N694="","",IF(N694&lt;Scoring!$B$12,"",(DATE(N694+Scoring!$B$13,12,31)-Scoring!$B$3)/365.25)))</f>
        <v>23.2470910335387</v>
      </c>
      <c r="AB694" s="22" t="n">
        <f aca="false">IF(T694="Y",0,IF(OR(D694="Expired (verified)",D694="Expiring: notice window (verified)",D694="Expiring: 10-yr horizon (verified)",D694="Past 30-yr mark (verify)",D694="30-yr mark: notice window (est.)",D694="Year-15 window"),1,0)+IF(ISNUMBER(O694),IF(O694&gt;=Scoring!$B$10,1,0),0)+IF(AND(ISNUMBER(L694),ISNUMBER(J694)),IF(J694&gt;0,IF(L694/J694&gt;=Scoring!$B$11,1,0),0),0)+IF(ISNUMBER(Z694),MIN(Z694,3),0))</f>
        <v>0</v>
      </c>
      <c r="AC694" s="22" t="n">
        <f aca="false">IF(AB694&gt;=3,Scoring!$C$24,IF(AB694=2,Scoring!$C$23,IF(AB694=1,Scoring!$C$22,0)))</f>
        <v>0</v>
      </c>
      <c r="AD694" s="22" t="n">
        <f aca="false">IF(T694="Y",0,IF(ISNUMBER(X694),IF(X694&gt;0.7,Scoring!$C$25,IF(X694&gt;=0.5,Scoring!$C$26,IF(X694&gt;=0.3,Scoring!$C$27,Scoring!$C$28))),Scoring!$C$29))</f>
        <v>10</v>
      </c>
      <c r="AE694" s="22" t="n">
        <f aca="false">IF(D694="Expiring: notice window (verified)",Scoring!$C$30,IF(OR(D694="Expired (verified)",D694="30-yr mark: notice window (est.)",D694="Year-15 window"),Scoring!$C$31,IF(D694="Expiring: 10-yr horizon (verified)",Scoring!$C$32,IF(D694="Past 30-yr mark (verify)",Scoring!$C$33,IF(OR(D694="Credit period",D694="Superseded record"),Scoring!$C$35,Scoring!$C$34)))))</f>
        <v>0</v>
      </c>
      <c r="AF694" s="22" t="n">
        <f aca="false">IF(T694="Y",0,IF(ISNUMBER(V694),IF(Scoring!$B$4-V694&gt;15,Scoring!$C$36,IF(Scoring!$B$4-V694&gt;=10,Scoring!$C$37,IF(Scoring!$B$4-V694&gt;=5,Scoring!$C$38,Scoring!$C$39))),IF(OR(N694="",D694="Out of program"),Scoring!$C$40,IF(O694&gt;15,Scoring!$C$36,IF(O694&gt;=10,Scoring!$C$37,IF(O694&gt;=5,Scoring!$C$38,Scoring!$C$39))))))</f>
        <v>8</v>
      </c>
      <c r="AG694" s="22" t="n">
        <f aca="false">IF(T694="Y",0,IF(Y694="Y",Scoring!$C$41,IF(ISNUMBER(O694),IF(O694&gt;=25,Scoring!$C$42,IF(O694&gt;=15,Scoring!$C$43,Scoring!$C$44)),Scoring!$C$44)))</f>
        <v>2</v>
      </c>
      <c r="AH694" s="22" t="n">
        <f aca="false">IF(T694="Y",0,IF(W694="",Scoring!$C$49,IFERROR(VLOOKUP(W694,Scoring!$B$45:$C$48,2,FALSE()),Scoring!$C$49)))</f>
        <v>5</v>
      </c>
      <c r="AI694" s="23" t="n">
        <f aca="false">C694+IF(ISNUMBER(J694),J694,0)/100000+(10000-ROW())/1000000000</f>
        <v>25.000729306</v>
      </c>
      <c r="AJ694" s="18"/>
      <c r="AK694" s="18"/>
      <c r="AL694" s="18"/>
      <c r="AM694" s="18"/>
    </row>
    <row r="695" customFormat="false" ht="15" hidden="false" customHeight="false" outlineLevel="0" collapsed="false">
      <c r="A695" s="15" t="n">
        <f aca="false">RANK(AI695,$AI$2:$AI$755)</f>
        <v>694</v>
      </c>
      <c r="B695" s="16" t="str">
        <f aca="false">IF(T695="Y","Superseded",IF(C695&gt;=Scoring!$B$16,"Immediate",IF(C695&gt;=Scoring!$B$17,"This week",IF(C695&gt;=Scoring!$B$18,"Nurture","Low"))))</f>
        <v>Low</v>
      </c>
      <c r="C695" s="3" t="n">
        <f aca="false">SUM(AC695:AH695)</f>
        <v>25</v>
      </c>
      <c r="D695" s="15" t="str">
        <f aca="false">IF(T695="Y","Superseded record",IF(AND(U695&lt;&gt;"",AA695&lt;0),"Expired (verified)",IF(AND(U695&lt;&gt;"",AA695&lt;=Scoring!$B$5),"Expiring: notice window (verified)",IF(AND(U695&lt;&gt;"",AA695&lt;=Scoring!$B$6),"Expiring: 10-yr horizon (verified)",IF(M695="No Longer Monitored","Out of program",IF(N695="","Unknown vintage",IF(N695&lt;Scoring!$B$12,"Pre-1990, still listed",IF(AND(U695="",AA695&lt;0),"Past 30-yr mark (verify)",IF(AND(U695="",AA695&lt;=Scoring!$B$5),"30-yr mark: notice window (est.)",IF(AND(O695&gt;=Scoring!$B$7,O695&lt;=Scoring!$B$8),"Year-15 window",IF(O695&gt;=Scoring!$B$9,"Recap window",IF(O695&gt;=11,"Late compliance","Credit period"))))))))))))</f>
        <v>Credit period</v>
      </c>
      <c r="E695" s="15" t="s">
        <v>2413</v>
      </c>
      <c r="F695" s="15" t="s">
        <v>2414</v>
      </c>
      <c r="G695" s="15" t="s">
        <v>2415</v>
      </c>
      <c r="H695" s="15" t="s">
        <v>240</v>
      </c>
      <c r="I695" s="15" t="s">
        <v>241</v>
      </c>
      <c r="J695" s="15" t="n">
        <v>68</v>
      </c>
      <c r="K695" s="15" t="n">
        <v>68</v>
      </c>
      <c r="L695" s="15" t="n">
        <f aca="false">IF(OR(J695="",K695=""),"",MAX(J695-K695,0))</f>
        <v>0</v>
      </c>
      <c r="M695" s="15" t="s">
        <v>99</v>
      </c>
      <c r="N695" s="17" t="n">
        <v>2021</v>
      </c>
      <c r="O695" s="15" t="n">
        <f aca="false">IF(N695="","",Scoring!$B$4-N695)</f>
        <v>5</v>
      </c>
      <c r="P695" s="15" t="n">
        <f aca="false">IF(N695="","",N695+14)</f>
        <v>2035</v>
      </c>
      <c r="Q695" s="15" t="n">
        <f aca="false">IF(N695="","",IF(N695&lt;Scoring!$B$12,"n/a (pre-1990)",N695+Scoring!$B$13))</f>
        <v>2050</v>
      </c>
      <c r="R695" s="15" t="str">
        <f aca="false">IF(J695="","Unknown",IF(J695&gt;=5,"Yes","No (under 5 units)"))</f>
        <v>Yes</v>
      </c>
      <c r="S695" s="15"/>
      <c r="T695" s="18"/>
      <c r="U695" s="19"/>
      <c r="V695" s="18"/>
      <c r="W695" s="18"/>
      <c r="X695" s="20"/>
      <c r="Y695" s="18"/>
      <c r="Z695" s="18"/>
      <c r="AA695" s="21" t="n">
        <f aca="false">IF(U695&lt;&gt;"",(U695-Scoring!$B$3)/365.25,IF(N695="","",IF(N695&lt;Scoring!$B$12,"",(DATE(N695+Scoring!$B$13,12,31)-Scoring!$B$3)/365.25)))</f>
        <v>24.2464065708419</v>
      </c>
      <c r="AB695" s="22" t="n">
        <f aca="false">IF(T695="Y",0,IF(OR(D695="Expired (verified)",D695="Expiring: notice window (verified)",D695="Expiring: 10-yr horizon (verified)",D695="Past 30-yr mark (verify)",D695="30-yr mark: notice window (est.)",D695="Year-15 window"),1,0)+IF(ISNUMBER(O695),IF(O695&gt;=Scoring!$B$10,1,0),0)+IF(AND(ISNUMBER(L695),ISNUMBER(J695)),IF(J695&gt;0,IF(L695/J695&gt;=Scoring!$B$11,1,0),0),0)+IF(ISNUMBER(Z695),MIN(Z695,3),0))</f>
        <v>0</v>
      </c>
      <c r="AC695" s="22" t="n">
        <f aca="false">IF(AB695&gt;=3,Scoring!$C$24,IF(AB695=2,Scoring!$C$23,IF(AB695=1,Scoring!$C$22,0)))</f>
        <v>0</v>
      </c>
      <c r="AD695" s="22" t="n">
        <f aca="false">IF(T695="Y",0,IF(ISNUMBER(X695),IF(X695&gt;0.7,Scoring!$C$25,IF(X695&gt;=0.5,Scoring!$C$26,IF(X695&gt;=0.3,Scoring!$C$27,Scoring!$C$28))),Scoring!$C$29))</f>
        <v>10</v>
      </c>
      <c r="AE695" s="22" t="n">
        <f aca="false">IF(D695="Expiring: notice window (verified)",Scoring!$C$30,IF(OR(D695="Expired (verified)",D695="30-yr mark: notice window (est.)",D695="Year-15 window"),Scoring!$C$31,IF(D695="Expiring: 10-yr horizon (verified)",Scoring!$C$32,IF(D695="Past 30-yr mark (verify)",Scoring!$C$33,IF(OR(D695="Credit period",D695="Superseded record"),Scoring!$C$35,Scoring!$C$34)))))</f>
        <v>0</v>
      </c>
      <c r="AF695" s="22" t="n">
        <f aca="false">IF(T695="Y",0,IF(ISNUMBER(V695),IF(Scoring!$B$4-V695&gt;15,Scoring!$C$36,IF(Scoring!$B$4-V695&gt;=10,Scoring!$C$37,IF(Scoring!$B$4-V695&gt;=5,Scoring!$C$38,Scoring!$C$39))),IF(OR(N695="",D695="Out of program"),Scoring!$C$40,IF(O695&gt;15,Scoring!$C$36,IF(O695&gt;=10,Scoring!$C$37,IF(O695&gt;=5,Scoring!$C$38,Scoring!$C$39))))))</f>
        <v>8</v>
      </c>
      <c r="AG695" s="22" t="n">
        <f aca="false">IF(T695="Y",0,IF(Y695="Y",Scoring!$C$41,IF(ISNUMBER(O695),IF(O695&gt;=25,Scoring!$C$42,IF(O695&gt;=15,Scoring!$C$43,Scoring!$C$44)),Scoring!$C$44)))</f>
        <v>2</v>
      </c>
      <c r="AH695" s="22" t="n">
        <f aca="false">IF(T695="Y",0,IF(W695="",Scoring!$C$49,IFERROR(VLOOKUP(W695,Scoring!$B$45:$C$48,2,FALSE()),Scoring!$C$49)))</f>
        <v>5</v>
      </c>
      <c r="AI695" s="23" t="n">
        <f aca="false">C695+IF(ISNUMBER(J695),J695,0)/100000+(10000-ROW())/1000000000</f>
        <v>25.000689305</v>
      </c>
      <c r="AJ695" s="18"/>
      <c r="AK695" s="18"/>
      <c r="AL695" s="18"/>
      <c r="AM695" s="18"/>
    </row>
    <row r="696" customFormat="false" ht="15" hidden="false" customHeight="false" outlineLevel="0" collapsed="false">
      <c r="A696" s="15" t="n">
        <f aca="false">RANK(AI696,$AI$2:$AI$755)</f>
        <v>695</v>
      </c>
      <c r="B696" s="16" t="str">
        <f aca="false">IF(T696="Y","Superseded",IF(C696&gt;=Scoring!$B$16,"Immediate",IF(C696&gt;=Scoring!$B$17,"This week",IF(C696&gt;=Scoring!$B$18,"Nurture","Low"))))</f>
        <v>Low</v>
      </c>
      <c r="C696" s="3" t="n">
        <f aca="false">SUM(AC696:AH696)</f>
        <v>25</v>
      </c>
      <c r="D696" s="15" t="str">
        <f aca="false">IF(T696="Y","Superseded record",IF(AND(U696&lt;&gt;"",AA696&lt;0),"Expired (verified)",IF(AND(U696&lt;&gt;"",AA696&lt;=Scoring!$B$5),"Expiring: notice window (verified)",IF(AND(U696&lt;&gt;"",AA696&lt;=Scoring!$B$6),"Expiring: 10-yr horizon (verified)",IF(M696="No Longer Monitored","Out of program",IF(N696="","Unknown vintage",IF(N696&lt;Scoring!$B$12,"Pre-1990, still listed",IF(AND(U696="",AA696&lt;0),"Past 30-yr mark (verify)",IF(AND(U696="",AA696&lt;=Scoring!$B$5),"30-yr mark: notice window (est.)",IF(AND(O696&gt;=Scoring!$B$7,O696&lt;=Scoring!$B$8),"Year-15 window",IF(O696&gt;=Scoring!$B$9,"Recap window",IF(O696&gt;=11,"Late compliance","Credit period"))))))))))))</f>
        <v>Credit period</v>
      </c>
      <c r="E696" s="15" t="s">
        <v>2416</v>
      </c>
      <c r="F696" s="15" t="s">
        <v>2417</v>
      </c>
      <c r="G696" s="15" t="s">
        <v>2418</v>
      </c>
      <c r="H696" s="15" t="s">
        <v>2419</v>
      </c>
      <c r="I696" s="15" t="s">
        <v>131</v>
      </c>
      <c r="J696" s="15" t="n">
        <v>58</v>
      </c>
      <c r="K696" s="15" t="n">
        <v>58</v>
      </c>
      <c r="L696" s="15" t="n">
        <f aca="false">IF(OR(J696="",K696=""),"",MAX(J696-K696,0))</f>
        <v>0</v>
      </c>
      <c r="M696" s="15" t="s">
        <v>99</v>
      </c>
      <c r="N696" s="17" t="n">
        <v>2018</v>
      </c>
      <c r="O696" s="15" t="n">
        <f aca="false">IF(N696="","",Scoring!$B$4-N696)</f>
        <v>8</v>
      </c>
      <c r="P696" s="15" t="n">
        <f aca="false">IF(N696="","",N696+14)</f>
        <v>2032</v>
      </c>
      <c r="Q696" s="15" t="n">
        <f aca="false">IF(N696="","",IF(N696&lt;Scoring!$B$12,"n/a (pre-1990)",N696+Scoring!$B$13))</f>
        <v>2047</v>
      </c>
      <c r="R696" s="15" t="str">
        <f aca="false">IF(J696="","Unknown",IF(J696&gt;=5,"Yes","No (under 5 units)"))</f>
        <v>Yes</v>
      </c>
      <c r="S696" s="15"/>
      <c r="T696" s="18"/>
      <c r="U696" s="19"/>
      <c r="V696" s="18"/>
      <c r="W696" s="18"/>
      <c r="X696" s="20"/>
      <c r="Y696" s="18"/>
      <c r="Z696" s="18"/>
      <c r="AA696" s="21" t="n">
        <f aca="false">IF(U696&lt;&gt;"",(U696-Scoring!$B$3)/365.25,IF(N696="","",IF(N696&lt;Scoring!$B$12,"",(DATE(N696+Scoring!$B$13,12,31)-Scoring!$B$3)/365.25)))</f>
        <v>21.2457221081451</v>
      </c>
      <c r="AB696" s="22" t="n">
        <f aca="false">IF(T696="Y",0,IF(OR(D696="Expired (verified)",D696="Expiring: notice window (verified)",D696="Expiring: 10-yr horizon (verified)",D696="Past 30-yr mark (verify)",D696="30-yr mark: notice window (est.)",D696="Year-15 window"),1,0)+IF(ISNUMBER(O696),IF(O696&gt;=Scoring!$B$10,1,0),0)+IF(AND(ISNUMBER(L696),ISNUMBER(J696)),IF(J696&gt;0,IF(L696/J696&gt;=Scoring!$B$11,1,0),0),0)+IF(ISNUMBER(Z696),MIN(Z696,3),0))</f>
        <v>0</v>
      </c>
      <c r="AC696" s="22" t="n">
        <f aca="false">IF(AB696&gt;=3,Scoring!$C$24,IF(AB696=2,Scoring!$C$23,IF(AB696=1,Scoring!$C$22,0)))</f>
        <v>0</v>
      </c>
      <c r="AD696" s="22" t="n">
        <f aca="false">IF(T696="Y",0,IF(ISNUMBER(X696),IF(X696&gt;0.7,Scoring!$C$25,IF(X696&gt;=0.5,Scoring!$C$26,IF(X696&gt;=0.3,Scoring!$C$27,Scoring!$C$28))),Scoring!$C$29))</f>
        <v>10</v>
      </c>
      <c r="AE696" s="22" t="n">
        <f aca="false">IF(D696="Expiring: notice window (verified)",Scoring!$C$30,IF(OR(D696="Expired (verified)",D696="30-yr mark: notice window (est.)",D696="Year-15 window"),Scoring!$C$31,IF(D696="Expiring: 10-yr horizon (verified)",Scoring!$C$32,IF(D696="Past 30-yr mark (verify)",Scoring!$C$33,IF(OR(D696="Credit period",D696="Superseded record"),Scoring!$C$35,Scoring!$C$34)))))</f>
        <v>0</v>
      </c>
      <c r="AF696" s="22" t="n">
        <f aca="false">IF(T696="Y",0,IF(ISNUMBER(V696),IF(Scoring!$B$4-V696&gt;15,Scoring!$C$36,IF(Scoring!$B$4-V696&gt;=10,Scoring!$C$37,IF(Scoring!$B$4-V696&gt;=5,Scoring!$C$38,Scoring!$C$39))),IF(OR(N696="",D696="Out of program"),Scoring!$C$40,IF(O696&gt;15,Scoring!$C$36,IF(O696&gt;=10,Scoring!$C$37,IF(O696&gt;=5,Scoring!$C$38,Scoring!$C$39))))))</f>
        <v>8</v>
      </c>
      <c r="AG696" s="22" t="n">
        <f aca="false">IF(T696="Y",0,IF(Y696="Y",Scoring!$C$41,IF(ISNUMBER(O696),IF(O696&gt;=25,Scoring!$C$42,IF(O696&gt;=15,Scoring!$C$43,Scoring!$C$44)),Scoring!$C$44)))</f>
        <v>2</v>
      </c>
      <c r="AH696" s="22" t="n">
        <f aca="false">IF(T696="Y",0,IF(W696="",Scoring!$C$49,IFERROR(VLOOKUP(W696,Scoring!$B$45:$C$48,2,FALSE()),Scoring!$C$49)))</f>
        <v>5</v>
      </c>
      <c r="AI696" s="23" t="n">
        <f aca="false">C696+IF(ISNUMBER(J696),J696,0)/100000+(10000-ROW())/1000000000</f>
        <v>25.000589304</v>
      </c>
      <c r="AJ696" s="18"/>
      <c r="AK696" s="18"/>
      <c r="AL696" s="18"/>
      <c r="AM696" s="18"/>
    </row>
    <row r="697" customFormat="false" ht="15" hidden="false" customHeight="false" outlineLevel="0" collapsed="false">
      <c r="A697" s="15" t="n">
        <f aca="false">RANK(AI697,$AI$2:$AI$755)</f>
        <v>696</v>
      </c>
      <c r="B697" s="16" t="str">
        <f aca="false">IF(T697="Y","Superseded",IF(C697&gt;=Scoring!$B$16,"Immediate",IF(C697&gt;=Scoring!$B$17,"This week",IF(C697&gt;=Scoring!$B$18,"Nurture","Low"))))</f>
        <v>Low</v>
      </c>
      <c r="C697" s="3" t="n">
        <f aca="false">SUM(AC697:AH697)</f>
        <v>25</v>
      </c>
      <c r="D697" s="15" t="str">
        <f aca="false">IF(T697="Y","Superseded record",IF(AND(U697&lt;&gt;"",AA697&lt;0),"Expired (verified)",IF(AND(U697&lt;&gt;"",AA697&lt;=Scoring!$B$5),"Expiring: notice window (verified)",IF(AND(U697&lt;&gt;"",AA697&lt;=Scoring!$B$6),"Expiring: 10-yr horizon (verified)",IF(M697="No Longer Monitored","Out of program",IF(N697="","Unknown vintage",IF(N697&lt;Scoring!$B$12,"Pre-1990, still listed",IF(AND(U697="",AA697&lt;0),"Past 30-yr mark (verify)",IF(AND(U697="",AA697&lt;=Scoring!$B$5),"30-yr mark: notice window (est.)",IF(AND(O697&gt;=Scoring!$B$7,O697&lt;=Scoring!$B$8),"Year-15 window",IF(O697&gt;=Scoring!$B$9,"Recap window",IF(O697&gt;=11,"Late compliance","Credit period"))))))))))))</f>
        <v>Credit period</v>
      </c>
      <c r="E697" s="15" t="s">
        <v>2420</v>
      </c>
      <c r="F697" s="15" t="s">
        <v>2421</v>
      </c>
      <c r="G697" s="15" t="s">
        <v>2422</v>
      </c>
      <c r="H697" s="15" t="s">
        <v>1667</v>
      </c>
      <c r="I697" s="15" t="s">
        <v>1668</v>
      </c>
      <c r="J697" s="15" t="n">
        <v>58</v>
      </c>
      <c r="K697" s="15" t="n">
        <v>58</v>
      </c>
      <c r="L697" s="15" t="n">
        <f aca="false">IF(OR(J697="",K697=""),"",MAX(J697-K697,0))</f>
        <v>0</v>
      </c>
      <c r="M697" s="15" t="s">
        <v>99</v>
      </c>
      <c r="N697" s="17" t="n">
        <v>2019</v>
      </c>
      <c r="O697" s="15" t="n">
        <f aca="false">IF(N697="","",Scoring!$B$4-N697)</f>
        <v>7</v>
      </c>
      <c r="P697" s="15" t="n">
        <f aca="false">IF(N697="","",N697+14)</f>
        <v>2033</v>
      </c>
      <c r="Q697" s="15" t="n">
        <f aca="false">IF(N697="","",IF(N697&lt;Scoring!$B$12,"n/a (pre-1990)",N697+Scoring!$B$13))</f>
        <v>2048</v>
      </c>
      <c r="R697" s="15" t="str">
        <f aca="false">IF(J697="","Unknown",IF(J697&gt;=5,"Yes","No (under 5 units)"))</f>
        <v>Yes</v>
      </c>
      <c r="S697" s="15"/>
      <c r="T697" s="18"/>
      <c r="U697" s="19"/>
      <c r="V697" s="18"/>
      <c r="W697" s="18"/>
      <c r="X697" s="20"/>
      <c r="Y697" s="18"/>
      <c r="Z697" s="18"/>
      <c r="AA697" s="21" t="n">
        <f aca="false">IF(U697&lt;&gt;"",(U697-Scoring!$B$3)/365.25,IF(N697="","",IF(N697&lt;Scoring!$B$12,"",(DATE(N697+Scoring!$B$13,12,31)-Scoring!$B$3)/365.25)))</f>
        <v>22.2477754962355</v>
      </c>
      <c r="AB697" s="22" t="n">
        <f aca="false">IF(T697="Y",0,IF(OR(D697="Expired (verified)",D697="Expiring: notice window (verified)",D697="Expiring: 10-yr horizon (verified)",D697="Past 30-yr mark (verify)",D697="30-yr mark: notice window (est.)",D697="Year-15 window"),1,0)+IF(ISNUMBER(O697),IF(O697&gt;=Scoring!$B$10,1,0),0)+IF(AND(ISNUMBER(L697),ISNUMBER(J697)),IF(J697&gt;0,IF(L697/J697&gt;=Scoring!$B$11,1,0),0),0)+IF(ISNUMBER(Z697),MIN(Z697,3),0))</f>
        <v>0</v>
      </c>
      <c r="AC697" s="22" t="n">
        <f aca="false">IF(AB697&gt;=3,Scoring!$C$24,IF(AB697=2,Scoring!$C$23,IF(AB697=1,Scoring!$C$22,0)))</f>
        <v>0</v>
      </c>
      <c r="AD697" s="22" t="n">
        <f aca="false">IF(T697="Y",0,IF(ISNUMBER(X697),IF(X697&gt;0.7,Scoring!$C$25,IF(X697&gt;=0.5,Scoring!$C$26,IF(X697&gt;=0.3,Scoring!$C$27,Scoring!$C$28))),Scoring!$C$29))</f>
        <v>10</v>
      </c>
      <c r="AE697" s="22" t="n">
        <f aca="false">IF(D697="Expiring: notice window (verified)",Scoring!$C$30,IF(OR(D697="Expired (verified)",D697="30-yr mark: notice window (est.)",D697="Year-15 window"),Scoring!$C$31,IF(D697="Expiring: 10-yr horizon (verified)",Scoring!$C$32,IF(D697="Past 30-yr mark (verify)",Scoring!$C$33,IF(OR(D697="Credit period",D697="Superseded record"),Scoring!$C$35,Scoring!$C$34)))))</f>
        <v>0</v>
      </c>
      <c r="AF697" s="22" t="n">
        <f aca="false">IF(T697="Y",0,IF(ISNUMBER(V697),IF(Scoring!$B$4-V697&gt;15,Scoring!$C$36,IF(Scoring!$B$4-V697&gt;=10,Scoring!$C$37,IF(Scoring!$B$4-V697&gt;=5,Scoring!$C$38,Scoring!$C$39))),IF(OR(N697="",D697="Out of program"),Scoring!$C$40,IF(O697&gt;15,Scoring!$C$36,IF(O697&gt;=10,Scoring!$C$37,IF(O697&gt;=5,Scoring!$C$38,Scoring!$C$39))))))</f>
        <v>8</v>
      </c>
      <c r="AG697" s="22" t="n">
        <f aca="false">IF(T697="Y",0,IF(Y697="Y",Scoring!$C$41,IF(ISNUMBER(O697),IF(O697&gt;=25,Scoring!$C$42,IF(O697&gt;=15,Scoring!$C$43,Scoring!$C$44)),Scoring!$C$44)))</f>
        <v>2</v>
      </c>
      <c r="AH697" s="22" t="n">
        <f aca="false">IF(T697="Y",0,IF(W697="",Scoring!$C$49,IFERROR(VLOOKUP(W697,Scoring!$B$45:$C$48,2,FALSE()),Scoring!$C$49)))</f>
        <v>5</v>
      </c>
      <c r="AI697" s="23" t="n">
        <f aca="false">C697+IF(ISNUMBER(J697),J697,0)/100000+(10000-ROW())/1000000000</f>
        <v>25.000589303</v>
      </c>
      <c r="AJ697" s="18"/>
      <c r="AK697" s="18"/>
      <c r="AL697" s="18"/>
      <c r="AM697" s="18"/>
    </row>
    <row r="698" customFormat="false" ht="15" hidden="false" customHeight="false" outlineLevel="0" collapsed="false">
      <c r="A698" s="15" t="n">
        <f aca="false">RANK(AI698,$AI$2:$AI$755)</f>
        <v>697</v>
      </c>
      <c r="B698" s="16" t="str">
        <f aca="false">IF(T698="Y","Superseded",IF(C698&gt;=Scoring!$B$16,"Immediate",IF(C698&gt;=Scoring!$B$17,"This week",IF(C698&gt;=Scoring!$B$18,"Nurture","Low"))))</f>
        <v>Low</v>
      </c>
      <c r="C698" s="3" t="n">
        <f aca="false">SUM(AC698:AH698)</f>
        <v>25</v>
      </c>
      <c r="D698" s="15" t="str">
        <f aca="false">IF(T698="Y","Superseded record",IF(AND(U698&lt;&gt;"",AA698&lt;0),"Expired (verified)",IF(AND(U698&lt;&gt;"",AA698&lt;=Scoring!$B$5),"Expiring: notice window (verified)",IF(AND(U698&lt;&gt;"",AA698&lt;=Scoring!$B$6),"Expiring: 10-yr horizon (verified)",IF(M698="No Longer Monitored","Out of program",IF(N698="","Unknown vintage",IF(N698&lt;Scoring!$B$12,"Pre-1990, still listed",IF(AND(U698="",AA698&lt;0),"Past 30-yr mark (verify)",IF(AND(U698="",AA698&lt;=Scoring!$B$5),"30-yr mark: notice window (est.)",IF(AND(O698&gt;=Scoring!$B$7,O698&lt;=Scoring!$B$8),"Year-15 window",IF(O698&gt;=Scoring!$B$9,"Recap window",IF(O698&gt;=11,"Late compliance","Credit period"))))))))))))</f>
        <v>Credit period</v>
      </c>
      <c r="E698" s="15" t="s">
        <v>2423</v>
      </c>
      <c r="F698" s="15" t="s">
        <v>2424</v>
      </c>
      <c r="G698" s="15" t="s">
        <v>2425</v>
      </c>
      <c r="H698" s="15" t="s">
        <v>107</v>
      </c>
      <c r="I698" s="15" t="s">
        <v>2426</v>
      </c>
      <c r="J698" s="15" t="n">
        <v>55</v>
      </c>
      <c r="K698" s="15" t="n">
        <v>54</v>
      </c>
      <c r="L698" s="15" t="n">
        <f aca="false">IF(OR(J698="",K698=""),"",MAX(J698-K698,0))</f>
        <v>1</v>
      </c>
      <c r="M698" s="15" t="s">
        <v>99</v>
      </c>
      <c r="N698" s="17" t="n">
        <v>2021</v>
      </c>
      <c r="O698" s="15" t="n">
        <f aca="false">IF(N698="","",Scoring!$B$4-N698)</f>
        <v>5</v>
      </c>
      <c r="P698" s="15" t="n">
        <f aca="false">IF(N698="","",N698+14)</f>
        <v>2035</v>
      </c>
      <c r="Q698" s="15" t="n">
        <f aca="false">IF(N698="","",IF(N698&lt;Scoring!$B$12,"n/a (pre-1990)",N698+Scoring!$B$13))</f>
        <v>2050</v>
      </c>
      <c r="R698" s="15" t="str">
        <f aca="false">IF(J698="","Unknown",IF(J698&gt;=5,"Yes","No (under 5 units)"))</f>
        <v>Yes</v>
      </c>
      <c r="S698" s="15"/>
      <c r="T698" s="18"/>
      <c r="U698" s="19"/>
      <c r="V698" s="18"/>
      <c r="W698" s="18"/>
      <c r="X698" s="20"/>
      <c r="Y698" s="18"/>
      <c r="Z698" s="18"/>
      <c r="AA698" s="21" t="n">
        <f aca="false">IF(U698&lt;&gt;"",(U698-Scoring!$B$3)/365.25,IF(N698="","",IF(N698&lt;Scoring!$B$12,"",(DATE(N698+Scoring!$B$13,12,31)-Scoring!$B$3)/365.25)))</f>
        <v>24.2464065708419</v>
      </c>
      <c r="AB698" s="22" t="n">
        <f aca="false">IF(T698="Y",0,IF(OR(D698="Expired (verified)",D698="Expiring: notice window (verified)",D698="Expiring: 10-yr horizon (verified)",D698="Past 30-yr mark (verify)",D698="30-yr mark: notice window (est.)",D698="Year-15 window"),1,0)+IF(ISNUMBER(O698),IF(O698&gt;=Scoring!$B$10,1,0),0)+IF(AND(ISNUMBER(L698),ISNUMBER(J698)),IF(J698&gt;0,IF(L698/J698&gt;=Scoring!$B$11,1,0),0),0)+IF(ISNUMBER(Z698),MIN(Z698,3),0))</f>
        <v>0</v>
      </c>
      <c r="AC698" s="22" t="n">
        <f aca="false">IF(AB698&gt;=3,Scoring!$C$24,IF(AB698=2,Scoring!$C$23,IF(AB698=1,Scoring!$C$22,0)))</f>
        <v>0</v>
      </c>
      <c r="AD698" s="22" t="n">
        <f aca="false">IF(T698="Y",0,IF(ISNUMBER(X698),IF(X698&gt;0.7,Scoring!$C$25,IF(X698&gt;=0.5,Scoring!$C$26,IF(X698&gt;=0.3,Scoring!$C$27,Scoring!$C$28))),Scoring!$C$29))</f>
        <v>10</v>
      </c>
      <c r="AE698" s="22" t="n">
        <f aca="false">IF(D698="Expiring: notice window (verified)",Scoring!$C$30,IF(OR(D698="Expired (verified)",D698="30-yr mark: notice window (est.)",D698="Year-15 window"),Scoring!$C$31,IF(D698="Expiring: 10-yr horizon (verified)",Scoring!$C$32,IF(D698="Past 30-yr mark (verify)",Scoring!$C$33,IF(OR(D698="Credit period",D698="Superseded record"),Scoring!$C$35,Scoring!$C$34)))))</f>
        <v>0</v>
      </c>
      <c r="AF698" s="22" t="n">
        <f aca="false">IF(T698="Y",0,IF(ISNUMBER(V698),IF(Scoring!$B$4-V698&gt;15,Scoring!$C$36,IF(Scoring!$B$4-V698&gt;=10,Scoring!$C$37,IF(Scoring!$B$4-V698&gt;=5,Scoring!$C$38,Scoring!$C$39))),IF(OR(N698="",D698="Out of program"),Scoring!$C$40,IF(O698&gt;15,Scoring!$C$36,IF(O698&gt;=10,Scoring!$C$37,IF(O698&gt;=5,Scoring!$C$38,Scoring!$C$39))))))</f>
        <v>8</v>
      </c>
      <c r="AG698" s="22" t="n">
        <f aca="false">IF(T698="Y",0,IF(Y698="Y",Scoring!$C$41,IF(ISNUMBER(O698),IF(O698&gt;=25,Scoring!$C$42,IF(O698&gt;=15,Scoring!$C$43,Scoring!$C$44)),Scoring!$C$44)))</f>
        <v>2</v>
      </c>
      <c r="AH698" s="22" t="n">
        <f aca="false">IF(T698="Y",0,IF(W698="",Scoring!$C$49,IFERROR(VLOOKUP(W698,Scoring!$B$45:$C$48,2,FALSE()),Scoring!$C$49)))</f>
        <v>5</v>
      </c>
      <c r="AI698" s="23" t="n">
        <f aca="false">C698+IF(ISNUMBER(J698),J698,0)/100000+(10000-ROW())/1000000000</f>
        <v>25.000559302</v>
      </c>
      <c r="AJ698" s="18"/>
      <c r="AK698" s="18"/>
      <c r="AL698" s="18"/>
      <c r="AM698" s="18"/>
    </row>
    <row r="699" customFormat="false" ht="15" hidden="false" customHeight="false" outlineLevel="0" collapsed="false">
      <c r="A699" s="15" t="n">
        <f aca="false">RANK(AI699,$AI$2:$AI$755)</f>
        <v>698</v>
      </c>
      <c r="B699" s="16" t="str">
        <f aca="false">IF(T699="Y","Superseded",IF(C699&gt;=Scoring!$B$16,"Immediate",IF(C699&gt;=Scoring!$B$17,"This week",IF(C699&gt;=Scoring!$B$18,"Nurture","Low"))))</f>
        <v>Low</v>
      </c>
      <c r="C699" s="3" t="n">
        <f aca="false">SUM(AC699:AH699)</f>
        <v>25</v>
      </c>
      <c r="D699" s="15" t="str">
        <f aca="false">IF(T699="Y","Superseded record",IF(AND(U699&lt;&gt;"",AA699&lt;0),"Expired (verified)",IF(AND(U699&lt;&gt;"",AA699&lt;=Scoring!$B$5),"Expiring: notice window (verified)",IF(AND(U699&lt;&gt;"",AA699&lt;=Scoring!$B$6),"Expiring: 10-yr horizon (verified)",IF(M699="No Longer Monitored","Out of program",IF(N699="","Unknown vintage",IF(N699&lt;Scoring!$B$12,"Pre-1990, still listed",IF(AND(U699="",AA699&lt;0),"Past 30-yr mark (verify)",IF(AND(U699="",AA699&lt;=Scoring!$B$5),"30-yr mark: notice window (est.)",IF(AND(O699&gt;=Scoring!$B$7,O699&lt;=Scoring!$B$8),"Year-15 window",IF(O699&gt;=Scoring!$B$9,"Recap window",IF(O699&gt;=11,"Late compliance","Credit period"))))))))))))</f>
        <v>Credit period</v>
      </c>
      <c r="E699" s="15" t="s">
        <v>2427</v>
      </c>
      <c r="F699" s="15" t="s">
        <v>2428</v>
      </c>
      <c r="G699" s="15" t="s">
        <v>2429</v>
      </c>
      <c r="H699" s="15" t="s">
        <v>97</v>
      </c>
      <c r="I699" s="15" t="s">
        <v>245</v>
      </c>
      <c r="J699" s="15" t="n">
        <v>52</v>
      </c>
      <c r="K699" s="15" t="n">
        <v>52</v>
      </c>
      <c r="L699" s="15" t="n">
        <f aca="false">IF(OR(J699="",K699=""),"",MAX(J699-K699,0))</f>
        <v>0</v>
      </c>
      <c r="M699" s="15" t="s">
        <v>99</v>
      </c>
      <c r="N699" s="17" t="n">
        <v>2018</v>
      </c>
      <c r="O699" s="15" t="n">
        <f aca="false">IF(N699="","",Scoring!$B$4-N699)</f>
        <v>8</v>
      </c>
      <c r="P699" s="15" t="n">
        <f aca="false">IF(N699="","",N699+14)</f>
        <v>2032</v>
      </c>
      <c r="Q699" s="15" t="n">
        <f aca="false">IF(N699="","",IF(N699&lt;Scoring!$B$12,"n/a (pre-1990)",N699+Scoring!$B$13))</f>
        <v>2047</v>
      </c>
      <c r="R699" s="15" t="str">
        <f aca="false">IF(J699="","Unknown",IF(J699&gt;=5,"Yes","No (under 5 units)"))</f>
        <v>Yes</v>
      </c>
      <c r="S699" s="15"/>
      <c r="T699" s="18"/>
      <c r="U699" s="19"/>
      <c r="V699" s="18"/>
      <c r="W699" s="18"/>
      <c r="X699" s="20"/>
      <c r="Y699" s="18"/>
      <c r="Z699" s="18"/>
      <c r="AA699" s="21" t="n">
        <f aca="false">IF(U699&lt;&gt;"",(U699-Scoring!$B$3)/365.25,IF(N699="","",IF(N699&lt;Scoring!$B$12,"",(DATE(N699+Scoring!$B$13,12,31)-Scoring!$B$3)/365.25)))</f>
        <v>21.2457221081451</v>
      </c>
      <c r="AB699" s="22" t="n">
        <f aca="false">IF(T699="Y",0,IF(OR(D699="Expired (verified)",D699="Expiring: notice window (verified)",D699="Expiring: 10-yr horizon (verified)",D699="Past 30-yr mark (verify)",D699="30-yr mark: notice window (est.)",D699="Year-15 window"),1,0)+IF(ISNUMBER(O699),IF(O699&gt;=Scoring!$B$10,1,0),0)+IF(AND(ISNUMBER(L699),ISNUMBER(J699)),IF(J699&gt;0,IF(L699/J699&gt;=Scoring!$B$11,1,0),0),0)+IF(ISNUMBER(Z699),MIN(Z699,3),0))</f>
        <v>0</v>
      </c>
      <c r="AC699" s="22" t="n">
        <f aca="false">IF(AB699&gt;=3,Scoring!$C$24,IF(AB699=2,Scoring!$C$23,IF(AB699=1,Scoring!$C$22,0)))</f>
        <v>0</v>
      </c>
      <c r="AD699" s="22" t="n">
        <f aca="false">IF(T699="Y",0,IF(ISNUMBER(X699),IF(X699&gt;0.7,Scoring!$C$25,IF(X699&gt;=0.5,Scoring!$C$26,IF(X699&gt;=0.3,Scoring!$C$27,Scoring!$C$28))),Scoring!$C$29))</f>
        <v>10</v>
      </c>
      <c r="AE699" s="22" t="n">
        <f aca="false">IF(D699="Expiring: notice window (verified)",Scoring!$C$30,IF(OR(D699="Expired (verified)",D699="30-yr mark: notice window (est.)",D699="Year-15 window"),Scoring!$C$31,IF(D699="Expiring: 10-yr horizon (verified)",Scoring!$C$32,IF(D699="Past 30-yr mark (verify)",Scoring!$C$33,IF(OR(D699="Credit period",D699="Superseded record"),Scoring!$C$35,Scoring!$C$34)))))</f>
        <v>0</v>
      </c>
      <c r="AF699" s="22" t="n">
        <f aca="false">IF(T699="Y",0,IF(ISNUMBER(V699),IF(Scoring!$B$4-V699&gt;15,Scoring!$C$36,IF(Scoring!$B$4-V699&gt;=10,Scoring!$C$37,IF(Scoring!$B$4-V699&gt;=5,Scoring!$C$38,Scoring!$C$39))),IF(OR(N699="",D699="Out of program"),Scoring!$C$40,IF(O699&gt;15,Scoring!$C$36,IF(O699&gt;=10,Scoring!$C$37,IF(O699&gt;=5,Scoring!$C$38,Scoring!$C$39))))))</f>
        <v>8</v>
      </c>
      <c r="AG699" s="22" t="n">
        <f aca="false">IF(T699="Y",0,IF(Y699="Y",Scoring!$C$41,IF(ISNUMBER(O699),IF(O699&gt;=25,Scoring!$C$42,IF(O699&gt;=15,Scoring!$C$43,Scoring!$C$44)),Scoring!$C$44)))</f>
        <v>2</v>
      </c>
      <c r="AH699" s="22" t="n">
        <f aca="false">IF(T699="Y",0,IF(W699="",Scoring!$C$49,IFERROR(VLOOKUP(W699,Scoring!$B$45:$C$48,2,FALSE()),Scoring!$C$49)))</f>
        <v>5</v>
      </c>
      <c r="AI699" s="23" t="n">
        <f aca="false">C699+IF(ISNUMBER(J699),J699,0)/100000+(10000-ROW())/1000000000</f>
        <v>25.000529301</v>
      </c>
      <c r="AJ699" s="18"/>
      <c r="AK699" s="18"/>
      <c r="AL699" s="18"/>
      <c r="AM699" s="18"/>
    </row>
    <row r="700" customFormat="false" ht="15" hidden="false" customHeight="false" outlineLevel="0" collapsed="false">
      <c r="A700" s="15" t="n">
        <f aca="false">RANK(AI700,$AI$2:$AI$755)</f>
        <v>699</v>
      </c>
      <c r="B700" s="16" t="str">
        <f aca="false">IF(T700="Y","Superseded",IF(C700&gt;=Scoring!$B$16,"Immediate",IF(C700&gt;=Scoring!$B$17,"This week",IF(C700&gt;=Scoring!$B$18,"Nurture","Low"))))</f>
        <v>Low</v>
      </c>
      <c r="C700" s="3" t="n">
        <f aca="false">SUM(AC700:AH700)</f>
        <v>25</v>
      </c>
      <c r="D700" s="15" t="str">
        <f aca="false">IF(T700="Y","Superseded record",IF(AND(U700&lt;&gt;"",AA700&lt;0),"Expired (verified)",IF(AND(U700&lt;&gt;"",AA700&lt;=Scoring!$B$5),"Expiring: notice window (verified)",IF(AND(U700&lt;&gt;"",AA700&lt;=Scoring!$B$6),"Expiring: 10-yr horizon (verified)",IF(M700="No Longer Monitored","Out of program",IF(N700="","Unknown vintage",IF(N700&lt;Scoring!$B$12,"Pre-1990, still listed",IF(AND(U700="",AA700&lt;0),"Past 30-yr mark (verify)",IF(AND(U700="",AA700&lt;=Scoring!$B$5),"30-yr mark: notice window (est.)",IF(AND(O700&gt;=Scoring!$B$7,O700&lt;=Scoring!$B$8),"Year-15 window",IF(O700&gt;=Scoring!$B$9,"Recap window",IF(O700&gt;=11,"Late compliance","Credit period"))))))))))))</f>
        <v>Credit period</v>
      </c>
      <c r="E700" s="15" t="s">
        <v>2430</v>
      </c>
      <c r="F700" s="15" t="s">
        <v>2431</v>
      </c>
      <c r="G700" s="15" t="s">
        <v>2432</v>
      </c>
      <c r="H700" s="15" t="s">
        <v>151</v>
      </c>
      <c r="I700" s="15" t="s">
        <v>1174</v>
      </c>
      <c r="J700" s="15" t="n">
        <v>52</v>
      </c>
      <c r="K700" s="15" t="n">
        <v>52</v>
      </c>
      <c r="L700" s="15" t="n">
        <f aca="false">IF(OR(J700="",K700=""),"",MAX(J700-K700,0))</f>
        <v>0</v>
      </c>
      <c r="M700" s="15" t="s">
        <v>99</v>
      </c>
      <c r="N700" s="17" t="n">
        <v>2018</v>
      </c>
      <c r="O700" s="15" t="n">
        <f aca="false">IF(N700="","",Scoring!$B$4-N700)</f>
        <v>8</v>
      </c>
      <c r="P700" s="15" t="n">
        <f aca="false">IF(N700="","",N700+14)</f>
        <v>2032</v>
      </c>
      <c r="Q700" s="15" t="n">
        <f aca="false">IF(N700="","",IF(N700&lt;Scoring!$B$12,"n/a (pre-1990)",N700+Scoring!$B$13))</f>
        <v>2047</v>
      </c>
      <c r="R700" s="15" t="str">
        <f aca="false">IF(J700="","Unknown",IF(J700&gt;=5,"Yes","No (under 5 units)"))</f>
        <v>Yes</v>
      </c>
      <c r="S700" s="15"/>
      <c r="T700" s="18"/>
      <c r="U700" s="19"/>
      <c r="V700" s="18"/>
      <c r="W700" s="18"/>
      <c r="X700" s="20"/>
      <c r="Y700" s="18"/>
      <c r="Z700" s="18"/>
      <c r="AA700" s="21" t="n">
        <f aca="false">IF(U700&lt;&gt;"",(U700-Scoring!$B$3)/365.25,IF(N700="","",IF(N700&lt;Scoring!$B$12,"",(DATE(N700+Scoring!$B$13,12,31)-Scoring!$B$3)/365.25)))</f>
        <v>21.2457221081451</v>
      </c>
      <c r="AB700" s="22" t="n">
        <f aca="false">IF(T700="Y",0,IF(OR(D700="Expired (verified)",D700="Expiring: notice window (verified)",D700="Expiring: 10-yr horizon (verified)",D700="Past 30-yr mark (verify)",D700="30-yr mark: notice window (est.)",D700="Year-15 window"),1,0)+IF(ISNUMBER(O700),IF(O700&gt;=Scoring!$B$10,1,0),0)+IF(AND(ISNUMBER(L700),ISNUMBER(J700)),IF(J700&gt;0,IF(L700/J700&gt;=Scoring!$B$11,1,0),0),0)+IF(ISNUMBER(Z700),MIN(Z700,3),0))</f>
        <v>0</v>
      </c>
      <c r="AC700" s="22" t="n">
        <f aca="false">IF(AB700&gt;=3,Scoring!$C$24,IF(AB700=2,Scoring!$C$23,IF(AB700=1,Scoring!$C$22,0)))</f>
        <v>0</v>
      </c>
      <c r="AD700" s="22" t="n">
        <f aca="false">IF(T700="Y",0,IF(ISNUMBER(X700),IF(X700&gt;0.7,Scoring!$C$25,IF(X700&gt;=0.5,Scoring!$C$26,IF(X700&gt;=0.3,Scoring!$C$27,Scoring!$C$28))),Scoring!$C$29))</f>
        <v>10</v>
      </c>
      <c r="AE700" s="22" t="n">
        <f aca="false">IF(D700="Expiring: notice window (verified)",Scoring!$C$30,IF(OR(D700="Expired (verified)",D700="30-yr mark: notice window (est.)",D700="Year-15 window"),Scoring!$C$31,IF(D700="Expiring: 10-yr horizon (verified)",Scoring!$C$32,IF(D700="Past 30-yr mark (verify)",Scoring!$C$33,IF(OR(D700="Credit period",D700="Superseded record"),Scoring!$C$35,Scoring!$C$34)))))</f>
        <v>0</v>
      </c>
      <c r="AF700" s="22" t="n">
        <f aca="false">IF(T700="Y",0,IF(ISNUMBER(V700),IF(Scoring!$B$4-V700&gt;15,Scoring!$C$36,IF(Scoring!$B$4-V700&gt;=10,Scoring!$C$37,IF(Scoring!$B$4-V700&gt;=5,Scoring!$C$38,Scoring!$C$39))),IF(OR(N700="",D700="Out of program"),Scoring!$C$40,IF(O700&gt;15,Scoring!$C$36,IF(O700&gt;=10,Scoring!$C$37,IF(O700&gt;=5,Scoring!$C$38,Scoring!$C$39))))))</f>
        <v>8</v>
      </c>
      <c r="AG700" s="22" t="n">
        <f aca="false">IF(T700="Y",0,IF(Y700="Y",Scoring!$C$41,IF(ISNUMBER(O700),IF(O700&gt;=25,Scoring!$C$42,IF(O700&gt;=15,Scoring!$C$43,Scoring!$C$44)),Scoring!$C$44)))</f>
        <v>2</v>
      </c>
      <c r="AH700" s="22" t="n">
        <f aca="false">IF(T700="Y",0,IF(W700="",Scoring!$C$49,IFERROR(VLOOKUP(W700,Scoring!$B$45:$C$48,2,FALSE()),Scoring!$C$49)))</f>
        <v>5</v>
      </c>
      <c r="AI700" s="23" t="n">
        <f aca="false">C700+IF(ISNUMBER(J700),J700,0)/100000+(10000-ROW())/1000000000</f>
        <v>25.0005293</v>
      </c>
      <c r="AJ700" s="18"/>
      <c r="AK700" s="18"/>
      <c r="AL700" s="18"/>
      <c r="AM700" s="18"/>
    </row>
    <row r="701" customFormat="false" ht="15" hidden="false" customHeight="false" outlineLevel="0" collapsed="false">
      <c r="A701" s="15" t="n">
        <f aca="false">RANK(AI701,$AI$2:$AI$755)</f>
        <v>700</v>
      </c>
      <c r="B701" s="16" t="str">
        <f aca="false">IF(T701="Y","Superseded",IF(C701&gt;=Scoring!$B$16,"Immediate",IF(C701&gt;=Scoring!$B$17,"This week",IF(C701&gt;=Scoring!$B$18,"Nurture","Low"))))</f>
        <v>Low</v>
      </c>
      <c r="C701" s="3" t="n">
        <f aca="false">SUM(AC701:AH701)</f>
        <v>25</v>
      </c>
      <c r="D701" s="15" t="str">
        <f aca="false">IF(T701="Y","Superseded record",IF(AND(U701&lt;&gt;"",AA701&lt;0),"Expired (verified)",IF(AND(U701&lt;&gt;"",AA701&lt;=Scoring!$B$5),"Expiring: notice window (verified)",IF(AND(U701&lt;&gt;"",AA701&lt;=Scoring!$B$6),"Expiring: 10-yr horizon (verified)",IF(M701="No Longer Monitored","Out of program",IF(N701="","Unknown vintage",IF(N701&lt;Scoring!$B$12,"Pre-1990, still listed",IF(AND(U701="",AA701&lt;0),"Past 30-yr mark (verify)",IF(AND(U701="",AA701&lt;=Scoring!$B$5),"30-yr mark: notice window (est.)",IF(AND(O701&gt;=Scoring!$B$7,O701&lt;=Scoring!$B$8),"Year-15 window",IF(O701&gt;=Scoring!$B$9,"Recap window",IF(O701&gt;=11,"Late compliance","Credit period"))))))))))))</f>
        <v>Credit period</v>
      </c>
      <c r="E701" s="15" t="s">
        <v>2433</v>
      </c>
      <c r="F701" s="15" t="s">
        <v>2434</v>
      </c>
      <c r="G701" s="15" t="s">
        <v>2435</v>
      </c>
      <c r="H701" s="15" t="s">
        <v>977</v>
      </c>
      <c r="I701" s="15" t="s">
        <v>978</v>
      </c>
      <c r="J701" s="15" t="n">
        <v>52</v>
      </c>
      <c r="K701" s="15" t="n">
        <v>52</v>
      </c>
      <c r="L701" s="15" t="n">
        <f aca="false">IF(OR(J701="",K701=""),"",MAX(J701-K701,0))</f>
        <v>0</v>
      </c>
      <c r="M701" s="15" t="s">
        <v>99</v>
      </c>
      <c r="N701" s="17" t="n">
        <v>2020</v>
      </c>
      <c r="O701" s="15" t="n">
        <f aca="false">IF(N701="","",Scoring!$B$4-N701)</f>
        <v>6</v>
      </c>
      <c r="P701" s="15" t="n">
        <f aca="false">IF(N701="","",N701+14)</f>
        <v>2034</v>
      </c>
      <c r="Q701" s="15" t="n">
        <f aca="false">IF(N701="","",IF(N701&lt;Scoring!$B$12,"n/a (pre-1990)",N701+Scoring!$B$13))</f>
        <v>2049</v>
      </c>
      <c r="R701" s="15" t="str">
        <f aca="false">IF(J701="","Unknown",IF(J701&gt;=5,"Yes","No (under 5 units)"))</f>
        <v>Yes</v>
      </c>
      <c r="S701" s="15" t="s">
        <v>2436</v>
      </c>
      <c r="T701" s="18"/>
      <c r="U701" s="19"/>
      <c r="V701" s="18"/>
      <c r="W701" s="18"/>
      <c r="X701" s="20"/>
      <c r="Y701" s="18"/>
      <c r="Z701" s="18"/>
      <c r="AA701" s="21" t="n">
        <f aca="false">IF(U701&lt;&gt;"",(U701-Scoring!$B$3)/365.25,IF(N701="","",IF(N701&lt;Scoring!$B$12,"",(DATE(N701+Scoring!$B$13,12,31)-Scoring!$B$3)/365.25)))</f>
        <v>23.2470910335387</v>
      </c>
      <c r="AB701" s="22" t="n">
        <f aca="false">IF(T701="Y",0,IF(OR(D701="Expired (verified)",D701="Expiring: notice window (verified)",D701="Expiring: 10-yr horizon (verified)",D701="Past 30-yr mark (verify)",D701="30-yr mark: notice window (est.)",D701="Year-15 window"),1,0)+IF(ISNUMBER(O701),IF(O701&gt;=Scoring!$B$10,1,0),0)+IF(AND(ISNUMBER(L701),ISNUMBER(J701)),IF(J701&gt;0,IF(L701/J701&gt;=Scoring!$B$11,1,0),0),0)+IF(ISNUMBER(Z701),MIN(Z701,3),0))</f>
        <v>0</v>
      </c>
      <c r="AC701" s="22" t="n">
        <f aca="false">IF(AB701&gt;=3,Scoring!$C$24,IF(AB701=2,Scoring!$C$23,IF(AB701=1,Scoring!$C$22,0)))</f>
        <v>0</v>
      </c>
      <c r="AD701" s="22" t="n">
        <f aca="false">IF(T701="Y",0,IF(ISNUMBER(X701),IF(X701&gt;0.7,Scoring!$C$25,IF(X701&gt;=0.5,Scoring!$C$26,IF(X701&gt;=0.3,Scoring!$C$27,Scoring!$C$28))),Scoring!$C$29))</f>
        <v>10</v>
      </c>
      <c r="AE701" s="22" t="n">
        <f aca="false">IF(D701="Expiring: notice window (verified)",Scoring!$C$30,IF(OR(D701="Expired (verified)",D701="30-yr mark: notice window (est.)",D701="Year-15 window"),Scoring!$C$31,IF(D701="Expiring: 10-yr horizon (verified)",Scoring!$C$32,IF(D701="Past 30-yr mark (verify)",Scoring!$C$33,IF(OR(D701="Credit period",D701="Superseded record"),Scoring!$C$35,Scoring!$C$34)))))</f>
        <v>0</v>
      </c>
      <c r="AF701" s="22" t="n">
        <f aca="false">IF(T701="Y",0,IF(ISNUMBER(V701),IF(Scoring!$B$4-V701&gt;15,Scoring!$C$36,IF(Scoring!$B$4-V701&gt;=10,Scoring!$C$37,IF(Scoring!$B$4-V701&gt;=5,Scoring!$C$38,Scoring!$C$39))),IF(OR(N701="",D701="Out of program"),Scoring!$C$40,IF(O701&gt;15,Scoring!$C$36,IF(O701&gt;=10,Scoring!$C$37,IF(O701&gt;=5,Scoring!$C$38,Scoring!$C$39))))))</f>
        <v>8</v>
      </c>
      <c r="AG701" s="22" t="n">
        <f aca="false">IF(T701="Y",0,IF(Y701="Y",Scoring!$C$41,IF(ISNUMBER(O701),IF(O701&gt;=25,Scoring!$C$42,IF(O701&gt;=15,Scoring!$C$43,Scoring!$C$44)),Scoring!$C$44)))</f>
        <v>2</v>
      </c>
      <c r="AH701" s="22" t="n">
        <f aca="false">IF(T701="Y",0,IF(W701="",Scoring!$C$49,IFERROR(VLOOKUP(W701,Scoring!$B$45:$C$48,2,FALSE()),Scoring!$C$49)))</f>
        <v>5</v>
      </c>
      <c r="AI701" s="23" t="n">
        <f aca="false">C701+IF(ISNUMBER(J701),J701,0)/100000+(10000-ROW())/1000000000</f>
        <v>25.000529299</v>
      </c>
      <c r="AJ701" s="18"/>
      <c r="AK701" s="18"/>
      <c r="AL701" s="18"/>
      <c r="AM701" s="18"/>
    </row>
    <row r="702" customFormat="false" ht="15" hidden="false" customHeight="false" outlineLevel="0" collapsed="false">
      <c r="A702" s="15" t="n">
        <f aca="false">RANK(AI702,$AI$2:$AI$755)</f>
        <v>701</v>
      </c>
      <c r="B702" s="16" t="str">
        <f aca="false">IF(T702="Y","Superseded",IF(C702&gt;=Scoring!$B$16,"Immediate",IF(C702&gt;=Scoring!$B$17,"This week",IF(C702&gt;=Scoring!$B$18,"Nurture","Low"))))</f>
        <v>Low</v>
      </c>
      <c r="C702" s="3" t="n">
        <f aca="false">SUM(AC702:AH702)</f>
        <v>25</v>
      </c>
      <c r="D702" s="15" t="str">
        <f aca="false">IF(T702="Y","Superseded record",IF(AND(U702&lt;&gt;"",AA702&lt;0),"Expired (verified)",IF(AND(U702&lt;&gt;"",AA702&lt;=Scoring!$B$5),"Expiring: notice window (verified)",IF(AND(U702&lt;&gt;"",AA702&lt;=Scoring!$B$6),"Expiring: 10-yr horizon (verified)",IF(M702="No Longer Monitored","Out of program",IF(N702="","Unknown vintage",IF(N702&lt;Scoring!$B$12,"Pre-1990, still listed",IF(AND(U702="",AA702&lt;0),"Past 30-yr mark (verify)",IF(AND(U702="",AA702&lt;=Scoring!$B$5),"30-yr mark: notice window (est.)",IF(AND(O702&gt;=Scoring!$B$7,O702&lt;=Scoring!$B$8),"Year-15 window",IF(O702&gt;=Scoring!$B$9,"Recap window",IF(O702&gt;=11,"Late compliance","Credit period"))))))))))))</f>
        <v>Credit period</v>
      </c>
      <c r="E702" s="15" t="s">
        <v>2437</v>
      </c>
      <c r="F702" s="15" t="s">
        <v>2438</v>
      </c>
      <c r="G702" s="15" t="s">
        <v>2439</v>
      </c>
      <c r="H702" s="15" t="s">
        <v>97</v>
      </c>
      <c r="I702" s="15" t="s">
        <v>863</v>
      </c>
      <c r="J702" s="15" t="n">
        <v>51</v>
      </c>
      <c r="K702" s="15" t="n">
        <v>51</v>
      </c>
      <c r="L702" s="15" t="n">
        <f aca="false">IF(OR(J702="",K702=""),"",MAX(J702-K702,0))</f>
        <v>0</v>
      </c>
      <c r="M702" s="15" t="s">
        <v>99</v>
      </c>
      <c r="N702" s="17" t="n">
        <v>2018</v>
      </c>
      <c r="O702" s="15" t="n">
        <f aca="false">IF(N702="","",Scoring!$B$4-N702)</f>
        <v>8</v>
      </c>
      <c r="P702" s="15" t="n">
        <f aca="false">IF(N702="","",N702+14)</f>
        <v>2032</v>
      </c>
      <c r="Q702" s="15" t="n">
        <f aca="false">IF(N702="","",IF(N702&lt;Scoring!$B$12,"n/a (pre-1990)",N702+Scoring!$B$13))</f>
        <v>2047</v>
      </c>
      <c r="R702" s="15" t="str">
        <f aca="false">IF(J702="","Unknown",IF(J702&gt;=5,"Yes","No (under 5 units)"))</f>
        <v>Yes</v>
      </c>
      <c r="S702" s="15"/>
      <c r="T702" s="18"/>
      <c r="U702" s="19"/>
      <c r="V702" s="18"/>
      <c r="W702" s="18"/>
      <c r="X702" s="20"/>
      <c r="Y702" s="18"/>
      <c r="Z702" s="18"/>
      <c r="AA702" s="21" t="n">
        <f aca="false">IF(U702&lt;&gt;"",(U702-Scoring!$B$3)/365.25,IF(N702="","",IF(N702&lt;Scoring!$B$12,"",(DATE(N702+Scoring!$B$13,12,31)-Scoring!$B$3)/365.25)))</f>
        <v>21.2457221081451</v>
      </c>
      <c r="AB702" s="22" t="n">
        <f aca="false">IF(T702="Y",0,IF(OR(D702="Expired (verified)",D702="Expiring: notice window (verified)",D702="Expiring: 10-yr horizon (verified)",D702="Past 30-yr mark (verify)",D702="30-yr mark: notice window (est.)",D702="Year-15 window"),1,0)+IF(ISNUMBER(O702),IF(O702&gt;=Scoring!$B$10,1,0),0)+IF(AND(ISNUMBER(L702),ISNUMBER(J702)),IF(J702&gt;0,IF(L702/J702&gt;=Scoring!$B$11,1,0),0),0)+IF(ISNUMBER(Z702),MIN(Z702,3),0))</f>
        <v>0</v>
      </c>
      <c r="AC702" s="22" t="n">
        <f aca="false">IF(AB702&gt;=3,Scoring!$C$24,IF(AB702=2,Scoring!$C$23,IF(AB702=1,Scoring!$C$22,0)))</f>
        <v>0</v>
      </c>
      <c r="AD702" s="22" t="n">
        <f aca="false">IF(T702="Y",0,IF(ISNUMBER(X702),IF(X702&gt;0.7,Scoring!$C$25,IF(X702&gt;=0.5,Scoring!$C$26,IF(X702&gt;=0.3,Scoring!$C$27,Scoring!$C$28))),Scoring!$C$29))</f>
        <v>10</v>
      </c>
      <c r="AE702" s="22" t="n">
        <f aca="false">IF(D702="Expiring: notice window (verified)",Scoring!$C$30,IF(OR(D702="Expired (verified)",D702="30-yr mark: notice window (est.)",D702="Year-15 window"),Scoring!$C$31,IF(D702="Expiring: 10-yr horizon (verified)",Scoring!$C$32,IF(D702="Past 30-yr mark (verify)",Scoring!$C$33,IF(OR(D702="Credit period",D702="Superseded record"),Scoring!$C$35,Scoring!$C$34)))))</f>
        <v>0</v>
      </c>
      <c r="AF702" s="22" t="n">
        <f aca="false">IF(T702="Y",0,IF(ISNUMBER(V702),IF(Scoring!$B$4-V702&gt;15,Scoring!$C$36,IF(Scoring!$B$4-V702&gt;=10,Scoring!$C$37,IF(Scoring!$B$4-V702&gt;=5,Scoring!$C$38,Scoring!$C$39))),IF(OR(N702="",D702="Out of program"),Scoring!$C$40,IF(O702&gt;15,Scoring!$C$36,IF(O702&gt;=10,Scoring!$C$37,IF(O702&gt;=5,Scoring!$C$38,Scoring!$C$39))))))</f>
        <v>8</v>
      </c>
      <c r="AG702" s="22" t="n">
        <f aca="false">IF(T702="Y",0,IF(Y702="Y",Scoring!$C$41,IF(ISNUMBER(O702),IF(O702&gt;=25,Scoring!$C$42,IF(O702&gt;=15,Scoring!$C$43,Scoring!$C$44)),Scoring!$C$44)))</f>
        <v>2</v>
      </c>
      <c r="AH702" s="22" t="n">
        <f aca="false">IF(T702="Y",0,IF(W702="",Scoring!$C$49,IFERROR(VLOOKUP(W702,Scoring!$B$45:$C$48,2,FALSE()),Scoring!$C$49)))</f>
        <v>5</v>
      </c>
      <c r="AI702" s="23" t="n">
        <f aca="false">C702+IF(ISNUMBER(J702),J702,0)/100000+(10000-ROW())/1000000000</f>
        <v>25.000519298</v>
      </c>
      <c r="AJ702" s="18"/>
      <c r="AK702" s="18"/>
      <c r="AL702" s="18"/>
      <c r="AM702" s="18"/>
    </row>
    <row r="703" customFormat="false" ht="15" hidden="false" customHeight="false" outlineLevel="0" collapsed="false">
      <c r="A703" s="15" t="n">
        <f aca="false">RANK(AI703,$AI$2:$AI$755)</f>
        <v>702</v>
      </c>
      <c r="B703" s="16" t="str">
        <f aca="false">IF(T703="Y","Superseded",IF(C703&gt;=Scoring!$B$16,"Immediate",IF(C703&gt;=Scoring!$B$17,"This week",IF(C703&gt;=Scoring!$B$18,"Nurture","Low"))))</f>
        <v>Low</v>
      </c>
      <c r="C703" s="3" t="n">
        <f aca="false">SUM(AC703:AH703)</f>
        <v>25</v>
      </c>
      <c r="D703" s="15" t="str">
        <f aca="false">IF(T703="Y","Superseded record",IF(AND(U703&lt;&gt;"",AA703&lt;0),"Expired (verified)",IF(AND(U703&lt;&gt;"",AA703&lt;=Scoring!$B$5),"Expiring: notice window (verified)",IF(AND(U703&lt;&gt;"",AA703&lt;=Scoring!$B$6),"Expiring: 10-yr horizon (verified)",IF(M703="No Longer Monitored","Out of program",IF(N703="","Unknown vintage",IF(N703&lt;Scoring!$B$12,"Pre-1990, still listed",IF(AND(U703="",AA703&lt;0),"Past 30-yr mark (verify)",IF(AND(U703="",AA703&lt;=Scoring!$B$5),"30-yr mark: notice window (est.)",IF(AND(O703&gt;=Scoring!$B$7,O703&lt;=Scoring!$B$8),"Year-15 window",IF(O703&gt;=Scoring!$B$9,"Recap window",IF(O703&gt;=11,"Late compliance","Credit period"))))))))))))</f>
        <v>Credit period</v>
      </c>
      <c r="E703" s="15" t="s">
        <v>2440</v>
      </c>
      <c r="F703" s="15" t="s">
        <v>2441</v>
      </c>
      <c r="G703" s="15" t="s">
        <v>2442</v>
      </c>
      <c r="H703" s="15" t="s">
        <v>232</v>
      </c>
      <c r="I703" s="15" t="s">
        <v>640</v>
      </c>
      <c r="J703" s="15" t="n">
        <v>50</v>
      </c>
      <c r="K703" s="15" t="n">
        <v>49</v>
      </c>
      <c r="L703" s="15" t="n">
        <f aca="false">IF(OR(J703="",K703=""),"",MAX(J703-K703,0))</f>
        <v>1</v>
      </c>
      <c r="M703" s="15" t="s">
        <v>99</v>
      </c>
      <c r="N703" s="17" t="n">
        <v>2020</v>
      </c>
      <c r="O703" s="15" t="n">
        <f aca="false">IF(N703="","",Scoring!$B$4-N703)</f>
        <v>6</v>
      </c>
      <c r="P703" s="15" t="n">
        <f aca="false">IF(N703="","",N703+14)</f>
        <v>2034</v>
      </c>
      <c r="Q703" s="15" t="n">
        <f aca="false">IF(N703="","",IF(N703&lt;Scoring!$B$12,"n/a (pre-1990)",N703+Scoring!$B$13))</f>
        <v>2049</v>
      </c>
      <c r="R703" s="15" t="str">
        <f aca="false">IF(J703="","Unknown",IF(J703&gt;=5,"Yes","No (under 5 units)"))</f>
        <v>Yes</v>
      </c>
      <c r="S703" s="15"/>
      <c r="T703" s="18"/>
      <c r="U703" s="19"/>
      <c r="V703" s="18"/>
      <c r="W703" s="18"/>
      <c r="X703" s="20"/>
      <c r="Y703" s="18"/>
      <c r="Z703" s="18"/>
      <c r="AA703" s="21" t="n">
        <f aca="false">IF(U703&lt;&gt;"",(U703-Scoring!$B$3)/365.25,IF(N703="","",IF(N703&lt;Scoring!$B$12,"",(DATE(N703+Scoring!$B$13,12,31)-Scoring!$B$3)/365.25)))</f>
        <v>23.2470910335387</v>
      </c>
      <c r="AB703" s="22" t="n">
        <f aca="false">IF(T703="Y",0,IF(OR(D703="Expired (verified)",D703="Expiring: notice window (verified)",D703="Expiring: 10-yr horizon (verified)",D703="Past 30-yr mark (verify)",D703="30-yr mark: notice window (est.)",D703="Year-15 window"),1,0)+IF(ISNUMBER(O703),IF(O703&gt;=Scoring!$B$10,1,0),0)+IF(AND(ISNUMBER(L703),ISNUMBER(J703)),IF(J703&gt;0,IF(L703/J703&gt;=Scoring!$B$11,1,0),0),0)+IF(ISNUMBER(Z703),MIN(Z703,3),0))</f>
        <v>0</v>
      </c>
      <c r="AC703" s="22" t="n">
        <f aca="false">IF(AB703&gt;=3,Scoring!$C$24,IF(AB703=2,Scoring!$C$23,IF(AB703=1,Scoring!$C$22,0)))</f>
        <v>0</v>
      </c>
      <c r="AD703" s="22" t="n">
        <f aca="false">IF(T703="Y",0,IF(ISNUMBER(X703),IF(X703&gt;0.7,Scoring!$C$25,IF(X703&gt;=0.5,Scoring!$C$26,IF(X703&gt;=0.3,Scoring!$C$27,Scoring!$C$28))),Scoring!$C$29))</f>
        <v>10</v>
      </c>
      <c r="AE703" s="22" t="n">
        <f aca="false">IF(D703="Expiring: notice window (verified)",Scoring!$C$30,IF(OR(D703="Expired (verified)",D703="30-yr mark: notice window (est.)",D703="Year-15 window"),Scoring!$C$31,IF(D703="Expiring: 10-yr horizon (verified)",Scoring!$C$32,IF(D703="Past 30-yr mark (verify)",Scoring!$C$33,IF(OR(D703="Credit period",D703="Superseded record"),Scoring!$C$35,Scoring!$C$34)))))</f>
        <v>0</v>
      </c>
      <c r="AF703" s="22" t="n">
        <f aca="false">IF(T703="Y",0,IF(ISNUMBER(V703),IF(Scoring!$B$4-V703&gt;15,Scoring!$C$36,IF(Scoring!$B$4-V703&gt;=10,Scoring!$C$37,IF(Scoring!$B$4-V703&gt;=5,Scoring!$C$38,Scoring!$C$39))),IF(OR(N703="",D703="Out of program"),Scoring!$C$40,IF(O703&gt;15,Scoring!$C$36,IF(O703&gt;=10,Scoring!$C$37,IF(O703&gt;=5,Scoring!$C$38,Scoring!$C$39))))))</f>
        <v>8</v>
      </c>
      <c r="AG703" s="22" t="n">
        <f aca="false">IF(T703="Y",0,IF(Y703="Y",Scoring!$C$41,IF(ISNUMBER(O703),IF(O703&gt;=25,Scoring!$C$42,IF(O703&gt;=15,Scoring!$C$43,Scoring!$C$44)),Scoring!$C$44)))</f>
        <v>2</v>
      </c>
      <c r="AH703" s="22" t="n">
        <f aca="false">IF(T703="Y",0,IF(W703="",Scoring!$C$49,IFERROR(VLOOKUP(W703,Scoring!$B$45:$C$48,2,FALSE()),Scoring!$C$49)))</f>
        <v>5</v>
      </c>
      <c r="AI703" s="23" t="n">
        <f aca="false">C703+IF(ISNUMBER(J703),J703,0)/100000+(10000-ROW())/1000000000</f>
        <v>25.000509297</v>
      </c>
      <c r="AJ703" s="18"/>
      <c r="AK703" s="18"/>
      <c r="AL703" s="18"/>
      <c r="AM703" s="18"/>
    </row>
    <row r="704" customFormat="false" ht="15" hidden="false" customHeight="false" outlineLevel="0" collapsed="false">
      <c r="A704" s="15" t="n">
        <f aca="false">RANK(AI704,$AI$2:$AI$755)</f>
        <v>703</v>
      </c>
      <c r="B704" s="16" t="str">
        <f aca="false">IF(T704="Y","Superseded",IF(C704&gt;=Scoring!$B$16,"Immediate",IF(C704&gt;=Scoring!$B$17,"This week",IF(C704&gt;=Scoring!$B$18,"Nurture","Low"))))</f>
        <v>Low</v>
      </c>
      <c r="C704" s="3" t="n">
        <f aca="false">SUM(AC704:AH704)</f>
        <v>25</v>
      </c>
      <c r="D704" s="15" t="str">
        <f aca="false">IF(T704="Y","Superseded record",IF(AND(U704&lt;&gt;"",AA704&lt;0),"Expired (verified)",IF(AND(U704&lt;&gt;"",AA704&lt;=Scoring!$B$5),"Expiring: notice window (verified)",IF(AND(U704&lt;&gt;"",AA704&lt;=Scoring!$B$6),"Expiring: 10-yr horizon (verified)",IF(M704="No Longer Monitored","Out of program",IF(N704="","Unknown vintage",IF(N704&lt;Scoring!$B$12,"Pre-1990, still listed",IF(AND(U704="",AA704&lt;0),"Past 30-yr mark (verify)",IF(AND(U704="",AA704&lt;=Scoring!$B$5),"30-yr mark: notice window (est.)",IF(AND(O704&gt;=Scoring!$B$7,O704&lt;=Scoring!$B$8),"Year-15 window",IF(O704&gt;=Scoring!$B$9,"Recap window",IF(O704&gt;=11,"Late compliance","Credit period"))))))))))))</f>
        <v>Credit period</v>
      </c>
      <c r="E704" s="15" t="s">
        <v>2443</v>
      </c>
      <c r="F704" s="15" t="s">
        <v>2444</v>
      </c>
      <c r="G704" s="15" t="s">
        <v>2445</v>
      </c>
      <c r="H704" s="15" t="s">
        <v>97</v>
      </c>
      <c r="I704" s="15" t="s">
        <v>103</v>
      </c>
      <c r="J704" s="15" t="n">
        <v>48</v>
      </c>
      <c r="K704" s="15" t="n">
        <v>47</v>
      </c>
      <c r="L704" s="15" t="n">
        <f aca="false">IF(OR(J704="",K704=""),"",MAX(J704-K704,0))</f>
        <v>1</v>
      </c>
      <c r="M704" s="15" t="s">
        <v>99</v>
      </c>
      <c r="N704" s="17" t="n">
        <v>2019</v>
      </c>
      <c r="O704" s="15" t="n">
        <f aca="false">IF(N704="","",Scoring!$B$4-N704)</f>
        <v>7</v>
      </c>
      <c r="P704" s="15" t="n">
        <f aca="false">IF(N704="","",N704+14)</f>
        <v>2033</v>
      </c>
      <c r="Q704" s="15" t="n">
        <f aca="false">IF(N704="","",IF(N704&lt;Scoring!$B$12,"n/a (pre-1990)",N704+Scoring!$B$13))</f>
        <v>2048</v>
      </c>
      <c r="R704" s="15" t="str">
        <f aca="false">IF(J704="","Unknown",IF(J704&gt;=5,"Yes","No (under 5 units)"))</f>
        <v>Yes</v>
      </c>
      <c r="S704" s="15"/>
      <c r="T704" s="18"/>
      <c r="U704" s="19"/>
      <c r="V704" s="18"/>
      <c r="W704" s="18"/>
      <c r="X704" s="20"/>
      <c r="Y704" s="18"/>
      <c r="Z704" s="18"/>
      <c r="AA704" s="21" t="n">
        <f aca="false">IF(U704&lt;&gt;"",(U704-Scoring!$B$3)/365.25,IF(N704="","",IF(N704&lt;Scoring!$B$12,"",(DATE(N704+Scoring!$B$13,12,31)-Scoring!$B$3)/365.25)))</f>
        <v>22.2477754962355</v>
      </c>
      <c r="AB704" s="22" t="n">
        <f aca="false">IF(T704="Y",0,IF(OR(D704="Expired (verified)",D704="Expiring: notice window (verified)",D704="Expiring: 10-yr horizon (verified)",D704="Past 30-yr mark (verify)",D704="30-yr mark: notice window (est.)",D704="Year-15 window"),1,0)+IF(ISNUMBER(O704),IF(O704&gt;=Scoring!$B$10,1,0),0)+IF(AND(ISNUMBER(L704),ISNUMBER(J704)),IF(J704&gt;0,IF(L704/J704&gt;=Scoring!$B$11,1,0),0),0)+IF(ISNUMBER(Z704),MIN(Z704,3),0))</f>
        <v>0</v>
      </c>
      <c r="AC704" s="22" t="n">
        <f aca="false">IF(AB704&gt;=3,Scoring!$C$24,IF(AB704=2,Scoring!$C$23,IF(AB704=1,Scoring!$C$22,0)))</f>
        <v>0</v>
      </c>
      <c r="AD704" s="22" t="n">
        <f aca="false">IF(T704="Y",0,IF(ISNUMBER(X704),IF(X704&gt;0.7,Scoring!$C$25,IF(X704&gt;=0.5,Scoring!$C$26,IF(X704&gt;=0.3,Scoring!$C$27,Scoring!$C$28))),Scoring!$C$29))</f>
        <v>10</v>
      </c>
      <c r="AE704" s="22" t="n">
        <f aca="false">IF(D704="Expiring: notice window (verified)",Scoring!$C$30,IF(OR(D704="Expired (verified)",D704="30-yr mark: notice window (est.)",D704="Year-15 window"),Scoring!$C$31,IF(D704="Expiring: 10-yr horizon (verified)",Scoring!$C$32,IF(D704="Past 30-yr mark (verify)",Scoring!$C$33,IF(OR(D704="Credit period",D704="Superseded record"),Scoring!$C$35,Scoring!$C$34)))))</f>
        <v>0</v>
      </c>
      <c r="AF704" s="22" t="n">
        <f aca="false">IF(T704="Y",0,IF(ISNUMBER(V704),IF(Scoring!$B$4-V704&gt;15,Scoring!$C$36,IF(Scoring!$B$4-V704&gt;=10,Scoring!$C$37,IF(Scoring!$B$4-V704&gt;=5,Scoring!$C$38,Scoring!$C$39))),IF(OR(N704="",D704="Out of program"),Scoring!$C$40,IF(O704&gt;15,Scoring!$C$36,IF(O704&gt;=10,Scoring!$C$37,IF(O704&gt;=5,Scoring!$C$38,Scoring!$C$39))))))</f>
        <v>8</v>
      </c>
      <c r="AG704" s="22" t="n">
        <f aca="false">IF(T704="Y",0,IF(Y704="Y",Scoring!$C$41,IF(ISNUMBER(O704),IF(O704&gt;=25,Scoring!$C$42,IF(O704&gt;=15,Scoring!$C$43,Scoring!$C$44)),Scoring!$C$44)))</f>
        <v>2</v>
      </c>
      <c r="AH704" s="22" t="n">
        <f aca="false">IF(T704="Y",0,IF(W704="",Scoring!$C$49,IFERROR(VLOOKUP(W704,Scoring!$B$45:$C$48,2,FALSE()),Scoring!$C$49)))</f>
        <v>5</v>
      </c>
      <c r="AI704" s="23" t="n">
        <f aca="false">C704+IF(ISNUMBER(J704),J704,0)/100000+(10000-ROW())/1000000000</f>
        <v>25.000489296</v>
      </c>
      <c r="AJ704" s="18"/>
      <c r="AK704" s="18"/>
      <c r="AL704" s="18"/>
      <c r="AM704" s="18"/>
    </row>
    <row r="705" customFormat="false" ht="15" hidden="false" customHeight="false" outlineLevel="0" collapsed="false">
      <c r="A705" s="15" t="n">
        <f aca="false">RANK(AI705,$AI$2:$AI$755)</f>
        <v>704</v>
      </c>
      <c r="B705" s="16" t="str">
        <f aca="false">IF(T705="Y","Superseded",IF(C705&gt;=Scoring!$B$16,"Immediate",IF(C705&gt;=Scoring!$B$17,"This week",IF(C705&gt;=Scoring!$B$18,"Nurture","Low"))))</f>
        <v>Low</v>
      </c>
      <c r="C705" s="3" t="n">
        <f aca="false">SUM(AC705:AH705)</f>
        <v>25</v>
      </c>
      <c r="D705" s="15" t="str">
        <f aca="false">IF(T705="Y","Superseded record",IF(AND(U705&lt;&gt;"",AA705&lt;0),"Expired (verified)",IF(AND(U705&lt;&gt;"",AA705&lt;=Scoring!$B$5),"Expiring: notice window (verified)",IF(AND(U705&lt;&gt;"",AA705&lt;=Scoring!$B$6),"Expiring: 10-yr horizon (verified)",IF(M705="No Longer Monitored","Out of program",IF(N705="","Unknown vintage",IF(N705&lt;Scoring!$B$12,"Pre-1990, still listed",IF(AND(U705="",AA705&lt;0),"Past 30-yr mark (verify)",IF(AND(U705="",AA705&lt;=Scoring!$B$5),"30-yr mark: notice window (est.)",IF(AND(O705&gt;=Scoring!$B$7,O705&lt;=Scoring!$B$8),"Year-15 window",IF(O705&gt;=Scoring!$B$9,"Recap window",IF(O705&gt;=11,"Late compliance","Credit period"))))))))))))</f>
        <v>Credit period</v>
      </c>
      <c r="E705" s="15" t="s">
        <v>2446</v>
      </c>
      <c r="F705" s="15" t="s">
        <v>2447</v>
      </c>
      <c r="G705" s="15" t="s">
        <v>2448</v>
      </c>
      <c r="H705" s="15" t="s">
        <v>2032</v>
      </c>
      <c r="I705" s="15" t="s">
        <v>2033</v>
      </c>
      <c r="J705" s="15" t="n">
        <v>45</v>
      </c>
      <c r="K705" s="15" t="n">
        <v>44</v>
      </c>
      <c r="L705" s="15" t="n">
        <f aca="false">IF(OR(J705="",K705=""),"",MAX(J705-K705,0))</f>
        <v>1</v>
      </c>
      <c r="M705" s="15" t="s">
        <v>99</v>
      </c>
      <c r="N705" s="17" t="n">
        <v>2019</v>
      </c>
      <c r="O705" s="15" t="n">
        <f aca="false">IF(N705="","",Scoring!$B$4-N705)</f>
        <v>7</v>
      </c>
      <c r="P705" s="15" t="n">
        <f aca="false">IF(N705="","",N705+14)</f>
        <v>2033</v>
      </c>
      <c r="Q705" s="15" t="n">
        <f aca="false">IF(N705="","",IF(N705&lt;Scoring!$B$12,"n/a (pre-1990)",N705+Scoring!$B$13))</f>
        <v>2048</v>
      </c>
      <c r="R705" s="15" t="str">
        <f aca="false">IF(J705="","Unknown",IF(J705&gt;=5,"Yes","No (under 5 units)"))</f>
        <v>Yes</v>
      </c>
      <c r="S705" s="15"/>
      <c r="T705" s="18"/>
      <c r="U705" s="19"/>
      <c r="V705" s="18"/>
      <c r="W705" s="18"/>
      <c r="X705" s="20"/>
      <c r="Y705" s="18"/>
      <c r="Z705" s="18"/>
      <c r="AA705" s="21" t="n">
        <f aca="false">IF(U705&lt;&gt;"",(U705-Scoring!$B$3)/365.25,IF(N705="","",IF(N705&lt;Scoring!$B$12,"",(DATE(N705+Scoring!$B$13,12,31)-Scoring!$B$3)/365.25)))</f>
        <v>22.2477754962355</v>
      </c>
      <c r="AB705" s="22" t="n">
        <f aca="false">IF(T705="Y",0,IF(OR(D705="Expired (verified)",D705="Expiring: notice window (verified)",D705="Expiring: 10-yr horizon (verified)",D705="Past 30-yr mark (verify)",D705="30-yr mark: notice window (est.)",D705="Year-15 window"),1,0)+IF(ISNUMBER(O705),IF(O705&gt;=Scoring!$B$10,1,0),0)+IF(AND(ISNUMBER(L705),ISNUMBER(J705)),IF(J705&gt;0,IF(L705/J705&gt;=Scoring!$B$11,1,0),0),0)+IF(ISNUMBER(Z705),MIN(Z705,3),0))</f>
        <v>0</v>
      </c>
      <c r="AC705" s="22" t="n">
        <f aca="false">IF(AB705&gt;=3,Scoring!$C$24,IF(AB705=2,Scoring!$C$23,IF(AB705=1,Scoring!$C$22,0)))</f>
        <v>0</v>
      </c>
      <c r="AD705" s="22" t="n">
        <f aca="false">IF(T705="Y",0,IF(ISNUMBER(X705),IF(X705&gt;0.7,Scoring!$C$25,IF(X705&gt;=0.5,Scoring!$C$26,IF(X705&gt;=0.3,Scoring!$C$27,Scoring!$C$28))),Scoring!$C$29))</f>
        <v>10</v>
      </c>
      <c r="AE705" s="22" t="n">
        <f aca="false">IF(D705="Expiring: notice window (verified)",Scoring!$C$30,IF(OR(D705="Expired (verified)",D705="30-yr mark: notice window (est.)",D705="Year-15 window"),Scoring!$C$31,IF(D705="Expiring: 10-yr horizon (verified)",Scoring!$C$32,IF(D705="Past 30-yr mark (verify)",Scoring!$C$33,IF(OR(D705="Credit period",D705="Superseded record"),Scoring!$C$35,Scoring!$C$34)))))</f>
        <v>0</v>
      </c>
      <c r="AF705" s="22" t="n">
        <f aca="false">IF(T705="Y",0,IF(ISNUMBER(V705),IF(Scoring!$B$4-V705&gt;15,Scoring!$C$36,IF(Scoring!$B$4-V705&gt;=10,Scoring!$C$37,IF(Scoring!$B$4-V705&gt;=5,Scoring!$C$38,Scoring!$C$39))),IF(OR(N705="",D705="Out of program"),Scoring!$C$40,IF(O705&gt;15,Scoring!$C$36,IF(O705&gt;=10,Scoring!$C$37,IF(O705&gt;=5,Scoring!$C$38,Scoring!$C$39))))))</f>
        <v>8</v>
      </c>
      <c r="AG705" s="22" t="n">
        <f aca="false">IF(T705="Y",0,IF(Y705="Y",Scoring!$C$41,IF(ISNUMBER(O705),IF(O705&gt;=25,Scoring!$C$42,IF(O705&gt;=15,Scoring!$C$43,Scoring!$C$44)),Scoring!$C$44)))</f>
        <v>2</v>
      </c>
      <c r="AH705" s="22" t="n">
        <f aca="false">IF(T705="Y",0,IF(W705="",Scoring!$C$49,IFERROR(VLOOKUP(W705,Scoring!$B$45:$C$48,2,FALSE()),Scoring!$C$49)))</f>
        <v>5</v>
      </c>
      <c r="AI705" s="23" t="n">
        <f aca="false">C705+IF(ISNUMBER(J705),J705,0)/100000+(10000-ROW())/1000000000</f>
        <v>25.000459295</v>
      </c>
      <c r="AJ705" s="18"/>
      <c r="AK705" s="18"/>
      <c r="AL705" s="18"/>
      <c r="AM705" s="18"/>
    </row>
    <row r="706" customFormat="false" ht="15" hidden="false" customHeight="false" outlineLevel="0" collapsed="false">
      <c r="A706" s="15" t="n">
        <f aca="false">RANK(AI706,$AI$2:$AI$755)</f>
        <v>705</v>
      </c>
      <c r="B706" s="16" t="str">
        <f aca="false">IF(T706="Y","Superseded",IF(C706&gt;=Scoring!$B$16,"Immediate",IF(C706&gt;=Scoring!$B$17,"This week",IF(C706&gt;=Scoring!$B$18,"Nurture","Low"))))</f>
        <v>Low</v>
      </c>
      <c r="C706" s="3" t="n">
        <f aca="false">SUM(AC706:AH706)</f>
        <v>25</v>
      </c>
      <c r="D706" s="15" t="str">
        <f aca="false">IF(T706="Y","Superseded record",IF(AND(U706&lt;&gt;"",AA706&lt;0),"Expired (verified)",IF(AND(U706&lt;&gt;"",AA706&lt;=Scoring!$B$5),"Expiring: notice window (verified)",IF(AND(U706&lt;&gt;"",AA706&lt;=Scoring!$B$6),"Expiring: 10-yr horizon (verified)",IF(M706="No Longer Monitored","Out of program",IF(N706="","Unknown vintage",IF(N706&lt;Scoring!$B$12,"Pre-1990, still listed",IF(AND(U706="",AA706&lt;0),"Past 30-yr mark (verify)",IF(AND(U706="",AA706&lt;=Scoring!$B$5),"30-yr mark: notice window (est.)",IF(AND(O706&gt;=Scoring!$B$7,O706&lt;=Scoring!$B$8),"Year-15 window",IF(O706&gt;=Scoring!$B$9,"Recap window",IF(O706&gt;=11,"Late compliance","Credit period"))))))))))))</f>
        <v>Credit period</v>
      </c>
      <c r="E706" s="15" t="s">
        <v>2449</v>
      </c>
      <c r="F706" s="15" t="s">
        <v>2450</v>
      </c>
      <c r="G706" s="15" t="s">
        <v>2451</v>
      </c>
      <c r="H706" s="15" t="s">
        <v>598</v>
      </c>
      <c r="I706" s="15" t="s">
        <v>936</v>
      </c>
      <c r="J706" s="15" t="n">
        <v>37</v>
      </c>
      <c r="K706" s="15" t="n">
        <v>36</v>
      </c>
      <c r="L706" s="15" t="n">
        <f aca="false">IF(OR(J706="",K706=""),"",MAX(J706-K706,0))</f>
        <v>1</v>
      </c>
      <c r="M706" s="15" t="s">
        <v>99</v>
      </c>
      <c r="N706" s="17" t="n">
        <v>2018</v>
      </c>
      <c r="O706" s="15" t="n">
        <f aca="false">IF(N706="","",Scoring!$B$4-N706)</f>
        <v>8</v>
      </c>
      <c r="P706" s="15" t="n">
        <f aca="false">IF(N706="","",N706+14)</f>
        <v>2032</v>
      </c>
      <c r="Q706" s="15" t="n">
        <f aca="false">IF(N706="","",IF(N706&lt;Scoring!$B$12,"n/a (pre-1990)",N706+Scoring!$B$13))</f>
        <v>2047</v>
      </c>
      <c r="R706" s="15" t="str">
        <f aca="false">IF(J706="","Unknown",IF(J706&gt;=5,"Yes","No (under 5 units)"))</f>
        <v>Yes</v>
      </c>
      <c r="S706" s="15"/>
      <c r="T706" s="18"/>
      <c r="U706" s="19"/>
      <c r="V706" s="18"/>
      <c r="W706" s="18"/>
      <c r="X706" s="20"/>
      <c r="Y706" s="18"/>
      <c r="Z706" s="18"/>
      <c r="AA706" s="21" t="n">
        <f aca="false">IF(U706&lt;&gt;"",(U706-Scoring!$B$3)/365.25,IF(N706="","",IF(N706&lt;Scoring!$B$12,"",(DATE(N706+Scoring!$B$13,12,31)-Scoring!$B$3)/365.25)))</f>
        <v>21.2457221081451</v>
      </c>
      <c r="AB706" s="22" t="n">
        <f aca="false">IF(T706="Y",0,IF(OR(D706="Expired (verified)",D706="Expiring: notice window (verified)",D706="Expiring: 10-yr horizon (verified)",D706="Past 30-yr mark (verify)",D706="30-yr mark: notice window (est.)",D706="Year-15 window"),1,0)+IF(ISNUMBER(O706),IF(O706&gt;=Scoring!$B$10,1,0),0)+IF(AND(ISNUMBER(L706),ISNUMBER(J706)),IF(J706&gt;0,IF(L706/J706&gt;=Scoring!$B$11,1,0),0),0)+IF(ISNUMBER(Z706),MIN(Z706,3),0))</f>
        <v>0</v>
      </c>
      <c r="AC706" s="22" t="n">
        <f aca="false">IF(AB706&gt;=3,Scoring!$C$24,IF(AB706=2,Scoring!$C$23,IF(AB706=1,Scoring!$C$22,0)))</f>
        <v>0</v>
      </c>
      <c r="AD706" s="22" t="n">
        <f aca="false">IF(T706="Y",0,IF(ISNUMBER(X706),IF(X706&gt;0.7,Scoring!$C$25,IF(X706&gt;=0.5,Scoring!$C$26,IF(X706&gt;=0.3,Scoring!$C$27,Scoring!$C$28))),Scoring!$C$29))</f>
        <v>10</v>
      </c>
      <c r="AE706" s="22" t="n">
        <f aca="false">IF(D706="Expiring: notice window (verified)",Scoring!$C$30,IF(OR(D706="Expired (verified)",D706="30-yr mark: notice window (est.)",D706="Year-15 window"),Scoring!$C$31,IF(D706="Expiring: 10-yr horizon (verified)",Scoring!$C$32,IF(D706="Past 30-yr mark (verify)",Scoring!$C$33,IF(OR(D706="Credit period",D706="Superseded record"),Scoring!$C$35,Scoring!$C$34)))))</f>
        <v>0</v>
      </c>
      <c r="AF706" s="22" t="n">
        <f aca="false">IF(T706="Y",0,IF(ISNUMBER(V706),IF(Scoring!$B$4-V706&gt;15,Scoring!$C$36,IF(Scoring!$B$4-V706&gt;=10,Scoring!$C$37,IF(Scoring!$B$4-V706&gt;=5,Scoring!$C$38,Scoring!$C$39))),IF(OR(N706="",D706="Out of program"),Scoring!$C$40,IF(O706&gt;15,Scoring!$C$36,IF(O706&gt;=10,Scoring!$C$37,IF(O706&gt;=5,Scoring!$C$38,Scoring!$C$39))))))</f>
        <v>8</v>
      </c>
      <c r="AG706" s="22" t="n">
        <f aca="false">IF(T706="Y",0,IF(Y706="Y",Scoring!$C$41,IF(ISNUMBER(O706),IF(O706&gt;=25,Scoring!$C$42,IF(O706&gt;=15,Scoring!$C$43,Scoring!$C$44)),Scoring!$C$44)))</f>
        <v>2</v>
      </c>
      <c r="AH706" s="22" t="n">
        <f aca="false">IF(T706="Y",0,IF(W706="",Scoring!$C$49,IFERROR(VLOOKUP(W706,Scoring!$B$45:$C$48,2,FALSE()),Scoring!$C$49)))</f>
        <v>5</v>
      </c>
      <c r="AI706" s="23" t="n">
        <f aca="false">C706+IF(ISNUMBER(J706),J706,0)/100000+(10000-ROW())/1000000000</f>
        <v>25.000379294</v>
      </c>
      <c r="AJ706" s="18"/>
      <c r="AK706" s="18"/>
      <c r="AL706" s="18"/>
      <c r="AM706" s="18"/>
    </row>
    <row r="707" customFormat="false" ht="15" hidden="false" customHeight="false" outlineLevel="0" collapsed="false">
      <c r="A707" s="15" t="n">
        <f aca="false">RANK(AI707,$AI$2:$AI$755)</f>
        <v>706</v>
      </c>
      <c r="B707" s="16" t="str">
        <f aca="false">IF(T707="Y","Superseded",IF(C707&gt;=Scoring!$B$16,"Immediate",IF(C707&gt;=Scoring!$B$17,"This week",IF(C707&gt;=Scoring!$B$18,"Nurture","Low"))))</f>
        <v>Low</v>
      </c>
      <c r="C707" s="3" t="n">
        <f aca="false">SUM(AC707:AH707)</f>
        <v>25</v>
      </c>
      <c r="D707" s="15" t="str">
        <f aca="false">IF(T707="Y","Superseded record",IF(AND(U707&lt;&gt;"",AA707&lt;0),"Expired (verified)",IF(AND(U707&lt;&gt;"",AA707&lt;=Scoring!$B$5),"Expiring: notice window (verified)",IF(AND(U707&lt;&gt;"",AA707&lt;=Scoring!$B$6),"Expiring: 10-yr horizon (verified)",IF(M707="No Longer Monitored","Out of program",IF(N707="","Unknown vintage",IF(N707&lt;Scoring!$B$12,"Pre-1990, still listed",IF(AND(U707="",AA707&lt;0),"Past 30-yr mark (verify)",IF(AND(U707="",AA707&lt;=Scoring!$B$5),"30-yr mark: notice window (est.)",IF(AND(O707&gt;=Scoring!$B$7,O707&lt;=Scoring!$B$8),"Year-15 window",IF(O707&gt;=Scoring!$B$9,"Recap window",IF(O707&gt;=11,"Late compliance","Credit period"))))))))))))</f>
        <v>Credit period</v>
      </c>
      <c r="E707" s="15" t="s">
        <v>2452</v>
      </c>
      <c r="F707" s="15" t="s">
        <v>2453</v>
      </c>
      <c r="G707" s="15" t="s">
        <v>2454</v>
      </c>
      <c r="H707" s="15" t="s">
        <v>207</v>
      </c>
      <c r="I707" s="15" t="s">
        <v>208</v>
      </c>
      <c r="J707" s="15" t="n">
        <v>35</v>
      </c>
      <c r="K707" s="15" t="n">
        <v>34</v>
      </c>
      <c r="L707" s="15" t="n">
        <f aca="false">IF(OR(J707="",K707=""),"",MAX(J707-K707,0))</f>
        <v>1</v>
      </c>
      <c r="M707" s="15" t="s">
        <v>99</v>
      </c>
      <c r="N707" s="17" t="n">
        <v>2018</v>
      </c>
      <c r="O707" s="15" t="n">
        <f aca="false">IF(N707="","",Scoring!$B$4-N707)</f>
        <v>8</v>
      </c>
      <c r="P707" s="15" t="n">
        <f aca="false">IF(N707="","",N707+14)</f>
        <v>2032</v>
      </c>
      <c r="Q707" s="15" t="n">
        <f aca="false">IF(N707="","",IF(N707&lt;Scoring!$B$12,"n/a (pre-1990)",N707+Scoring!$B$13))</f>
        <v>2047</v>
      </c>
      <c r="R707" s="15" t="str">
        <f aca="false">IF(J707="","Unknown",IF(J707&gt;=5,"Yes","No (under 5 units)"))</f>
        <v>Yes</v>
      </c>
      <c r="S707" s="15"/>
      <c r="T707" s="18"/>
      <c r="U707" s="19"/>
      <c r="V707" s="18"/>
      <c r="W707" s="18"/>
      <c r="X707" s="20"/>
      <c r="Y707" s="18"/>
      <c r="Z707" s="18"/>
      <c r="AA707" s="21" t="n">
        <f aca="false">IF(U707&lt;&gt;"",(U707-Scoring!$B$3)/365.25,IF(N707="","",IF(N707&lt;Scoring!$B$12,"",(DATE(N707+Scoring!$B$13,12,31)-Scoring!$B$3)/365.25)))</f>
        <v>21.2457221081451</v>
      </c>
      <c r="AB707" s="22" t="n">
        <f aca="false">IF(T707="Y",0,IF(OR(D707="Expired (verified)",D707="Expiring: notice window (verified)",D707="Expiring: 10-yr horizon (verified)",D707="Past 30-yr mark (verify)",D707="30-yr mark: notice window (est.)",D707="Year-15 window"),1,0)+IF(ISNUMBER(O707),IF(O707&gt;=Scoring!$B$10,1,0),0)+IF(AND(ISNUMBER(L707),ISNUMBER(J707)),IF(J707&gt;0,IF(L707/J707&gt;=Scoring!$B$11,1,0),0),0)+IF(ISNUMBER(Z707),MIN(Z707,3),0))</f>
        <v>0</v>
      </c>
      <c r="AC707" s="22" t="n">
        <f aca="false">IF(AB707&gt;=3,Scoring!$C$24,IF(AB707=2,Scoring!$C$23,IF(AB707=1,Scoring!$C$22,0)))</f>
        <v>0</v>
      </c>
      <c r="AD707" s="22" t="n">
        <f aca="false">IF(T707="Y",0,IF(ISNUMBER(X707),IF(X707&gt;0.7,Scoring!$C$25,IF(X707&gt;=0.5,Scoring!$C$26,IF(X707&gt;=0.3,Scoring!$C$27,Scoring!$C$28))),Scoring!$C$29))</f>
        <v>10</v>
      </c>
      <c r="AE707" s="22" t="n">
        <f aca="false">IF(D707="Expiring: notice window (verified)",Scoring!$C$30,IF(OR(D707="Expired (verified)",D707="30-yr mark: notice window (est.)",D707="Year-15 window"),Scoring!$C$31,IF(D707="Expiring: 10-yr horizon (verified)",Scoring!$C$32,IF(D707="Past 30-yr mark (verify)",Scoring!$C$33,IF(OR(D707="Credit period",D707="Superseded record"),Scoring!$C$35,Scoring!$C$34)))))</f>
        <v>0</v>
      </c>
      <c r="AF707" s="22" t="n">
        <f aca="false">IF(T707="Y",0,IF(ISNUMBER(V707),IF(Scoring!$B$4-V707&gt;15,Scoring!$C$36,IF(Scoring!$B$4-V707&gt;=10,Scoring!$C$37,IF(Scoring!$B$4-V707&gt;=5,Scoring!$C$38,Scoring!$C$39))),IF(OR(N707="",D707="Out of program"),Scoring!$C$40,IF(O707&gt;15,Scoring!$C$36,IF(O707&gt;=10,Scoring!$C$37,IF(O707&gt;=5,Scoring!$C$38,Scoring!$C$39))))))</f>
        <v>8</v>
      </c>
      <c r="AG707" s="22" t="n">
        <f aca="false">IF(T707="Y",0,IF(Y707="Y",Scoring!$C$41,IF(ISNUMBER(O707),IF(O707&gt;=25,Scoring!$C$42,IF(O707&gt;=15,Scoring!$C$43,Scoring!$C$44)),Scoring!$C$44)))</f>
        <v>2</v>
      </c>
      <c r="AH707" s="22" t="n">
        <f aca="false">IF(T707="Y",0,IF(W707="",Scoring!$C$49,IFERROR(VLOOKUP(W707,Scoring!$B$45:$C$48,2,FALSE()),Scoring!$C$49)))</f>
        <v>5</v>
      </c>
      <c r="AI707" s="23" t="n">
        <f aca="false">C707+IF(ISNUMBER(J707),J707,0)/100000+(10000-ROW())/1000000000</f>
        <v>25.000359293</v>
      </c>
      <c r="AJ707" s="18"/>
      <c r="AK707" s="18"/>
      <c r="AL707" s="18"/>
      <c r="AM707" s="18"/>
    </row>
    <row r="708" customFormat="false" ht="15" hidden="false" customHeight="false" outlineLevel="0" collapsed="false">
      <c r="A708" s="15" t="n">
        <f aca="false">RANK(AI708,$AI$2:$AI$755)</f>
        <v>707</v>
      </c>
      <c r="B708" s="16" t="str">
        <f aca="false">IF(T708="Y","Superseded",IF(C708&gt;=Scoring!$B$16,"Immediate",IF(C708&gt;=Scoring!$B$17,"This week",IF(C708&gt;=Scoring!$B$18,"Nurture","Low"))))</f>
        <v>Low</v>
      </c>
      <c r="C708" s="3" t="n">
        <f aca="false">SUM(AC708:AH708)</f>
        <v>25</v>
      </c>
      <c r="D708" s="15" t="str">
        <f aca="false">IF(T708="Y","Superseded record",IF(AND(U708&lt;&gt;"",AA708&lt;0),"Expired (verified)",IF(AND(U708&lt;&gt;"",AA708&lt;=Scoring!$B$5),"Expiring: notice window (verified)",IF(AND(U708&lt;&gt;"",AA708&lt;=Scoring!$B$6),"Expiring: 10-yr horizon (verified)",IF(M708="No Longer Monitored","Out of program",IF(N708="","Unknown vintage",IF(N708&lt;Scoring!$B$12,"Pre-1990, still listed",IF(AND(U708="",AA708&lt;0),"Past 30-yr mark (verify)",IF(AND(U708="",AA708&lt;=Scoring!$B$5),"30-yr mark: notice window (est.)",IF(AND(O708&gt;=Scoring!$B$7,O708&lt;=Scoring!$B$8),"Year-15 window",IF(O708&gt;=Scoring!$B$9,"Recap window",IF(O708&gt;=11,"Late compliance","Credit period"))))))))))))</f>
        <v>Credit period</v>
      </c>
      <c r="E708" s="15" t="s">
        <v>2455</v>
      </c>
      <c r="F708" s="15" t="s">
        <v>2456</v>
      </c>
      <c r="G708" s="15" t="s">
        <v>2457</v>
      </c>
      <c r="H708" s="15" t="s">
        <v>232</v>
      </c>
      <c r="I708" s="15" t="s">
        <v>233</v>
      </c>
      <c r="J708" s="15" t="n">
        <v>32</v>
      </c>
      <c r="K708" s="15" t="n">
        <v>31</v>
      </c>
      <c r="L708" s="15" t="n">
        <f aca="false">IF(OR(J708="",K708=""),"",MAX(J708-K708,0))</f>
        <v>1</v>
      </c>
      <c r="M708" s="15" t="s">
        <v>99</v>
      </c>
      <c r="N708" s="17" t="n">
        <v>2018</v>
      </c>
      <c r="O708" s="15" t="n">
        <f aca="false">IF(N708="","",Scoring!$B$4-N708)</f>
        <v>8</v>
      </c>
      <c r="P708" s="15" t="n">
        <f aca="false">IF(N708="","",N708+14)</f>
        <v>2032</v>
      </c>
      <c r="Q708" s="15" t="n">
        <f aca="false">IF(N708="","",IF(N708&lt;Scoring!$B$12,"n/a (pre-1990)",N708+Scoring!$B$13))</f>
        <v>2047</v>
      </c>
      <c r="R708" s="15" t="str">
        <f aca="false">IF(J708="","Unknown",IF(J708&gt;=5,"Yes","No (under 5 units)"))</f>
        <v>Yes</v>
      </c>
      <c r="S708" s="15"/>
      <c r="T708" s="18"/>
      <c r="U708" s="19"/>
      <c r="V708" s="18"/>
      <c r="W708" s="18"/>
      <c r="X708" s="20"/>
      <c r="Y708" s="18"/>
      <c r="Z708" s="18"/>
      <c r="AA708" s="21" t="n">
        <f aca="false">IF(U708&lt;&gt;"",(U708-Scoring!$B$3)/365.25,IF(N708="","",IF(N708&lt;Scoring!$B$12,"",(DATE(N708+Scoring!$B$13,12,31)-Scoring!$B$3)/365.25)))</f>
        <v>21.2457221081451</v>
      </c>
      <c r="AB708" s="22" t="n">
        <f aca="false">IF(T708="Y",0,IF(OR(D708="Expired (verified)",D708="Expiring: notice window (verified)",D708="Expiring: 10-yr horizon (verified)",D708="Past 30-yr mark (verify)",D708="30-yr mark: notice window (est.)",D708="Year-15 window"),1,0)+IF(ISNUMBER(O708),IF(O708&gt;=Scoring!$B$10,1,0),0)+IF(AND(ISNUMBER(L708),ISNUMBER(J708)),IF(J708&gt;0,IF(L708/J708&gt;=Scoring!$B$11,1,0),0),0)+IF(ISNUMBER(Z708),MIN(Z708,3),0))</f>
        <v>0</v>
      </c>
      <c r="AC708" s="22" t="n">
        <f aca="false">IF(AB708&gt;=3,Scoring!$C$24,IF(AB708=2,Scoring!$C$23,IF(AB708=1,Scoring!$C$22,0)))</f>
        <v>0</v>
      </c>
      <c r="AD708" s="22" t="n">
        <f aca="false">IF(T708="Y",0,IF(ISNUMBER(X708),IF(X708&gt;0.7,Scoring!$C$25,IF(X708&gt;=0.5,Scoring!$C$26,IF(X708&gt;=0.3,Scoring!$C$27,Scoring!$C$28))),Scoring!$C$29))</f>
        <v>10</v>
      </c>
      <c r="AE708" s="22" t="n">
        <f aca="false">IF(D708="Expiring: notice window (verified)",Scoring!$C$30,IF(OR(D708="Expired (verified)",D708="30-yr mark: notice window (est.)",D708="Year-15 window"),Scoring!$C$31,IF(D708="Expiring: 10-yr horizon (verified)",Scoring!$C$32,IF(D708="Past 30-yr mark (verify)",Scoring!$C$33,IF(OR(D708="Credit period",D708="Superseded record"),Scoring!$C$35,Scoring!$C$34)))))</f>
        <v>0</v>
      </c>
      <c r="AF708" s="22" t="n">
        <f aca="false">IF(T708="Y",0,IF(ISNUMBER(V708),IF(Scoring!$B$4-V708&gt;15,Scoring!$C$36,IF(Scoring!$B$4-V708&gt;=10,Scoring!$C$37,IF(Scoring!$B$4-V708&gt;=5,Scoring!$C$38,Scoring!$C$39))),IF(OR(N708="",D708="Out of program"),Scoring!$C$40,IF(O708&gt;15,Scoring!$C$36,IF(O708&gt;=10,Scoring!$C$37,IF(O708&gt;=5,Scoring!$C$38,Scoring!$C$39))))))</f>
        <v>8</v>
      </c>
      <c r="AG708" s="22" t="n">
        <f aca="false">IF(T708="Y",0,IF(Y708="Y",Scoring!$C$41,IF(ISNUMBER(O708),IF(O708&gt;=25,Scoring!$C$42,IF(O708&gt;=15,Scoring!$C$43,Scoring!$C$44)),Scoring!$C$44)))</f>
        <v>2</v>
      </c>
      <c r="AH708" s="22" t="n">
        <f aca="false">IF(T708="Y",0,IF(W708="",Scoring!$C$49,IFERROR(VLOOKUP(W708,Scoring!$B$45:$C$48,2,FALSE()),Scoring!$C$49)))</f>
        <v>5</v>
      </c>
      <c r="AI708" s="23" t="n">
        <f aca="false">C708+IF(ISNUMBER(J708),J708,0)/100000+(10000-ROW())/1000000000</f>
        <v>25.000329292</v>
      </c>
      <c r="AJ708" s="18"/>
      <c r="AK708" s="18"/>
      <c r="AL708" s="18"/>
      <c r="AM708" s="18"/>
    </row>
    <row r="709" customFormat="false" ht="15" hidden="false" customHeight="false" outlineLevel="0" collapsed="false">
      <c r="A709" s="15" t="n">
        <f aca="false">RANK(AI709,$AI$2:$AI$755)</f>
        <v>708</v>
      </c>
      <c r="B709" s="16" t="str">
        <f aca="false">IF(T709="Y","Superseded",IF(C709&gt;=Scoring!$B$16,"Immediate",IF(C709&gt;=Scoring!$B$17,"This week",IF(C709&gt;=Scoring!$B$18,"Nurture","Low"))))</f>
        <v>Low</v>
      </c>
      <c r="C709" s="3" t="n">
        <f aca="false">SUM(AC709:AH709)</f>
        <v>25</v>
      </c>
      <c r="D709" s="15" t="str">
        <f aca="false">IF(T709="Y","Superseded record",IF(AND(U709&lt;&gt;"",AA709&lt;0),"Expired (verified)",IF(AND(U709&lt;&gt;"",AA709&lt;=Scoring!$B$5),"Expiring: notice window (verified)",IF(AND(U709&lt;&gt;"",AA709&lt;=Scoring!$B$6),"Expiring: 10-yr horizon (verified)",IF(M709="No Longer Monitored","Out of program",IF(N709="","Unknown vintage",IF(N709&lt;Scoring!$B$12,"Pre-1990, still listed",IF(AND(U709="",AA709&lt;0),"Past 30-yr mark (verify)",IF(AND(U709="",AA709&lt;=Scoring!$B$5),"30-yr mark: notice window (est.)",IF(AND(O709&gt;=Scoring!$B$7,O709&lt;=Scoring!$B$8),"Year-15 window",IF(O709&gt;=Scoring!$B$9,"Recap window",IF(O709&gt;=11,"Late compliance","Credit period"))))))))))))</f>
        <v>Credit period</v>
      </c>
      <c r="E709" s="15" t="s">
        <v>2458</v>
      </c>
      <c r="F709" s="15" t="s">
        <v>2459</v>
      </c>
      <c r="G709" s="15" t="s">
        <v>2460</v>
      </c>
      <c r="H709" s="15" t="s">
        <v>340</v>
      </c>
      <c r="I709" s="15" t="s">
        <v>341</v>
      </c>
      <c r="J709" s="15" t="n">
        <v>29</v>
      </c>
      <c r="K709" s="15" t="n">
        <v>28</v>
      </c>
      <c r="L709" s="15" t="n">
        <f aca="false">IF(OR(J709="",K709=""),"",MAX(J709-K709,0))</f>
        <v>1</v>
      </c>
      <c r="M709" s="15" t="s">
        <v>99</v>
      </c>
      <c r="N709" s="17" t="n">
        <v>2018</v>
      </c>
      <c r="O709" s="15" t="n">
        <f aca="false">IF(N709="","",Scoring!$B$4-N709)</f>
        <v>8</v>
      </c>
      <c r="P709" s="15" t="n">
        <f aca="false">IF(N709="","",N709+14)</f>
        <v>2032</v>
      </c>
      <c r="Q709" s="15" t="n">
        <f aca="false">IF(N709="","",IF(N709&lt;Scoring!$B$12,"n/a (pre-1990)",N709+Scoring!$B$13))</f>
        <v>2047</v>
      </c>
      <c r="R709" s="15" t="str">
        <f aca="false">IF(J709="","Unknown",IF(J709&gt;=5,"Yes","No (under 5 units)"))</f>
        <v>Yes</v>
      </c>
      <c r="S709" s="15"/>
      <c r="T709" s="18"/>
      <c r="U709" s="19"/>
      <c r="V709" s="18"/>
      <c r="W709" s="18"/>
      <c r="X709" s="20"/>
      <c r="Y709" s="18"/>
      <c r="Z709" s="18"/>
      <c r="AA709" s="21" t="n">
        <f aca="false">IF(U709&lt;&gt;"",(U709-Scoring!$B$3)/365.25,IF(N709="","",IF(N709&lt;Scoring!$B$12,"",(DATE(N709+Scoring!$B$13,12,31)-Scoring!$B$3)/365.25)))</f>
        <v>21.2457221081451</v>
      </c>
      <c r="AB709" s="22" t="n">
        <f aca="false">IF(T709="Y",0,IF(OR(D709="Expired (verified)",D709="Expiring: notice window (verified)",D709="Expiring: 10-yr horizon (verified)",D709="Past 30-yr mark (verify)",D709="30-yr mark: notice window (est.)",D709="Year-15 window"),1,0)+IF(ISNUMBER(O709),IF(O709&gt;=Scoring!$B$10,1,0),0)+IF(AND(ISNUMBER(L709),ISNUMBER(J709)),IF(J709&gt;0,IF(L709/J709&gt;=Scoring!$B$11,1,0),0),0)+IF(ISNUMBER(Z709),MIN(Z709,3),0))</f>
        <v>0</v>
      </c>
      <c r="AC709" s="22" t="n">
        <f aca="false">IF(AB709&gt;=3,Scoring!$C$24,IF(AB709=2,Scoring!$C$23,IF(AB709=1,Scoring!$C$22,0)))</f>
        <v>0</v>
      </c>
      <c r="AD709" s="22" t="n">
        <f aca="false">IF(T709="Y",0,IF(ISNUMBER(X709),IF(X709&gt;0.7,Scoring!$C$25,IF(X709&gt;=0.5,Scoring!$C$26,IF(X709&gt;=0.3,Scoring!$C$27,Scoring!$C$28))),Scoring!$C$29))</f>
        <v>10</v>
      </c>
      <c r="AE709" s="22" t="n">
        <f aca="false">IF(D709="Expiring: notice window (verified)",Scoring!$C$30,IF(OR(D709="Expired (verified)",D709="30-yr mark: notice window (est.)",D709="Year-15 window"),Scoring!$C$31,IF(D709="Expiring: 10-yr horizon (verified)",Scoring!$C$32,IF(D709="Past 30-yr mark (verify)",Scoring!$C$33,IF(OR(D709="Credit period",D709="Superseded record"),Scoring!$C$35,Scoring!$C$34)))))</f>
        <v>0</v>
      </c>
      <c r="AF709" s="22" t="n">
        <f aca="false">IF(T709="Y",0,IF(ISNUMBER(V709),IF(Scoring!$B$4-V709&gt;15,Scoring!$C$36,IF(Scoring!$B$4-V709&gt;=10,Scoring!$C$37,IF(Scoring!$B$4-V709&gt;=5,Scoring!$C$38,Scoring!$C$39))),IF(OR(N709="",D709="Out of program"),Scoring!$C$40,IF(O709&gt;15,Scoring!$C$36,IF(O709&gt;=10,Scoring!$C$37,IF(O709&gt;=5,Scoring!$C$38,Scoring!$C$39))))))</f>
        <v>8</v>
      </c>
      <c r="AG709" s="22" t="n">
        <f aca="false">IF(T709="Y",0,IF(Y709="Y",Scoring!$C$41,IF(ISNUMBER(O709),IF(O709&gt;=25,Scoring!$C$42,IF(O709&gt;=15,Scoring!$C$43,Scoring!$C$44)),Scoring!$C$44)))</f>
        <v>2</v>
      </c>
      <c r="AH709" s="22" t="n">
        <f aca="false">IF(T709="Y",0,IF(W709="",Scoring!$C$49,IFERROR(VLOOKUP(W709,Scoring!$B$45:$C$48,2,FALSE()),Scoring!$C$49)))</f>
        <v>5</v>
      </c>
      <c r="AI709" s="23" t="n">
        <f aca="false">C709+IF(ISNUMBER(J709),J709,0)/100000+(10000-ROW())/1000000000</f>
        <v>25.000299291</v>
      </c>
      <c r="AJ709" s="18"/>
      <c r="AK709" s="18"/>
      <c r="AL709" s="18"/>
      <c r="AM709" s="18"/>
    </row>
    <row r="710" customFormat="false" ht="15" hidden="false" customHeight="false" outlineLevel="0" collapsed="false">
      <c r="A710" s="15" t="n">
        <f aca="false">RANK(AI710,$AI$2:$AI$755)</f>
        <v>709</v>
      </c>
      <c r="B710" s="16" t="str">
        <f aca="false">IF(T710="Y","Superseded",IF(C710&gt;=Scoring!$B$16,"Immediate",IF(C710&gt;=Scoring!$B$17,"This week",IF(C710&gt;=Scoring!$B$18,"Nurture","Low"))))</f>
        <v>Low</v>
      </c>
      <c r="C710" s="3" t="n">
        <f aca="false">SUM(AC710:AH710)</f>
        <v>25</v>
      </c>
      <c r="D710" s="15" t="str">
        <f aca="false">IF(T710="Y","Superseded record",IF(AND(U710&lt;&gt;"",AA710&lt;0),"Expired (verified)",IF(AND(U710&lt;&gt;"",AA710&lt;=Scoring!$B$5),"Expiring: notice window (verified)",IF(AND(U710&lt;&gt;"",AA710&lt;=Scoring!$B$6),"Expiring: 10-yr horizon (verified)",IF(M710="No Longer Monitored","Out of program",IF(N710="","Unknown vintage",IF(N710&lt;Scoring!$B$12,"Pre-1990, still listed",IF(AND(U710="",AA710&lt;0),"Past 30-yr mark (verify)",IF(AND(U710="",AA710&lt;=Scoring!$B$5),"30-yr mark: notice window (est.)",IF(AND(O710&gt;=Scoring!$B$7,O710&lt;=Scoring!$B$8),"Year-15 window",IF(O710&gt;=Scoring!$B$9,"Recap window",IF(O710&gt;=11,"Late compliance","Credit period"))))))))))))</f>
        <v>Credit period</v>
      </c>
      <c r="E710" s="15" t="s">
        <v>2461</v>
      </c>
      <c r="F710" s="15" t="s">
        <v>2462</v>
      </c>
      <c r="G710" s="15" t="s">
        <v>2463</v>
      </c>
      <c r="H710" s="15" t="s">
        <v>185</v>
      </c>
      <c r="I710" s="15" t="s">
        <v>186</v>
      </c>
      <c r="J710" s="15" t="n">
        <v>24</v>
      </c>
      <c r="K710" s="15" t="n">
        <v>24</v>
      </c>
      <c r="L710" s="15" t="n">
        <f aca="false">IF(OR(J710="",K710=""),"",MAX(J710-K710,0))</f>
        <v>0</v>
      </c>
      <c r="M710" s="15" t="s">
        <v>99</v>
      </c>
      <c r="N710" s="17" t="n">
        <v>2018</v>
      </c>
      <c r="O710" s="15" t="n">
        <f aca="false">IF(N710="","",Scoring!$B$4-N710)</f>
        <v>8</v>
      </c>
      <c r="P710" s="15" t="n">
        <f aca="false">IF(N710="","",N710+14)</f>
        <v>2032</v>
      </c>
      <c r="Q710" s="15" t="n">
        <f aca="false">IF(N710="","",IF(N710&lt;Scoring!$B$12,"n/a (pre-1990)",N710+Scoring!$B$13))</f>
        <v>2047</v>
      </c>
      <c r="R710" s="15" t="str">
        <f aca="false">IF(J710="","Unknown",IF(J710&gt;=5,"Yes","No (under 5 units)"))</f>
        <v>Yes</v>
      </c>
      <c r="S710" s="15"/>
      <c r="T710" s="18"/>
      <c r="U710" s="19"/>
      <c r="V710" s="18"/>
      <c r="W710" s="18"/>
      <c r="X710" s="20"/>
      <c r="Y710" s="18"/>
      <c r="Z710" s="18"/>
      <c r="AA710" s="21" t="n">
        <f aca="false">IF(U710&lt;&gt;"",(U710-Scoring!$B$3)/365.25,IF(N710="","",IF(N710&lt;Scoring!$B$12,"",(DATE(N710+Scoring!$B$13,12,31)-Scoring!$B$3)/365.25)))</f>
        <v>21.2457221081451</v>
      </c>
      <c r="AB710" s="22" t="n">
        <f aca="false">IF(T710="Y",0,IF(OR(D710="Expired (verified)",D710="Expiring: notice window (verified)",D710="Expiring: 10-yr horizon (verified)",D710="Past 30-yr mark (verify)",D710="30-yr mark: notice window (est.)",D710="Year-15 window"),1,0)+IF(ISNUMBER(O710),IF(O710&gt;=Scoring!$B$10,1,0),0)+IF(AND(ISNUMBER(L710),ISNUMBER(J710)),IF(J710&gt;0,IF(L710/J710&gt;=Scoring!$B$11,1,0),0),0)+IF(ISNUMBER(Z710),MIN(Z710,3),0))</f>
        <v>0</v>
      </c>
      <c r="AC710" s="22" t="n">
        <f aca="false">IF(AB710&gt;=3,Scoring!$C$24,IF(AB710=2,Scoring!$C$23,IF(AB710=1,Scoring!$C$22,0)))</f>
        <v>0</v>
      </c>
      <c r="AD710" s="22" t="n">
        <f aca="false">IF(T710="Y",0,IF(ISNUMBER(X710),IF(X710&gt;0.7,Scoring!$C$25,IF(X710&gt;=0.5,Scoring!$C$26,IF(X710&gt;=0.3,Scoring!$C$27,Scoring!$C$28))),Scoring!$C$29))</f>
        <v>10</v>
      </c>
      <c r="AE710" s="22" t="n">
        <f aca="false">IF(D710="Expiring: notice window (verified)",Scoring!$C$30,IF(OR(D710="Expired (verified)",D710="30-yr mark: notice window (est.)",D710="Year-15 window"),Scoring!$C$31,IF(D710="Expiring: 10-yr horizon (verified)",Scoring!$C$32,IF(D710="Past 30-yr mark (verify)",Scoring!$C$33,IF(OR(D710="Credit period",D710="Superseded record"),Scoring!$C$35,Scoring!$C$34)))))</f>
        <v>0</v>
      </c>
      <c r="AF710" s="22" t="n">
        <f aca="false">IF(T710="Y",0,IF(ISNUMBER(V710),IF(Scoring!$B$4-V710&gt;15,Scoring!$C$36,IF(Scoring!$B$4-V710&gt;=10,Scoring!$C$37,IF(Scoring!$B$4-V710&gt;=5,Scoring!$C$38,Scoring!$C$39))),IF(OR(N710="",D710="Out of program"),Scoring!$C$40,IF(O710&gt;15,Scoring!$C$36,IF(O710&gt;=10,Scoring!$C$37,IF(O710&gt;=5,Scoring!$C$38,Scoring!$C$39))))))</f>
        <v>8</v>
      </c>
      <c r="AG710" s="22" t="n">
        <f aca="false">IF(T710="Y",0,IF(Y710="Y",Scoring!$C$41,IF(ISNUMBER(O710),IF(O710&gt;=25,Scoring!$C$42,IF(O710&gt;=15,Scoring!$C$43,Scoring!$C$44)),Scoring!$C$44)))</f>
        <v>2</v>
      </c>
      <c r="AH710" s="22" t="n">
        <f aca="false">IF(T710="Y",0,IF(W710="",Scoring!$C$49,IFERROR(VLOOKUP(W710,Scoring!$B$45:$C$48,2,FALSE()),Scoring!$C$49)))</f>
        <v>5</v>
      </c>
      <c r="AI710" s="23" t="n">
        <f aca="false">C710+IF(ISNUMBER(J710),J710,0)/100000+(10000-ROW())/1000000000</f>
        <v>25.00024929</v>
      </c>
      <c r="AJ710" s="18"/>
      <c r="AK710" s="18"/>
      <c r="AL710" s="18"/>
      <c r="AM710" s="18"/>
    </row>
    <row r="711" customFormat="false" ht="15" hidden="false" customHeight="false" outlineLevel="0" collapsed="false">
      <c r="A711" s="15" t="n">
        <f aca="false">RANK(AI711,$AI$2:$AI$755)</f>
        <v>710</v>
      </c>
      <c r="B711" s="16" t="str">
        <f aca="false">IF(T711="Y","Superseded",IF(C711&gt;=Scoring!$B$16,"Immediate",IF(C711&gt;=Scoring!$B$17,"This week",IF(C711&gt;=Scoring!$B$18,"Nurture","Low"))))</f>
        <v>Low</v>
      </c>
      <c r="C711" s="3" t="n">
        <f aca="false">SUM(AC711:AH711)</f>
        <v>25</v>
      </c>
      <c r="D711" s="15" t="str">
        <f aca="false">IF(T711="Y","Superseded record",IF(AND(U711&lt;&gt;"",AA711&lt;0),"Expired (verified)",IF(AND(U711&lt;&gt;"",AA711&lt;=Scoring!$B$5),"Expiring: notice window (verified)",IF(AND(U711&lt;&gt;"",AA711&lt;=Scoring!$B$6),"Expiring: 10-yr horizon (verified)",IF(M711="No Longer Monitored","Out of program",IF(N711="","Unknown vintage",IF(N711&lt;Scoring!$B$12,"Pre-1990, still listed",IF(AND(U711="",AA711&lt;0),"Past 30-yr mark (verify)",IF(AND(U711="",AA711&lt;=Scoring!$B$5),"30-yr mark: notice window (est.)",IF(AND(O711&gt;=Scoring!$B$7,O711&lt;=Scoring!$B$8),"Year-15 window",IF(O711&gt;=Scoring!$B$9,"Recap window",IF(O711&gt;=11,"Late compliance","Credit period"))))))))))))</f>
        <v>Credit period</v>
      </c>
      <c r="E711" s="15" t="s">
        <v>2464</v>
      </c>
      <c r="F711" s="15" t="s">
        <v>2465</v>
      </c>
      <c r="G711" s="15" t="s">
        <v>2466</v>
      </c>
      <c r="H711" s="15" t="s">
        <v>2467</v>
      </c>
      <c r="I711" s="15" t="s">
        <v>2468</v>
      </c>
      <c r="J711" s="15" t="n">
        <v>19</v>
      </c>
      <c r="K711" s="15" t="n">
        <v>19</v>
      </c>
      <c r="L711" s="15" t="n">
        <f aca="false">IF(OR(J711="",K711=""),"",MAX(J711-K711,0))</f>
        <v>0</v>
      </c>
      <c r="M711" s="15" t="s">
        <v>99</v>
      </c>
      <c r="N711" s="17" t="n">
        <v>2018</v>
      </c>
      <c r="O711" s="15" t="n">
        <f aca="false">IF(N711="","",Scoring!$B$4-N711)</f>
        <v>8</v>
      </c>
      <c r="P711" s="15" t="n">
        <f aca="false">IF(N711="","",N711+14)</f>
        <v>2032</v>
      </c>
      <c r="Q711" s="15" t="n">
        <f aca="false">IF(N711="","",IF(N711&lt;Scoring!$B$12,"n/a (pre-1990)",N711+Scoring!$B$13))</f>
        <v>2047</v>
      </c>
      <c r="R711" s="15" t="str">
        <f aca="false">IF(J711="","Unknown",IF(J711&gt;=5,"Yes","No (under 5 units)"))</f>
        <v>Yes</v>
      </c>
      <c r="S711" s="15"/>
      <c r="T711" s="18"/>
      <c r="U711" s="19"/>
      <c r="V711" s="18"/>
      <c r="W711" s="18"/>
      <c r="X711" s="20"/>
      <c r="Y711" s="18"/>
      <c r="Z711" s="18"/>
      <c r="AA711" s="21" t="n">
        <f aca="false">IF(U711&lt;&gt;"",(U711-Scoring!$B$3)/365.25,IF(N711="","",IF(N711&lt;Scoring!$B$12,"",(DATE(N711+Scoring!$B$13,12,31)-Scoring!$B$3)/365.25)))</f>
        <v>21.2457221081451</v>
      </c>
      <c r="AB711" s="22" t="n">
        <f aca="false">IF(T711="Y",0,IF(OR(D711="Expired (verified)",D711="Expiring: notice window (verified)",D711="Expiring: 10-yr horizon (verified)",D711="Past 30-yr mark (verify)",D711="30-yr mark: notice window (est.)",D711="Year-15 window"),1,0)+IF(ISNUMBER(O711),IF(O711&gt;=Scoring!$B$10,1,0),0)+IF(AND(ISNUMBER(L711),ISNUMBER(J711)),IF(J711&gt;0,IF(L711/J711&gt;=Scoring!$B$11,1,0),0),0)+IF(ISNUMBER(Z711),MIN(Z711,3),0))</f>
        <v>0</v>
      </c>
      <c r="AC711" s="22" t="n">
        <f aca="false">IF(AB711&gt;=3,Scoring!$C$24,IF(AB711=2,Scoring!$C$23,IF(AB711=1,Scoring!$C$22,0)))</f>
        <v>0</v>
      </c>
      <c r="AD711" s="22" t="n">
        <f aca="false">IF(T711="Y",0,IF(ISNUMBER(X711),IF(X711&gt;0.7,Scoring!$C$25,IF(X711&gt;=0.5,Scoring!$C$26,IF(X711&gt;=0.3,Scoring!$C$27,Scoring!$C$28))),Scoring!$C$29))</f>
        <v>10</v>
      </c>
      <c r="AE711" s="22" t="n">
        <f aca="false">IF(D711="Expiring: notice window (verified)",Scoring!$C$30,IF(OR(D711="Expired (verified)",D711="30-yr mark: notice window (est.)",D711="Year-15 window"),Scoring!$C$31,IF(D711="Expiring: 10-yr horizon (verified)",Scoring!$C$32,IF(D711="Past 30-yr mark (verify)",Scoring!$C$33,IF(OR(D711="Credit period",D711="Superseded record"),Scoring!$C$35,Scoring!$C$34)))))</f>
        <v>0</v>
      </c>
      <c r="AF711" s="22" t="n">
        <f aca="false">IF(T711="Y",0,IF(ISNUMBER(V711),IF(Scoring!$B$4-V711&gt;15,Scoring!$C$36,IF(Scoring!$B$4-V711&gt;=10,Scoring!$C$37,IF(Scoring!$B$4-V711&gt;=5,Scoring!$C$38,Scoring!$C$39))),IF(OR(N711="",D711="Out of program"),Scoring!$C$40,IF(O711&gt;15,Scoring!$C$36,IF(O711&gt;=10,Scoring!$C$37,IF(O711&gt;=5,Scoring!$C$38,Scoring!$C$39))))))</f>
        <v>8</v>
      </c>
      <c r="AG711" s="22" t="n">
        <f aca="false">IF(T711="Y",0,IF(Y711="Y",Scoring!$C$41,IF(ISNUMBER(O711),IF(O711&gt;=25,Scoring!$C$42,IF(O711&gt;=15,Scoring!$C$43,Scoring!$C$44)),Scoring!$C$44)))</f>
        <v>2</v>
      </c>
      <c r="AH711" s="22" t="n">
        <f aca="false">IF(T711="Y",0,IF(W711="",Scoring!$C$49,IFERROR(VLOOKUP(W711,Scoring!$B$45:$C$48,2,FALSE()),Scoring!$C$49)))</f>
        <v>5</v>
      </c>
      <c r="AI711" s="23" t="n">
        <f aca="false">C711+IF(ISNUMBER(J711),J711,0)/100000+(10000-ROW())/1000000000</f>
        <v>25.000199289</v>
      </c>
      <c r="AJ711" s="18"/>
      <c r="AK711" s="18"/>
      <c r="AL711" s="18"/>
      <c r="AM711" s="18"/>
    </row>
    <row r="712" customFormat="false" ht="15" hidden="false" customHeight="false" outlineLevel="0" collapsed="false">
      <c r="A712" s="15" t="n">
        <f aca="false">RANK(AI712,$AI$2:$AI$755)</f>
        <v>711</v>
      </c>
      <c r="B712" s="16" t="str">
        <f aca="false">IF(T712="Y","Superseded",IF(C712&gt;=Scoring!$B$16,"Immediate",IF(C712&gt;=Scoring!$B$17,"This week",IF(C712&gt;=Scoring!$B$18,"Nurture","Low"))))</f>
        <v>Low</v>
      </c>
      <c r="C712" s="3" t="n">
        <f aca="false">SUM(AC712:AH712)</f>
        <v>21</v>
      </c>
      <c r="D712" s="15" t="str">
        <f aca="false">IF(T712="Y","Superseded record",IF(AND(U712&lt;&gt;"",AA712&lt;0),"Expired (verified)",IF(AND(U712&lt;&gt;"",AA712&lt;=Scoring!$B$5),"Expiring: notice window (verified)",IF(AND(U712&lt;&gt;"",AA712&lt;=Scoring!$B$6),"Expiring: 10-yr horizon (verified)",IF(M712="No Longer Monitored","Out of program",IF(N712="","Unknown vintage",IF(N712&lt;Scoring!$B$12,"Pre-1990, still listed",IF(AND(U712="",AA712&lt;0),"Past 30-yr mark (verify)",IF(AND(U712="",AA712&lt;=Scoring!$B$5),"30-yr mark: notice window (est.)",IF(AND(O712&gt;=Scoring!$B$7,O712&lt;=Scoring!$B$8),"Year-15 window",IF(O712&gt;=Scoring!$B$9,"Recap window",IF(O712&gt;=11,"Late compliance","Credit period"))))))))))))</f>
        <v>Credit period</v>
      </c>
      <c r="E712" s="15" t="s">
        <v>2469</v>
      </c>
      <c r="F712" s="15" t="s">
        <v>2470</v>
      </c>
      <c r="G712" s="15" t="s">
        <v>2471</v>
      </c>
      <c r="H712" s="15" t="s">
        <v>185</v>
      </c>
      <c r="I712" s="15" t="s">
        <v>1488</v>
      </c>
      <c r="J712" s="15" t="n">
        <v>240</v>
      </c>
      <c r="K712" s="15" t="n">
        <v>240</v>
      </c>
      <c r="L712" s="15" t="n">
        <f aca="false">IF(OR(J712="",K712=""),"",MAX(J712-K712,0))</f>
        <v>0</v>
      </c>
      <c r="M712" s="15" t="s">
        <v>99</v>
      </c>
      <c r="N712" s="17" t="n">
        <v>2023</v>
      </c>
      <c r="O712" s="15" t="n">
        <f aca="false">IF(N712="","",Scoring!$B$4-N712)</f>
        <v>3</v>
      </c>
      <c r="P712" s="15" t="n">
        <f aca="false">IF(N712="","",N712+14)</f>
        <v>2037</v>
      </c>
      <c r="Q712" s="15" t="n">
        <f aca="false">IF(N712="","",IF(N712&lt;Scoring!$B$12,"n/a (pre-1990)",N712+Scoring!$B$13))</f>
        <v>2052</v>
      </c>
      <c r="R712" s="15" t="str">
        <f aca="false">IF(J712="","Unknown",IF(J712&gt;=5,"Yes","No (under 5 units)"))</f>
        <v>Yes</v>
      </c>
      <c r="S712" s="15"/>
      <c r="T712" s="18"/>
      <c r="U712" s="19"/>
      <c r="V712" s="18"/>
      <c r="W712" s="18"/>
      <c r="X712" s="20"/>
      <c r="Y712" s="18"/>
      <c r="Z712" s="18"/>
      <c r="AA712" s="21" t="n">
        <f aca="false">IF(U712&lt;&gt;"",(U712-Scoring!$B$3)/365.25,IF(N712="","",IF(N712&lt;Scoring!$B$12,"",(DATE(N712+Scoring!$B$13,12,31)-Scoring!$B$3)/365.25)))</f>
        <v>26.2477754962355</v>
      </c>
      <c r="AB712" s="22" t="n">
        <f aca="false">IF(T712="Y",0,IF(OR(D712="Expired (verified)",D712="Expiring: notice window (verified)",D712="Expiring: 10-yr horizon (verified)",D712="Past 30-yr mark (verify)",D712="30-yr mark: notice window (est.)",D712="Year-15 window"),1,0)+IF(ISNUMBER(O712),IF(O712&gt;=Scoring!$B$10,1,0),0)+IF(AND(ISNUMBER(L712),ISNUMBER(J712)),IF(J712&gt;0,IF(L712/J712&gt;=Scoring!$B$11,1,0),0),0)+IF(ISNUMBER(Z712),MIN(Z712,3),0))</f>
        <v>0</v>
      </c>
      <c r="AC712" s="22" t="n">
        <f aca="false">IF(AB712&gt;=3,Scoring!$C$24,IF(AB712=2,Scoring!$C$23,IF(AB712=1,Scoring!$C$22,0)))</f>
        <v>0</v>
      </c>
      <c r="AD712" s="22" t="n">
        <f aca="false">IF(T712="Y",0,IF(ISNUMBER(X712),IF(X712&gt;0.7,Scoring!$C$25,IF(X712&gt;=0.5,Scoring!$C$26,IF(X712&gt;=0.3,Scoring!$C$27,Scoring!$C$28))),Scoring!$C$29))</f>
        <v>10</v>
      </c>
      <c r="AE712" s="22" t="n">
        <f aca="false">IF(D712="Expiring: notice window (verified)",Scoring!$C$30,IF(OR(D712="Expired (verified)",D712="30-yr mark: notice window (est.)",D712="Year-15 window"),Scoring!$C$31,IF(D712="Expiring: 10-yr horizon (verified)",Scoring!$C$32,IF(D712="Past 30-yr mark (verify)",Scoring!$C$33,IF(OR(D712="Credit period",D712="Superseded record"),Scoring!$C$35,Scoring!$C$34)))))</f>
        <v>0</v>
      </c>
      <c r="AF712" s="22" t="n">
        <f aca="false">IF(T712="Y",0,IF(ISNUMBER(V712),IF(Scoring!$B$4-V712&gt;15,Scoring!$C$36,IF(Scoring!$B$4-V712&gt;=10,Scoring!$C$37,IF(Scoring!$B$4-V712&gt;=5,Scoring!$C$38,Scoring!$C$39))),IF(OR(N712="",D712="Out of program"),Scoring!$C$40,IF(O712&gt;15,Scoring!$C$36,IF(O712&gt;=10,Scoring!$C$37,IF(O712&gt;=5,Scoring!$C$38,Scoring!$C$39))))))</f>
        <v>4</v>
      </c>
      <c r="AG712" s="22" t="n">
        <f aca="false">IF(T712="Y",0,IF(Y712="Y",Scoring!$C$41,IF(ISNUMBER(O712),IF(O712&gt;=25,Scoring!$C$42,IF(O712&gt;=15,Scoring!$C$43,Scoring!$C$44)),Scoring!$C$44)))</f>
        <v>2</v>
      </c>
      <c r="AH712" s="22" t="n">
        <f aca="false">IF(T712="Y",0,IF(W712="",Scoring!$C$49,IFERROR(VLOOKUP(W712,Scoring!$B$45:$C$48,2,FALSE()),Scoring!$C$49)))</f>
        <v>5</v>
      </c>
      <c r="AI712" s="23" t="n">
        <f aca="false">C712+IF(ISNUMBER(J712),J712,0)/100000+(10000-ROW())/1000000000</f>
        <v>21.002409288</v>
      </c>
      <c r="AJ712" s="18"/>
      <c r="AK712" s="18"/>
      <c r="AL712" s="18"/>
      <c r="AM712" s="18"/>
    </row>
    <row r="713" customFormat="false" ht="15" hidden="false" customHeight="false" outlineLevel="0" collapsed="false">
      <c r="A713" s="15" t="n">
        <f aca="false">RANK(AI713,$AI$2:$AI$755)</f>
        <v>712</v>
      </c>
      <c r="B713" s="16" t="str">
        <f aca="false">IF(T713="Y","Superseded",IF(C713&gt;=Scoring!$B$16,"Immediate",IF(C713&gt;=Scoring!$B$17,"This week",IF(C713&gt;=Scoring!$B$18,"Nurture","Low"))))</f>
        <v>Low</v>
      </c>
      <c r="C713" s="3" t="n">
        <f aca="false">SUM(AC713:AH713)</f>
        <v>21</v>
      </c>
      <c r="D713" s="15" t="str">
        <f aca="false">IF(T713="Y","Superseded record",IF(AND(U713&lt;&gt;"",AA713&lt;0),"Expired (verified)",IF(AND(U713&lt;&gt;"",AA713&lt;=Scoring!$B$5),"Expiring: notice window (verified)",IF(AND(U713&lt;&gt;"",AA713&lt;=Scoring!$B$6),"Expiring: 10-yr horizon (verified)",IF(M713="No Longer Monitored","Out of program",IF(N713="","Unknown vintage",IF(N713&lt;Scoring!$B$12,"Pre-1990, still listed",IF(AND(U713="",AA713&lt;0),"Past 30-yr mark (verify)",IF(AND(U713="",AA713&lt;=Scoring!$B$5),"30-yr mark: notice window (est.)",IF(AND(O713&gt;=Scoring!$B$7,O713&lt;=Scoring!$B$8),"Year-15 window",IF(O713&gt;=Scoring!$B$9,"Recap window",IF(O713&gt;=11,"Late compliance","Credit period"))))))))))))</f>
        <v>Credit period</v>
      </c>
      <c r="E713" s="15" t="s">
        <v>2472</v>
      </c>
      <c r="F713" s="15" t="s">
        <v>2473</v>
      </c>
      <c r="G713" s="15" t="s">
        <v>2474</v>
      </c>
      <c r="H713" s="15" t="s">
        <v>2475</v>
      </c>
      <c r="I713" s="15" t="s">
        <v>222</v>
      </c>
      <c r="J713" s="15" t="n">
        <v>239</v>
      </c>
      <c r="K713" s="15" t="n">
        <v>238</v>
      </c>
      <c r="L713" s="15" t="n">
        <f aca="false">IF(OR(J713="",K713=""),"",MAX(J713-K713,0))</f>
        <v>1</v>
      </c>
      <c r="M713" s="15" t="s">
        <v>99</v>
      </c>
      <c r="N713" s="17" t="n">
        <v>2024</v>
      </c>
      <c r="O713" s="15" t="n">
        <f aca="false">IF(N713="","",Scoring!$B$4-N713)</f>
        <v>2</v>
      </c>
      <c r="P713" s="15" t="n">
        <f aca="false">IF(N713="","",N713+14)</f>
        <v>2038</v>
      </c>
      <c r="Q713" s="15" t="n">
        <f aca="false">IF(N713="","",IF(N713&lt;Scoring!$B$12,"n/a (pre-1990)",N713+Scoring!$B$13))</f>
        <v>2053</v>
      </c>
      <c r="R713" s="15" t="str">
        <f aca="false">IF(J713="","Unknown",IF(J713&gt;=5,"Yes","No (under 5 units)"))</f>
        <v>Yes</v>
      </c>
      <c r="S713" s="15"/>
      <c r="T713" s="18"/>
      <c r="U713" s="19"/>
      <c r="V713" s="18"/>
      <c r="W713" s="18"/>
      <c r="X713" s="20"/>
      <c r="Y713" s="18"/>
      <c r="Z713" s="18"/>
      <c r="AA713" s="21" t="n">
        <f aca="false">IF(U713&lt;&gt;"",(U713-Scoring!$B$3)/365.25,IF(N713="","",IF(N713&lt;Scoring!$B$12,"",(DATE(N713+Scoring!$B$13,12,31)-Scoring!$B$3)/365.25)))</f>
        <v>27.2470910335387</v>
      </c>
      <c r="AB713" s="22" t="n">
        <f aca="false">IF(T713="Y",0,IF(OR(D713="Expired (verified)",D713="Expiring: notice window (verified)",D713="Expiring: 10-yr horizon (verified)",D713="Past 30-yr mark (verify)",D713="30-yr mark: notice window (est.)",D713="Year-15 window"),1,0)+IF(ISNUMBER(O713),IF(O713&gt;=Scoring!$B$10,1,0),0)+IF(AND(ISNUMBER(L713),ISNUMBER(J713)),IF(J713&gt;0,IF(L713/J713&gt;=Scoring!$B$11,1,0),0),0)+IF(ISNUMBER(Z713),MIN(Z713,3),0))</f>
        <v>0</v>
      </c>
      <c r="AC713" s="22" t="n">
        <f aca="false">IF(AB713&gt;=3,Scoring!$C$24,IF(AB713=2,Scoring!$C$23,IF(AB713=1,Scoring!$C$22,0)))</f>
        <v>0</v>
      </c>
      <c r="AD713" s="22" t="n">
        <f aca="false">IF(T713="Y",0,IF(ISNUMBER(X713),IF(X713&gt;0.7,Scoring!$C$25,IF(X713&gt;=0.5,Scoring!$C$26,IF(X713&gt;=0.3,Scoring!$C$27,Scoring!$C$28))),Scoring!$C$29))</f>
        <v>10</v>
      </c>
      <c r="AE713" s="22" t="n">
        <f aca="false">IF(D713="Expiring: notice window (verified)",Scoring!$C$30,IF(OR(D713="Expired (verified)",D713="30-yr mark: notice window (est.)",D713="Year-15 window"),Scoring!$C$31,IF(D713="Expiring: 10-yr horizon (verified)",Scoring!$C$32,IF(D713="Past 30-yr mark (verify)",Scoring!$C$33,IF(OR(D713="Credit period",D713="Superseded record"),Scoring!$C$35,Scoring!$C$34)))))</f>
        <v>0</v>
      </c>
      <c r="AF713" s="22" t="n">
        <f aca="false">IF(T713="Y",0,IF(ISNUMBER(V713),IF(Scoring!$B$4-V713&gt;15,Scoring!$C$36,IF(Scoring!$B$4-V713&gt;=10,Scoring!$C$37,IF(Scoring!$B$4-V713&gt;=5,Scoring!$C$38,Scoring!$C$39))),IF(OR(N713="",D713="Out of program"),Scoring!$C$40,IF(O713&gt;15,Scoring!$C$36,IF(O713&gt;=10,Scoring!$C$37,IF(O713&gt;=5,Scoring!$C$38,Scoring!$C$39))))))</f>
        <v>4</v>
      </c>
      <c r="AG713" s="22" t="n">
        <f aca="false">IF(T713="Y",0,IF(Y713="Y",Scoring!$C$41,IF(ISNUMBER(O713),IF(O713&gt;=25,Scoring!$C$42,IF(O713&gt;=15,Scoring!$C$43,Scoring!$C$44)),Scoring!$C$44)))</f>
        <v>2</v>
      </c>
      <c r="AH713" s="22" t="n">
        <f aca="false">IF(T713="Y",0,IF(W713="",Scoring!$C$49,IFERROR(VLOOKUP(W713,Scoring!$B$45:$C$48,2,FALSE()),Scoring!$C$49)))</f>
        <v>5</v>
      </c>
      <c r="AI713" s="23" t="n">
        <f aca="false">C713+IF(ISNUMBER(J713),J713,0)/100000+(10000-ROW())/1000000000</f>
        <v>21.002399287</v>
      </c>
      <c r="AJ713" s="18"/>
      <c r="AK713" s="18"/>
      <c r="AL713" s="18"/>
      <c r="AM713" s="18"/>
    </row>
    <row r="714" customFormat="false" ht="15" hidden="false" customHeight="false" outlineLevel="0" collapsed="false">
      <c r="A714" s="15" t="n">
        <f aca="false">RANK(AI714,$AI$2:$AI$755)</f>
        <v>713</v>
      </c>
      <c r="B714" s="16" t="str">
        <f aca="false">IF(T714="Y","Superseded",IF(C714&gt;=Scoring!$B$16,"Immediate",IF(C714&gt;=Scoring!$B$17,"This week",IF(C714&gt;=Scoring!$B$18,"Nurture","Low"))))</f>
        <v>Low</v>
      </c>
      <c r="C714" s="3" t="n">
        <f aca="false">SUM(AC714:AH714)</f>
        <v>21</v>
      </c>
      <c r="D714" s="15" t="str">
        <f aca="false">IF(T714="Y","Superseded record",IF(AND(U714&lt;&gt;"",AA714&lt;0),"Expired (verified)",IF(AND(U714&lt;&gt;"",AA714&lt;=Scoring!$B$5),"Expiring: notice window (verified)",IF(AND(U714&lt;&gt;"",AA714&lt;=Scoring!$B$6),"Expiring: 10-yr horizon (verified)",IF(M714="No Longer Monitored","Out of program",IF(N714="","Unknown vintage",IF(N714&lt;Scoring!$B$12,"Pre-1990, still listed",IF(AND(U714="",AA714&lt;0),"Past 30-yr mark (verify)",IF(AND(U714="",AA714&lt;=Scoring!$B$5),"30-yr mark: notice window (est.)",IF(AND(O714&gt;=Scoring!$B$7,O714&lt;=Scoring!$B$8),"Year-15 window",IF(O714&gt;=Scoring!$B$9,"Recap window",IF(O714&gt;=11,"Late compliance","Credit period"))))))))))))</f>
        <v>Credit period</v>
      </c>
      <c r="E714" s="15" t="s">
        <v>2476</v>
      </c>
      <c r="F714" s="15" t="s">
        <v>2477</v>
      </c>
      <c r="G714" s="15" t="s">
        <v>2478</v>
      </c>
      <c r="H714" s="15" t="s">
        <v>447</v>
      </c>
      <c r="I714" s="15" t="s">
        <v>448</v>
      </c>
      <c r="J714" s="15" t="n">
        <v>171</v>
      </c>
      <c r="K714" s="15" t="n">
        <v>171</v>
      </c>
      <c r="L714" s="15" t="n">
        <f aca="false">IF(OR(J714="",K714=""),"",MAX(J714-K714,0))</f>
        <v>0</v>
      </c>
      <c r="M714" s="15" t="s">
        <v>99</v>
      </c>
      <c r="N714" s="17" t="n">
        <v>2024</v>
      </c>
      <c r="O714" s="15" t="n">
        <f aca="false">IF(N714="","",Scoring!$B$4-N714)</f>
        <v>2</v>
      </c>
      <c r="P714" s="15" t="n">
        <f aca="false">IF(N714="","",N714+14)</f>
        <v>2038</v>
      </c>
      <c r="Q714" s="15" t="n">
        <f aca="false">IF(N714="","",IF(N714&lt;Scoring!$B$12,"n/a (pre-1990)",N714+Scoring!$B$13))</f>
        <v>2053</v>
      </c>
      <c r="R714" s="15" t="str">
        <f aca="false">IF(J714="","Unknown",IF(J714&gt;=5,"Yes","No (under 5 units)"))</f>
        <v>Yes</v>
      </c>
      <c r="S714" s="15"/>
      <c r="T714" s="18"/>
      <c r="U714" s="19"/>
      <c r="V714" s="18"/>
      <c r="W714" s="18"/>
      <c r="X714" s="20"/>
      <c r="Y714" s="18"/>
      <c r="Z714" s="18"/>
      <c r="AA714" s="21" t="n">
        <f aca="false">IF(U714&lt;&gt;"",(U714-Scoring!$B$3)/365.25,IF(N714="","",IF(N714&lt;Scoring!$B$12,"",(DATE(N714+Scoring!$B$13,12,31)-Scoring!$B$3)/365.25)))</f>
        <v>27.2470910335387</v>
      </c>
      <c r="AB714" s="22" t="n">
        <f aca="false">IF(T714="Y",0,IF(OR(D714="Expired (verified)",D714="Expiring: notice window (verified)",D714="Expiring: 10-yr horizon (verified)",D714="Past 30-yr mark (verify)",D714="30-yr mark: notice window (est.)",D714="Year-15 window"),1,0)+IF(ISNUMBER(O714),IF(O714&gt;=Scoring!$B$10,1,0),0)+IF(AND(ISNUMBER(L714),ISNUMBER(J714)),IF(J714&gt;0,IF(L714/J714&gt;=Scoring!$B$11,1,0),0),0)+IF(ISNUMBER(Z714),MIN(Z714,3),0))</f>
        <v>0</v>
      </c>
      <c r="AC714" s="22" t="n">
        <f aca="false">IF(AB714&gt;=3,Scoring!$C$24,IF(AB714=2,Scoring!$C$23,IF(AB714=1,Scoring!$C$22,0)))</f>
        <v>0</v>
      </c>
      <c r="AD714" s="22" t="n">
        <f aca="false">IF(T714="Y",0,IF(ISNUMBER(X714),IF(X714&gt;0.7,Scoring!$C$25,IF(X714&gt;=0.5,Scoring!$C$26,IF(X714&gt;=0.3,Scoring!$C$27,Scoring!$C$28))),Scoring!$C$29))</f>
        <v>10</v>
      </c>
      <c r="AE714" s="22" t="n">
        <f aca="false">IF(D714="Expiring: notice window (verified)",Scoring!$C$30,IF(OR(D714="Expired (verified)",D714="30-yr mark: notice window (est.)",D714="Year-15 window"),Scoring!$C$31,IF(D714="Expiring: 10-yr horizon (verified)",Scoring!$C$32,IF(D714="Past 30-yr mark (verify)",Scoring!$C$33,IF(OR(D714="Credit period",D714="Superseded record"),Scoring!$C$35,Scoring!$C$34)))))</f>
        <v>0</v>
      </c>
      <c r="AF714" s="22" t="n">
        <f aca="false">IF(T714="Y",0,IF(ISNUMBER(V714),IF(Scoring!$B$4-V714&gt;15,Scoring!$C$36,IF(Scoring!$B$4-V714&gt;=10,Scoring!$C$37,IF(Scoring!$B$4-V714&gt;=5,Scoring!$C$38,Scoring!$C$39))),IF(OR(N714="",D714="Out of program"),Scoring!$C$40,IF(O714&gt;15,Scoring!$C$36,IF(O714&gt;=10,Scoring!$C$37,IF(O714&gt;=5,Scoring!$C$38,Scoring!$C$39))))))</f>
        <v>4</v>
      </c>
      <c r="AG714" s="22" t="n">
        <f aca="false">IF(T714="Y",0,IF(Y714="Y",Scoring!$C$41,IF(ISNUMBER(O714),IF(O714&gt;=25,Scoring!$C$42,IF(O714&gt;=15,Scoring!$C$43,Scoring!$C$44)),Scoring!$C$44)))</f>
        <v>2</v>
      </c>
      <c r="AH714" s="22" t="n">
        <f aca="false">IF(T714="Y",0,IF(W714="",Scoring!$C$49,IFERROR(VLOOKUP(W714,Scoring!$B$45:$C$48,2,FALSE()),Scoring!$C$49)))</f>
        <v>5</v>
      </c>
      <c r="AI714" s="23" t="n">
        <f aca="false">C714+IF(ISNUMBER(J714),J714,0)/100000+(10000-ROW())/1000000000</f>
        <v>21.001719286</v>
      </c>
      <c r="AJ714" s="18"/>
      <c r="AK714" s="18"/>
      <c r="AL714" s="18"/>
      <c r="AM714" s="18"/>
    </row>
    <row r="715" customFormat="false" ht="15" hidden="false" customHeight="false" outlineLevel="0" collapsed="false">
      <c r="A715" s="15" t="n">
        <f aca="false">RANK(AI715,$AI$2:$AI$755)</f>
        <v>714</v>
      </c>
      <c r="B715" s="16" t="str">
        <f aca="false">IF(T715="Y","Superseded",IF(C715&gt;=Scoring!$B$16,"Immediate",IF(C715&gt;=Scoring!$B$17,"This week",IF(C715&gt;=Scoring!$B$18,"Nurture","Low"))))</f>
        <v>Low</v>
      </c>
      <c r="C715" s="3" t="n">
        <f aca="false">SUM(AC715:AH715)</f>
        <v>21</v>
      </c>
      <c r="D715" s="15" t="str">
        <f aca="false">IF(T715="Y","Superseded record",IF(AND(U715&lt;&gt;"",AA715&lt;0),"Expired (verified)",IF(AND(U715&lt;&gt;"",AA715&lt;=Scoring!$B$5),"Expiring: notice window (verified)",IF(AND(U715&lt;&gt;"",AA715&lt;=Scoring!$B$6),"Expiring: 10-yr horizon (verified)",IF(M715="No Longer Monitored","Out of program",IF(N715="","Unknown vintage",IF(N715&lt;Scoring!$B$12,"Pre-1990, still listed",IF(AND(U715="",AA715&lt;0),"Past 30-yr mark (verify)",IF(AND(U715="",AA715&lt;=Scoring!$B$5),"30-yr mark: notice window (est.)",IF(AND(O715&gt;=Scoring!$B$7,O715&lt;=Scoring!$B$8),"Year-15 window",IF(O715&gt;=Scoring!$B$9,"Recap window",IF(O715&gt;=11,"Late compliance","Credit period"))))))))))))</f>
        <v>Credit period</v>
      </c>
      <c r="E715" s="15" t="s">
        <v>2479</v>
      </c>
      <c r="F715" s="15" t="s">
        <v>2480</v>
      </c>
      <c r="G715" s="15" t="s">
        <v>2481</v>
      </c>
      <c r="H715" s="15" t="s">
        <v>97</v>
      </c>
      <c r="I715" s="15" t="s">
        <v>160</v>
      </c>
      <c r="J715" s="15" t="n">
        <v>146</v>
      </c>
      <c r="K715" s="15" t="n">
        <v>144</v>
      </c>
      <c r="L715" s="15" t="n">
        <f aca="false">IF(OR(J715="",K715=""),"",MAX(J715-K715,0))</f>
        <v>2</v>
      </c>
      <c r="M715" s="15" t="s">
        <v>99</v>
      </c>
      <c r="N715" s="17" t="n">
        <v>2024</v>
      </c>
      <c r="O715" s="15" t="n">
        <f aca="false">IF(N715="","",Scoring!$B$4-N715)</f>
        <v>2</v>
      </c>
      <c r="P715" s="15" t="n">
        <f aca="false">IF(N715="","",N715+14)</f>
        <v>2038</v>
      </c>
      <c r="Q715" s="15" t="n">
        <f aca="false">IF(N715="","",IF(N715&lt;Scoring!$B$12,"n/a (pre-1990)",N715+Scoring!$B$13))</f>
        <v>2053</v>
      </c>
      <c r="R715" s="15" t="str">
        <f aca="false">IF(J715="","Unknown",IF(J715&gt;=5,"Yes","No (under 5 units)"))</f>
        <v>Yes</v>
      </c>
      <c r="S715" s="15"/>
      <c r="T715" s="18"/>
      <c r="U715" s="19"/>
      <c r="V715" s="18"/>
      <c r="W715" s="18"/>
      <c r="X715" s="20"/>
      <c r="Y715" s="18"/>
      <c r="Z715" s="18"/>
      <c r="AA715" s="21" t="n">
        <f aca="false">IF(U715&lt;&gt;"",(U715-Scoring!$B$3)/365.25,IF(N715="","",IF(N715&lt;Scoring!$B$12,"",(DATE(N715+Scoring!$B$13,12,31)-Scoring!$B$3)/365.25)))</f>
        <v>27.2470910335387</v>
      </c>
      <c r="AB715" s="22" t="n">
        <f aca="false">IF(T715="Y",0,IF(OR(D715="Expired (verified)",D715="Expiring: notice window (verified)",D715="Expiring: 10-yr horizon (verified)",D715="Past 30-yr mark (verify)",D715="30-yr mark: notice window (est.)",D715="Year-15 window"),1,0)+IF(ISNUMBER(O715),IF(O715&gt;=Scoring!$B$10,1,0),0)+IF(AND(ISNUMBER(L715),ISNUMBER(J715)),IF(J715&gt;0,IF(L715/J715&gt;=Scoring!$B$11,1,0),0),0)+IF(ISNUMBER(Z715),MIN(Z715,3),0))</f>
        <v>0</v>
      </c>
      <c r="AC715" s="22" t="n">
        <f aca="false">IF(AB715&gt;=3,Scoring!$C$24,IF(AB715=2,Scoring!$C$23,IF(AB715=1,Scoring!$C$22,0)))</f>
        <v>0</v>
      </c>
      <c r="AD715" s="22" t="n">
        <f aca="false">IF(T715="Y",0,IF(ISNUMBER(X715),IF(X715&gt;0.7,Scoring!$C$25,IF(X715&gt;=0.5,Scoring!$C$26,IF(X715&gt;=0.3,Scoring!$C$27,Scoring!$C$28))),Scoring!$C$29))</f>
        <v>10</v>
      </c>
      <c r="AE715" s="22" t="n">
        <f aca="false">IF(D715="Expiring: notice window (verified)",Scoring!$C$30,IF(OR(D715="Expired (verified)",D715="30-yr mark: notice window (est.)",D715="Year-15 window"),Scoring!$C$31,IF(D715="Expiring: 10-yr horizon (verified)",Scoring!$C$32,IF(D715="Past 30-yr mark (verify)",Scoring!$C$33,IF(OR(D715="Credit period",D715="Superseded record"),Scoring!$C$35,Scoring!$C$34)))))</f>
        <v>0</v>
      </c>
      <c r="AF715" s="22" t="n">
        <f aca="false">IF(T715="Y",0,IF(ISNUMBER(V715),IF(Scoring!$B$4-V715&gt;15,Scoring!$C$36,IF(Scoring!$B$4-V715&gt;=10,Scoring!$C$37,IF(Scoring!$B$4-V715&gt;=5,Scoring!$C$38,Scoring!$C$39))),IF(OR(N715="",D715="Out of program"),Scoring!$C$40,IF(O715&gt;15,Scoring!$C$36,IF(O715&gt;=10,Scoring!$C$37,IF(O715&gt;=5,Scoring!$C$38,Scoring!$C$39))))))</f>
        <v>4</v>
      </c>
      <c r="AG715" s="22" t="n">
        <f aca="false">IF(T715="Y",0,IF(Y715="Y",Scoring!$C$41,IF(ISNUMBER(O715),IF(O715&gt;=25,Scoring!$C$42,IF(O715&gt;=15,Scoring!$C$43,Scoring!$C$44)),Scoring!$C$44)))</f>
        <v>2</v>
      </c>
      <c r="AH715" s="22" t="n">
        <f aca="false">IF(T715="Y",0,IF(W715="",Scoring!$C$49,IFERROR(VLOOKUP(W715,Scoring!$B$45:$C$48,2,FALSE()),Scoring!$C$49)))</f>
        <v>5</v>
      </c>
      <c r="AI715" s="23" t="n">
        <f aca="false">C715+IF(ISNUMBER(J715),J715,0)/100000+(10000-ROW())/1000000000</f>
        <v>21.001469285</v>
      </c>
      <c r="AJ715" s="18"/>
      <c r="AK715" s="18"/>
      <c r="AL715" s="18"/>
      <c r="AM715" s="18"/>
    </row>
    <row r="716" customFormat="false" ht="15" hidden="false" customHeight="false" outlineLevel="0" collapsed="false">
      <c r="A716" s="15" t="n">
        <f aca="false">RANK(AI716,$AI$2:$AI$755)</f>
        <v>715</v>
      </c>
      <c r="B716" s="16" t="str">
        <f aca="false">IF(T716="Y","Superseded",IF(C716&gt;=Scoring!$B$16,"Immediate",IF(C716&gt;=Scoring!$B$17,"This week",IF(C716&gt;=Scoring!$B$18,"Nurture","Low"))))</f>
        <v>Low</v>
      </c>
      <c r="C716" s="3" t="n">
        <f aca="false">SUM(AC716:AH716)</f>
        <v>21</v>
      </c>
      <c r="D716" s="15" t="str">
        <f aca="false">IF(T716="Y","Superseded record",IF(AND(U716&lt;&gt;"",AA716&lt;0),"Expired (verified)",IF(AND(U716&lt;&gt;"",AA716&lt;=Scoring!$B$5),"Expiring: notice window (verified)",IF(AND(U716&lt;&gt;"",AA716&lt;=Scoring!$B$6),"Expiring: 10-yr horizon (verified)",IF(M716="No Longer Monitored","Out of program",IF(N716="","Unknown vintage",IF(N716&lt;Scoring!$B$12,"Pre-1990, still listed",IF(AND(U716="",AA716&lt;0),"Past 30-yr mark (verify)",IF(AND(U716="",AA716&lt;=Scoring!$B$5),"30-yr mark: notice window (est.)",IF(AND(O716&gt;=Scoring!$B$7,O716&lt;=Scoring!$B$8),"Year-15 window",IF(O716&gt;=Scoring!$B$9,"Recap window",IF(O716&gt;=11,"Late compliance","Credit period"))))))))))))</f>
        <v>Credit period</v>
      </c>
      <c r="E716" s="15" t="s">
        <v>2482</v>
      </c>
      <c r="F716" s="15" t="s">
        <v>2483</v>
      </c>
      <c r="G716" s="15" t="s">
        <v>2484</v>
      </c>
      <c r="H716" s="15" t="s">
        <v>240</v>
      </c>
      <c r="I716" s="15" t="s">
        <v>241</v>
      </c>
      <c r="J716" s="15" t="n">
        <v>144</v>
      </c>
      <c r="K716" s="15" t="n">
        <v>144</v>
      </c>
      <c r="L716" s="15" t="n">
        <f aca="false">IF(OR(J716="",K716=""),"",MAX(J716-K716,0))</f>
        <v>0</v>
      </c>
      <c r="M716" s="15" t="s">
        <v>99</v>
      </c>
      <c r="N716" s="17" t="n">
        <v>2023</v>
      </c>
      <c r="O716" s="15" t="n">
        <f aca="false">IF(N716="","",Scoring!$B$4-N716)</f>
        <v>3</v>
      </c>
      <c r="P716" s="15" t="n">
        <f aca="false">IF(N716="","",N716+14)</f>
        <v>2037</v>
      </c>
      <c r="Q716" s="15" t="n">
        <f aca="false">IF(N716="","",IF(N716&lt;Scoring!$B$12,"n/a (pre-1990)",N716+Scoring!$B$13))</f>
        <v>2052</v>
      </c>
      <c r="R716" s="15" t="str">
        <f aca="false">IF(J716="","Unknown",IF(J716&gt;=5,"Yes","No (under 5 units)"))</f>
        <v>Yes</v>
      </c>
      <c r="S716" s="15"/>
      <c r="T716" s="18"/>
      <c r="U716" s="19"/>
      <c r="V716" s="18"/>
      <c r="W716" s="18"/>
      <c r="X716" s="20"/>
      <c r="Y716" s="18"/>
      <c r="Z716" s="18"/>
      <c r="AA716" s="21" t="n">
        <f aca="false">IF(U716&lt;&gt;"",(U716-Scoring!$B$3)/365.25,IF(N716="","",IF(N716&lt;Scoring!$B$12,"",(DATE(N716+Scoring!$B$13,12,31)-Scoring!$B$3)/365.25)))</f>
        <v>26.2477754962355</v>
      </c>
      <c r="AB716" s="22" t="n">
        <f aca="false">IF(T716="Y",0,IF(OR(D716="Expired (verified)",D716="Expiring: notice window (verified)",D716="Expiring: 10-yr horizon (verified)",D716="Past 30-yr mark (verify)",D716="30-yr mark: notice window (est.)",D716="Year-15 window"),1,0)+IF(ISNUMBER(O716),IF(O716&gt;=Scoring!$B$10,1,0),0)+IF(AND(ISNUMBER(L716),ISNUMBER(J716)),IF(J716&gt;0,IF(L716/J716&gt;=Scoring!$B$11,1,0),0),0)+IF(ISNUMBER(Z716),MIN(Z716,3),0))</f>
        <v>0</v>
      </c>
      <c r="AC716" s="22" t="n">
        <f aca="false">IF(AB716&gt;=3,Scoring!$C$24,IF(AB716=2,Scoring!$C$23,IF(AB716=1,Scoring!$C$22,0)))</f>
        <v>0</v>
      </c>
      <c r="AD716" s="22" t="n">
        <f aca="false">IF(T716="Y",0,IF(ISNUMBER(X716),IF(X716&gt;0.7,Scoring!$C$25,IF(X716&gt;=0.5,Scoring!$C$26,IF(X716&gt;=0.3,Scoring!$C$27,Scoring!$C$28))),Scoring!$C$29))</f>
        <v>10</v>
      </c>
      <c r="AE716" s="22" t="n">
        <f aca="false">IF(D716="Expiring: notice window (verified)",Scoring!$C$30,IF(OR(D716="Expired (verified)",D716="30-yr mark: notice window (est.)",D716="Year-15 window"),Scoring!$C$31,IF(D716="Expiring: 10-yr horizon (verified)",Scoring!$C$32,IF(D716="Past 30-yr mark (verify)",Scoring!$C$33,IF(OR(D716="Credit period",D716="Superseded record"),Scoring!$C$35,Scoring!$C$34)))))</f>
        <v>0</v>
      </c>
      <c r="AF716" s="22" t="n">
        <f aca="false">IF(T716="Y",0,IF(ISNUMBER(V716),IF(Scoring!$B$4-V716&gt;15,Scoring!$C$36,IF(Scoring!$B$4-V716&gt;=10,Scoring!$C$37,IF(Scoring!$B$4-V716&gt;=5,Scoring!$C$38,Scoring!$C$39))),IF(OR(N716="",D716="Out of program"),Scoring!$C$40,IF(O716&gt;15,Scoring!$C$36,IF(O716&gt;=10,Scoring!$C$37,IF(O716&gt;=5,Scoring!$C$38,Scoring!$C$39))))))</f>
        <v>4</v>
      </c>
      <c r="AG716" s="22" t="n">
        <f aca="false">IF(T716="Y",0,IF(Y716="Y",Scoring!$C$41,IF(ISNUMBER(O716),IF(O716&gt;=25,Scoring!$C$42,IF(O716&gt;=15,Scoring!$C$43,Scoring!$C$44)),Scoring!$C$44)))</f>
        <v>2</v>
      </c>
      <c r="AH716" s="22" t="n">
        <f aca="false">IF(T716="Y",0,IF(W716="",Scoring!$C$49,IFERROR(VLOOKUP(W716,Scoring!$B$45:$C$48,2,FALSE()),Scoring!$C$49)))</f>
        <v>5</v>
      </c>
      <c r="AI716" s="23" t="n">
        <f aca="false">C716+IF(ISNUMBER(J716),J716,0)/100000+(10000-ROW())/1000000000</f>
        <v>21.001449284</v>
      </c>
      <c r="AJ716" s="18"/>
      <c r="AK716" s="18"/>
      <c r="AL716" s="18"/>
      <c r="AM716" s="18"/>
    </row>
    <row r="717" customFormat="false" ht="15" hidden="false" customHeight="false" outlineLevel="0" collapsed="false">
      <c r="A717" s="15" t="n">
        <f aca="false">RANK(AI717,$AI$2:$AI$755)</f>
        <v>716</v>
      </c>
      <c r="B717" s="16" t="str">
        <f aca="false">IF(T717="Y","Superseded",IF(C717&gt;=Scoring!$B$16,"Immediate",IF(C717&gt;=Scoring!$B$17,"This week",IF(C717&gt;=Scoring!$B$18,"Nurture","Low"))))</f>
        <v>Low</v>
      </c>
      <c r="C717" s="3" t="n">
        <f aca="false">SUM(AC717:AH717)</f>
        <v>21</v>
      </c>
      <c r="D717" s="15" t="str">
        <f aca="false">IF(T717="Y","Superseded record",IF(AND(U717&lt;&gt;"",AA717&lt;0),"Expired (verified)",IF(AND(U717&lt;&gt;"",AA717&lt;=Scoring!$B$5),"Expiring: notice window (verified)",IF(AND(U717&lt;&gt;"",AA717&lt;=Scoring!$B$6),"Expiring: 10-yr horizon (verified)",IF(M717="No Longer Monitored","Out of program",IF(N717="","Unknown vintage",IF(N717&lt;Scoring!$B$12,"Pre-1990, still listed",IF(AND(U717="",AA717&lt;0),"Past 30-yr mark (verify)",IF(AND(U717="",AA717&lt;=Scoring!$B$5),"30-yr mark: notice window (est.)",IF(AND(O717&gt;=Scoring!$B$7,O717&lt;=Scoring!$B$8),"Year-15 window",IF(O717&gt;=Scoring!$B$9,"Recap window",IF(O717&gt;=11,"Late compliance","Credit period"))))))))))))</f>
        <v>Credit period</v>
      </c>
      <c r="E717" s="15" t="s">
        <v>2485</v>
      </c>
      <c r="F717" s="15" t="s">
        <v>2486</v>
      </c>
      <c r="G717" s="15" t="s">
        <v>2487</v>
      </c>
      <c r="H717" s="15" t="s">
        <v>473</v>
      </c>
      <c r="I717" s="15" t="s">
        <v>510</v>
      </c>
      <c r="J717" s="15" t="n">
        <v>144</v>
      </c>
      <c r="K717" s="15" t="n">
        <v>144</v>
      </c>
      <c r="L717" s="15" t="n">
        <f aca="false">IF(OR(J717="",K717=""),"",MAX(J717-K717,0))</f>
        <v>0</v>
      </c>
      <c r="M717" s="15" t="s">
        <v>99</v>
      </c>
      <c r="N717" s="17" t="n">
        <v>2023</v>
      </c>
      <c r="O717" s="15" t="n">
        <f aca="false">IF(N717="","",Scoring!$B$4-N717)</f>
        <v>3</v>
      </c>
      <c r="P717" s="15" t="n">
        <f aca="false">IF(N717="","",N717+14)</f>
        <v>2037</v>
      </c>
      <c r="Q717" s="15" t="n">
        <f aca="false">IF(N717="","",IF(N717&lt;Scoring!$B$12,"n/a (pre-1990)",N717+Scoring!$B$13))</f>
        <v>2052</v>
      </c>
      <c r="R717" s="15" t="str">
        <f aca="false">IF(J717="","Unknown",IF(J717&gt;=5,"Yes","No (under 5 units)"))</f>
        <v>Yes</v>
      </c>
      <c r="S717" s="15"/>
      <c r="T717" s="18"/>
      <c r="U717" s="19"/>
      <c r="V717" s="18"/>
      <c r="W717" s="18"/>
      <c r="X717" s="20"/>
      <c r="Y717" s="18"/>
      <c r="Z717" s="18"/>
      <c r="AA717" s="21" t="n">
        <f aca="false">IF(U717&lt;&gt;"",(U717-Scoring!$B$3)/365.25,IF(N717="","",IF(N717&lt;Scoring!$B$12,"",(DATE(N717+Scoring!$B$13,12,31)-Scoring!$B$3)/365.25)))</f>
        <v>26.2477754962355</v>
      </c>
      <c r="AB717" s="22" t="n">
        <f aca="false">IF(T717="Y",0,IF(OR(D717="Expired (verified)",D717="Expiring: notice window (verified)",D717="Expiring: 10-yr horizon (verified)",D717="Past 30-yr mark (verify)",D717="30-yr mark: notice window (est.)",D717="Year-15 window"),1,0)+IF(ISNUMBER(O717),IF(O717&gt;=Scoring!$B$10,1,0),0)+IF(AND(ISNUMBER(L717),ISNUMBER(J717)),IF(J717&gt;0,IF(L717/J717&gt;=Scoring!$B$11,1,0),0),0)+IF(ISNUMBER(Z717),MIN(Z717,3),0))</f>
        <v>0</v>
      </c>
      <c r="AC717" s="22" t="n">
        <f aca="false">IF(AB717&gt;=3,Scoring!$C$24,IF(AB717=2,Scoring!$C$23,IF(AB717=1,Scoring!$C$22,0)))</f>
        <v>0</v>
      </c>
      <c r="AD717" s="22" t="n">
        <f aca="false">IF(T717="Y",0,IF(ISNUMBER(X717),IF(X717&gt;0.7,Scoring!$C$25,IF(X717&gt;=0.5,Scoring!$C$26,IF(X717&gt;=0.3,Scoring!$C$27,Scoring!$C$28))),Scoring!$C$29))</f>
        <v>10</v>
      </c>
      <c r="AE717" s="22" t="n">
        <f aca="false">IF(D717="Expiring: notice window (verified)",Scoring!$C$30,IF(OR(D717="Expired (verified)",D717="30-yr mark: notice window (est.)",D717="Year-15 window"),Scoring!$C$31,IF(D717="Expiring: 10-yr horizon (verified)",Scoring!$C$32,IF(D717="Past 30-yr mark (verify)",Scoring!$C$33,IF(OR(D717="Credit period",D717="Superseded record"),Scoring!$C$35,Scoring!$C$34)))))</f>
        <v>0</v>
      </c>
      <c r="AF717" s="22" t="n">
        <f aca="false">IF(T717="Y",0,IF(ISNUMBER(V717),IF(Scoring!$B$4-V717&gt;15,Scoring!$C$36,IF(Scoring!$B$4-V717&gt;=10,Scoring!$C$37,IF(Scoring!$B$4-V717&gt;=5,Scoring!$C$38,Scoring!$C$39))),IF(OR(N717="",D717="Out of program"),Scoring!$C$40,IF(O717&gt;15,Scoring!$C$36,IF(O717&gt;=10,Scoring!$C$37,IF(O717&gt;=5,Scoring!$C$38,Scoring!$C$39))))))</f>
        <v>4</v>
      </c>
      <c r="AG717" s="22" t="n">
        <f aca="false">IF(T717="Y",0,IF(Y717="Y",Scoring!$C$41,IF(ISNUMBER(O717),IF(O717&gt;=25,Scoring!$C$42,IF(O717&gt;=15,Scoring!$C$43,Scoring!$C$44)),Scoring!$C$44)))</f>
        <v>2</v>
      </c>
      <c r="AH717" s="22" t="n">
        <f aca="false">IF(T717="Y",0,IF(W717="",Scoring!$C$49,IFERROR(VLOOKUP(W717,Scoring!$B$45:$C$48,2,FALSE()),Scoring!$C$49)))</f>
        <v>5</v>
      </c>
      <c r="AI717" s="23" t="n">
        <f aca="false">C717+IF(ISNUMBER(J717),J717,0)/100000+(10000-ROW())/1000000000</f>
        <v>21.001449283</v>
      </c>
      <c r="AJ717" s="18"/>
      <c r="AK717" s="18"/>
      <c r="AL717" s="18"/>
      <c r="AM717" s="18"/>
    </row>
    <row r="718" customFormat="false" ht="15" hidden="false" customHeight="false" outlineLevel="0" collapsed="false">
      <c r="A718" s="15" t="n">
        <f aca="false">RANK(AI718,$AI$2:$AI$755)</f>
        <v>717</v>
      </c>
      <c r="B718" s="16" t="str">
        <f aca="false">IF(T718="Y","Superseded",IF(C718&gt;=Scoring!$B$16,"Immediate",IF(C718&gt;=Scoring!$B$17,"This week",IF(C718&gt;=Scoring!$B$18,"Nurture","Low"))))</f>
        <v>Low</v>
      </c>
      <c r="C718" s="3" t="n">
        <f aca="false">SUM(AC718:AH718)</f>
        <v>21</v>
      </c>
      <c r="D718" s="15" t="str">
        <f aca="false">IF(T718="Y","Superseded record",IF(AND(U718&lt;&gt;"",AA718&lt;0),"Expired (verified)",IF(AND(U718&lt;&gt;"",AA718&lt;=Scoring!$B$5),"Expiring: notice window (verified)",IF(AND(U718&lt;&gt;"",AA718&lt;=Scoring!$B$6),"Expiring: 10-yr horizon (verified)",IF(M718="No Longer Monitored","Out of program",IF(N718="","Unknown vintage",IF(N718&lt;Scoring!$B$12,"Pre-1990, still listed",IF(AND(U718="",AA718&lt;0),"Past 30-yr mark (verify)",IF(AND(U718="",AA718&lt;=Scoring!$B$5),"30-yr mark: notice window (est.)",IF(AND(O718&gt;=Scoring!$B$7,O718&lt;=Scoring!$B$8),"Year-15 window",IF(O718&gt;=Scoring!$B$9,"Recap window",IF(O718&gt;=11,"Late compliance","Credit period"))))))))))))</f>
        <v>Credit period</v>
      </c>
      <c r="E718" s="15" t="s">
        <v>2488</v>
      </c>
      <c r="F718" s="15" t="s">
        <v>2489</v>
      </c>
      <c r="G718" s="15" t="s">
        <v>2490</v>
      </c>
      <c r="H718" s="15" t="s">
        <v>97</v>
      </c>
      <c r="I718" s="15" t="s">
        <v>271</v>
      </c>
      <c r="J718" s="15" t="n">
        <v>116</v>
      </c>
      <c r="K718" s="15" t="n">
        <v>115</v>
      </c>
      <c r="L718" s="15" t="n">
        <f aca="false">IF(OR(J718="",K718=""),"",MAX(J718-K718,0))</f>
        <v>1</v>
      </c>
      <c r="M718" s="15" t="s">
        <v>99</v>
      </c>
      <c r="N718" s="17" t="n">
        <v>2022</v>
      </c>
      <c r="O718" s="15" t="n">
        <f aca="false">IF(N718="","",Scoring!$B$4-N718)</f>
        <v>4</v>
      </c>
      <c r="P718" s="15" t="n">
        <f aca="false">IF(N718="","",N718+14)</f>
        <v>2036</v>
      </c>
      <c r="Q718" s="15" t="n">
        <f aca="false">IF(N718="","",IF(N718&lt;Scoring!$B$12,"n/a (pre-1990)",N718+Scoring!$B$13))</f>
        <v>2051</v>
      </c>
      <c r="R718" s="15" t="str">
        <f aca="false">IF(J718="","Unknown",IF(J718&gt;=5,"Yes","No (under 5 units)"))</f>
        <v>Yes</v>
      </c>
      <c r="S718" s="15"/>
      <c r="T718" s="18"/>
      <c r="U718" s="19"/>
      <c r="V718" s="18"/>
      <c r="W718" s="18"/>
      <c r="X718" s="20"/>
      <c r="Y718" s="18"/>
      <c r="Z718" s="18"/>
      <c r="AA718" s="21" t="n">
        <f aca="false">IF(U718&lt;&gt;"",(U718-Scoring!$B$3)/365.25,IF(N718="","",IF(N718&lt;Scoring!$B$12,"",(DATE(N718+Scoring!$B$13,12,31)-Scoring!$B$3)/365.25)))</f>
        <v>25.2457221081451</v>
      </c>
      <c r="AB718" s="22" t="n">
        <f aca="false">IF(T718="Y",0,IF(OR(D718="Expired (verified)",D718="Expiring: notice window (verified)",D718="Expiring: 10-yr horizon (verified)",D718="Past 30-yr mark (verify)",D718="30-yr mark: notice window (est.)",D718="Year-15 window"),1,0)+IF(ISNUMBER(O718),IF(O718&gt;=Scoring!$B$10,1,0),0)+IF(AND(ISNUMBER(L718),ISNUMBER(J718)),IF(J718&gt;0,IF(L718/J718&gt;=Scoring!$B$11,1,0),0),0)+IF(ISNUMBER(Z718),MIN(Z718,3),0))</f>
        <v>0</v>
      </c>
      <c r="AC718" s="22" t="n">
        <f aca="false">IF(AB718&gt;=3,Scoring!$C$24,IF(AB718=2,Scoring!$C$23,IF(AB718=1,Scoring!$C$22,0)))</f>
        <v>0</v>
      </c>
      <c r="AD718" s="22" t="n">
        <f aca="false">IF(T718="Y",0,IF(ISNUMBER(X718),IF(X718&gt;0.7,Scoring!$C$25,IF(X718&gt;=0.5,Scoring!$C$26,IF(X718&gt;=0.3,Scoring!$C$27,Scoring!$C$28))),Scoring!$C$29))</f>
        <v>10</v>
      </c>
      <c r="AE718" s="22" t="n">
        <f aca="false">IF(D718="Expiring: notice window (verified)",Scoring!$C$30,IF(OR(D718="Expired (verified)",D718="30-yr mark: notice window (est.)",D718="Year-15 window"),Scoring!$C$31,IF(D718="Expiring: 10-yr horizon (verified)",Scoring!$C$32,IF(D718="Past 30-yr mark (verify)",Scoring!$C$33,IF(OR(D718="Credit period",D718="Superseded record"),Scoring!$C$35,Scoring!$C$34)))))</f>
        <v>0</v>
      </c>
      <c r="AF718" s="22" t="n">
        <f aca="false">IF(T718="Y",0,IF(ISNUMBER(V718),IF(Scoring!$B$4-V718&gt;15,Scoring!$C$36,IF(Scoring!$B$4-V718&gt;=10,Scoring!$C$37,IF(Scoring!$B$4-V718&gt;=5,Scoring!$C$38,Scoring!$C$39))),IF(OR(N718="",D718="Out of program"),Scoring!$C$40,IF(O718&gt;15,Scoring!$C$36,IF(O718&gt;=10,Scoring!$C$37,IF(O718&gt;=5,Scoring!$C$38,Scoring!$C$39))))))</f>
        <v>4</v>
      </c>
      <c r="AG718" s="22" t="n">
        <f aca="false">IF(T718="Y",0,IF(Y718="Y",Scoring!$C$41,IF(ISNUMBER(O718),IF(O718&gt;=25,Scoring!$C$42,IF(O718&gt;=15,Scoring!$C$43,Scoring!$C$44)),Scoring!$C$44)))</f>
        <v>2</v>
      </c>
      <c r="AH718" s="22" t="n">
        <f aca="false">IF(T718="Y",0,IF(W718="",Scoring!$C$49,IFERROR(VLOOKUP(W718,Scoring!$B$45:$C$48,2,FALSE()),Scoring!$C$49)))</f>
        <v>5</v>
      </c>
      <c r="AI718" s="23" t="n">
        <f aca="false">C718+IF(ISNUMBER(J718),J718,0)/100000+(10000-ROW())/1000000000</f>
        <v>21.001169282</v>
      </c>
      <c r="AJ718" s="18"/>
      <c r="AK718" s="18"/>
      <c r="AL718" s="18"/>
      <c r="AM718" s="18"/>
    </row>
    <row r="719" customFormat="false" ht="15" hidden="false" customHeight="false" outlineLevel="0" collapsed="false">
      <c r="A719" s="15" t="n">
        <f aca="false">RANK(AI719,$AI$2:$AI$755)</f>
        <v>718</v>
      </c>
      <c r="B719" s="16" t="str">
        <f aca="false">IF(T719="Y","Superseded",IF(C719&gt;=Scoring!$B$16,"Immediate",IF(C719&gt;=Scoring!$B$17,"This week",IF(C719&gt;=Scoring!$B$18,"Nurture","Low"))))</f>
        <v>Low</v>
      </c>
      <c r="C719" s="3" t="n">
        <f aca="false">SUM(AC719:AH719)</f>
        <v>21</v>
      </c>
      <c r="D719" s="15" t="str">
        <f aca="false">IF(T719="Y","Superseded record",IF(AND(U719&lt;&gt;"",AA719&lt;0),"Expired (verified)",IF(AND(U719&lt;&gt;"",AA719&lt;=Scoring!$B$5),"Expiring: notice window (verified)",IF(AND(U719&lt;&gt;"",AA719&lt;=Scoring!$B$6),"Expiring: 10-yr horizon (verified)",IF(M719="No Longer Monitored","Out of program",IF(N719="","Unknown vintage",IF(N719&lt;Scoring!$B$12,"Pre-1990, still listed",IF(AND(U719="",AA719&lt;0),"Past 30-yr mark (verify)",IF(AND(U719="",AA719&lt;=Scoring!$B$5),"30-yr mark: notice window (est.)",IF(AND(O719&gt;=Scoring!$B$7,O719&lt;=Scoring!$B$8),"Year-15 window",IF(O719&gt;=Scoring!$B$9,"Recap window",IF(O719&gt;=11,"Late compliance","Credit period"))))))))))))</f>
        <v>Credit period</v>
      </c>
      <c r="E719" s="15" t="s">
        <v>2491</v>
      </c>
      <c r="F719" s="15" t="s">
        <v>2492</v>
      </c>
      <c r="G719" s="15" t="s">
        <v>2493</v>
      </c>
      <c r="H719" s="15" t="s">
        <v>1642</v>
      </c>
      <c r="I719" s="15" t="s">
        <v>1643</v>
      </c>
      <c r="J719" s="15" t="n">
        <v>116</v>
      </c>
      <c r="K719" s="15" t="n">
        <v>116</v>
      </c>
      <c r="L719" s="15" t="n">
        <f aca="false">IF(OR(J719="",K719=""),"",MAX(J719-K719,0))</f>
        <v>0</v>
      </c>
      <c r="M719" s="15" t="s">
        <v>99</v>
      </c>
      <c r="N719" s="17" t="n">
        <v>2023</v>
      </c>
      <c r="O719" s="15" t="n">
        <f aca="false">IF(N719="","",Scoring!$B$4-N719)</f>
        <v>3</v>
      </c>
      <c r="P719" s="15" t="n">
        <f aca="false">IF(N719="","",N719+14)</f>
        <v>2037</v>
      </c>
      <c r="Q719" s="15" t="n">
        <f aca="false">IF(N719="","",IF(N719&lt;Scoring!$B$12,"n/a (pre-1990)",N719+Scoring!$B$13))</f>
        <v>2052</v>
      </c>
      <c r="R719" s="15" t="str">
        <f aca="false">IF(J719="","Unknown",IF(J719&gt;=5,"Yes","No (under 5 units)"))</f>
        <v>Yes</v>
      </c>
      <c r="S719" s="15"/>
      <c r="T719" s="18"/>
      <c r="U719" s="19"/>
      <c r="V719" s="18"/>
      <c r="W719" s="18"/>
      <c r="X719" s="20"/>
      <c r="Y719" s="18"/>
      <c r="Z719" s="18"/>
      <c r="AA719" s="21" t="n">
        <f aca="false">IF(U719&lt;&gt;"",(U719-Scoring!$B$3)/365.25,IF(N719="","",IF(N719&lt;Scoring!$B$12,"",(DATE(N719+Scoring!$B$13,12,31)-Scoring!$B$3)/365.25)))</f>
        <v>26.2477754962355</v>
      </c>
      <c r="AB719" s="22" t="n">
        <f aca="false">IF(T719="Y",0,IF(OR(D719="Expired (verified)",D719="Expiring: notice window (verified)",D719="Expiring: 10-yr horizon (verified)",D719="Past 30-yr mark (verify)",D719="30-yr mark: notice window (est.)",D719="Year-15 window"),1,0)+IF(ISNUMBER(O719),IF(O719&gt;=Scoring!$B$10,1,0),0)+IF(AND(ISNUMBER(L719),ISNUMBER(J719)),IF(J719&gt;0,IF(L719/J719&gt;=Scoring!$B$11,1,0),0),0)+IF(ISNUMBER(Z719),MIN(Z719,3),0))</f>
        <v>0</v>
      </c>
      <c r="AC719" s="22" t="n">
        <f aca="false">IF(AB719&gt;=3,Scoring!$C$24,IF(AB719=2,Scoring!$C$23,IF(AB719=1,Scoring!$C$22,0)))</f>
        <v>0</v>
      </c>
      <c r="AD719" s="22" t="n">
        <f aca="false">IF(T719="Y",0,IF(ISNUMBER(X719),IF(X719&gt;0.7,Scoring!$C$25,IF(X719&gt;=0.5,Scoring!$C$26,IF(X719&gt;=0.3,Scoring!$C$27,Scoring!$C$28))),Scoring!$C$29))</f>
        <v>10</v>
      </c>
      <c r="AE719" s="22" t="n">
        <f aca="false">IF(D719="Expiring: notice window (verified)",Scoring!$C$30,IF(OR(D719="Expired (verified)",D719="30-yr mark: notice window (est.)",D719="Year-15 window"),Scoring!$C$31,IF(D719="Expiring: 10-yr horizon (verified)",Scoring!$C$32,IF(D719="Past 30-yr mark (verify)",Scoring!$C$33,IF(OR(D719="Credit period",D719="Superseded record"),Scoring!$C$35,Scoring!$C$34)))))</f>
        <v>0</v>
      </c>
      <c r="AF719" s="22" t="n">
        <f aca="false">IF(T719="Y",0,IF(ISNUMBER(V719),IF(Scoring!$B$4-V719&gt;15,Scoring!$C$36,IF(Scoring!$B$4-V719&gt;=10,Scoring!$C$37,IF(Scoring!$B$4-V719&gt;=5,Scoring!$C$38,Scoring!$C$39))),IF(OR(N719="",D719="Out of program"),Scoring!$C$40,IF(O719&gt;15,Scoring!$C$36,IF(O719&gt;=10,Scoring!$C$37,IF(O719&gt;=5,Scoring!$C$38,Scoring!$C$39))))))</f>
        <v>4</v>
      </c>
      <c r="AG719" s="22" t="n">
        <f aca="false">IF(T719="Y",0,IF(Y719="Y",Scoring!$C$41,IF(ISNUMBER(O719),IF(O719&gt;=25,Scoring!$C$42,IF(O719&gt;=15,Scoring!$C$43,Scoring!$C$44)),Scoring!$C$44)))</f>
        <v>2</v>
      </c>
      <c r="AH719" s="22" t="n">
        <f aca="false">IF(T719="Y",0,IF(W719="",Scoring!$C$49,IFERROR(VLOOKUP(W719,Scoring!$B$45:$C$48,2,FALSE()),Scoring!$C$49)))</f>
        <v>5</v>
      </c>
      <c r="AI719" s="23" t="n">
        <f aca="false">C719+IF(ISNUMBER(J719),J719,0)/100000+(10000-ROW())/1000000000</f>
        <v>21.001169281</v>
      </c>
      <c r="AJ719" s="18"/>
      <c r="AK719" s="18"/>
      <c r="AL719" s="18"/>
      <c r="AM719" s="18"/>
    </row>
    <row r="720" customFormat="false" ht="15" hidden="false" customHeight="false" outlineLevel="0" collapsed="false">
      <c r="A720" s="15" t="n">
        <f aca="false">RANK(AI720,$AI$2:$AI$755)</f>
        <v>719</v>
      </c>
      <c r="B720" s="16" t="str">
        <f aca="false">IF(T720="Y","Superseded",IF(C720&gt;=Scoring!$B$16,"Immediate",IF(C720&gt;=Scoring!$B$17,"This week",IF(C720&gt;=Scoring!$B$18,"Nurture","Low"))))</f>
        <v>Low</v>
      </c>
      <c r="C720" s="3" t="n">
        <f aca="false">SUM(AC720:AH720)</f>
        <v>21</v>
      </c>
      <c r="D720" s="15" t="str">
        <f aca="false">IF(T720="Y","Superseded record",IF(AND(U720&lt;&gt;"",AA720&lt;0),"Expired (verified)",IF(AND(U720&lt;&gt;"",AA720&lt;=Scoring!$B$5),"Expiring: notice window (verified)",IF(AND(U720&lt;&gt;"",AA720&lt;=Scoring!$B$6),"Expiring: 10-yr horizon (verified)",IF(M720="No Longer Monitored","Out of program",IF(N720="","Unknown vintage",IF(N720&lt;Scoring!$B$12,"Pre-1990, still listed",IF(AND(U720="",AA720&lt;0),"Past 30-yr mark (verify)",IF(AND(U720="",AA720&lt;=Scoring!$B$5),"30-yr mark: notice window (est.)",IF(AND(O720&gt;=Scoring!$B$7,O720&lt;=Scoring!$B$8),"Year-15 window",IF(O720&gt;=Scoring!$B$9,"Recap window",IF(O720&gt;=11,"Late compliance","Credit period"))))))))))))</f>
        <v>Credit period</v>
      </c>
      <c r="E720" s="15" t="s">
        <v>2494</v>
      </c>
      <c r="F720" s="15" t="s">
        <v>2495</v>
      </c>
      <c r="G720" s="15" t="s">
        <v>2496</v>
      </c>
      <c r="H720" s="15" t="s">
        <v>1150</v>
      </c>
      <c r="I720" s="15" t="s">
        <v>1155</v>
      </c>
      <c r="J720" s="15" t="n">
        <v>100</v>
      </c>
      <c r="K720" s="15" t="n">
        <v>100</v>
      </c>
      <c r="L720" s="15" t="n">
        <f aca="false">IF(OR(J720="",K720=""),"",MAX(J720-K720,0))</f>
        <v>0</v>
      </c>
      <c r="M720" s="15" t="s">
        <v>99</v>
      </c>
      <c r="N720" s="17" t="n">
        <v>2024</v>
      </c>
      <c r="O720" s="15" t="n">
        <f aca="false">IF(N720="","",Scoring!$B$4-N720)</f>
        <v>2</v>
      </c>
      <c r="P720" s="15" t="n">
        <f aca="false">IF(N720="","",N720+14)</f>
        <v>2038</v>
      </c>
      <c r="Q720" s="15" t="n">
        <f aca="false">IF(N720="","",IF(N720&lt;Scoring!$B$12,"n/a (pre-1990)",N720+Scoring!$B$13))</f>
        <v>2053</v>
      </c>
      <c r="R720" s="15" t="str">
        <f aca="false">IF(J720="","Unknown",IF(J720&gt;=5,"Yes","No (under 5 units)"))</f>
        <v>Yes</v>
      </c>
      <c r="S720" s="15"/>
      <c r="T720" s="18"/>
      <c r="U720" s="19"/>
      <c r="V720" s="18"/>
      <c r="W720" s="18"/>
      <c r="X720" s="20"/>
      <c r="Y720" s="18"/>
      <c r="Z720" s="18"/>
      <c r="AA720" s="21" t="n">
        <f aca="false">IF(U720&lt;&gt;"",(U720-Scoring!$B$3)/365.25,IF(N720="","",IF(N720&lt;Scoring!$B$12,"",(DATE(N720+Scoring!$B$13,12,31)-Scoring!$B$3)/365.25)))</f>
        <v>27.2470910335387</v>
      </c>
      <c r="AB720" s="22" t="n">
        <f aca="false">IF(T720="Y",0,IF(OR(D720="Expired (verified)",D720="Expiring: notice window (verified)",D720="Expiring: 10-yr horizon (verified)",D720="Past 30-yr mark (verify)",D720="30-yr mark: notice window (est.)",D720="Year-15 window"),1,0)+IF(ISNUMBER(O720),IF(O720&gt;=Scoring!$B$10,1,0),0)+IF(AND(ISNUMBER(L720),ISNUMBER(J720)),IF(J720&gt;0,IF(L720/J720&gt;=Scoring!$B$11,1,0),0),0)+IF(ISNUMBER(Z720),MIN(Z720,3),0))</f>
        <v>0</v>
      </c>
      <c r="AC720" s="22" t="n">
        <f aca="false">IF(AB720&gt;=3,Scoring!$C$24,IF(AB720=2,Scoring!$C$23,IF(AB720=1,Scoring!$C$22,0)))</f>
        <v>0</v>
      </c>
      <c r="AD720" s="22" t="n">
        <f aca="false">IF(T720="Y",0,IF(ISNUMBER(X720),IF(X720&gt;0.7,Scoring!$C$25,IF(X720&gt;=0.5,Scoring!$C$26,IF(X720&gt;=0.3,Scoring!$C$27,Scoring!$C$28))),Scoring!$C$29))</f>
        <v>10</v>
      </c>
      <c r="AE720" s="22" t="n">
        <f aca="false">IF(D720="Expiring: notice window (verified)",Scoring!$C$30,IF(OR(D720="Expired (verified)",D720="30-yr mark: notice window (est.)",D720="Year-15 window"),Scoring!$C$31,IF(D720="Expiring: 10-yr horizon (verified)",Scoring!$C$32,IF(D720="Past 30-yr mark (verify)",Scoring!$C$33,IF(OR(D720="Credit period",D720="Superseded record"),Scoring!$C$35,Scoring!$C$34)))))</f>
        <v>0</v>
      </c>
      <c r="AF720" s="22" t="n">
        <f aca="false">IF(T720="Y",0,IF(ISNUMBER(V720),IF(Scoring!$B$4-V720&gt;15,Scoring!$C$36,IF(Scoring!$B$4-V720&gt;=10,Scoring!$C$37,IF(Scoring!$B$4-V720&gt;=5,Scoring!$C$38,Scoring!$C$39))),IF(OR(N720="",D720="Out of program"),Scoring!$C$40,IF(O720&gt;15,Scoring!$C$36,IF(O720&gt;=10,Scoring!$C$37,IF(O720&gt;=5,Scoring!$C$38,Scoring!$C$39))))))</f>
        <v>4</v>
      </c>
      <c r="AG720" s="22" t="n">
        <f aca="false">IF(T720="Y",0,IF(Y720="Y",Scoring!$C$41,IF(ISNUMBER(O720),IF(O720&gt;=25,Scoring!$C$42,IF(O720&gt;=15,Scoring!$C$43,Scoring!$C$44)),Scoring!$C$44)))</f>
        <v>2</v>
      </c>
      <c r="AH720" s="22" t="n">
        <f aca="false">IF(T720="Y",0,IF(W720="",Scoring!$C$49,IFERROR(VLOOKUP(W720,Scoring!$B$45:$C$48,2,FALSE()),Scoring!$C$49)))</f>
        <v>5</v>
      </c>
      <c r="AI720" s="23" t="n">
        <f aca="false">C720+IF(ISNUMBER(J720),J720,0)/100000+(10000-ROW())/1000000000</f>
        <v>21.00100928</v>
      </c>
      <c r="AJ720" s="18"/>
      <c r="AK720" s="18"/>
      <c r="AL720" s="18"/>
      <c r="AM720" s="18"/>
    </row>
    <row r="721" customFormat="false" ht="15" hidden="false" customHeight="false" outlineLevel="0" collapsed="false">
      <c r="A721" s="15" t="n">
        <f aca="false">RANK(AI721,$AI$2:$AI$755)</f>
        <v>720</v>
      </c>
      <c r="B721" s="16" t="str">
        <f aca="false">IF(T721="Y","Superseded",IF(C721&gt;=Scoring!$B$16,"Immediate",IF(C721&gt;=Scoring!$B$17,"This week",IF(C721&gt;=Scoring!$B$18,"Nurture","Low"))))</f>
        <v>Low</v>
      </c>
      <c r="C721" s="3" t="n">
        <f aca="false">SUM(AC721:AH721)</f>
        <v>21</v>
      </c>
      <c r="D721" s="15" t="str">
        <f aca="false">IF(T721="Y","Superseded record",IF(AND(U721&lt;&gt;"",AA721&lt;0),"Expired (verified)",IF(AND(U721&lt;&gt;"",AA721&lt;=Scoring!$B$5),"Expiring: notice window (verified)",IF(AND(U721&lt;&gt;"",AA721&lt;=Scoring!$B$6),"Expiring: 10-yr horizon (verified)",IF(M721="No Longer Monitored","Out of program",IF(N721="","Unknown vintage",IF(N721&lt;Scoring!$B$12,"Pre-1990, still listed",IF(AND(U721="",AA721&lt;0),"Past 30-yr mark (verify)",IF(AND(U721="",AA721&lt;=Scoring!$B$5),"30-yr mark: notice window (est.)",IF(AND(O721&gt;=Scoring!$B$7,O721&lt;=Scoring!$B$8),"Year-15 window",IF(O721&gt;=Scoring!$B$9,"Recap window",IF(O721&gt;=11,"Late compliance","Credit period"))))))))))))</f>
        <v>Credit period</v>
      </c>
      <c r="E721" s="15" t="s">
        <v>2497</v>
      </c>
      <c r="F721" s="15" t="s">
        <v>2498</v>
      </c>
      <c r="G721" s="15" t="s">
        <v>2499</v>
      </c>
      <c r="H721" s="15" t="s">
        <v>783</v>
      </c>
      <c r="I721" s="15" t="s">
        <v>784</v>
      </c>
      <c r="J721" s="15" t="n">
        <v>98</v>
      </c>
      <c r="K721" s="15" t="n">
        <v>98</v>
      </c>
      <c r="L721" s="15" t="n">
        <f aca="false">IF(OR(J721="",K721=""),"",MAX(J721-K721,0))</f>
        <v>0</v>
      </c>
      <c r="M721" s="15" t="s">
        <v>99</v>
      </c>
      <c r="N721" s="17" t="n">
        <v>2023</v>
      </c>
      <c r="O721" s="15" t="n">
        <f aca="false">IF(N721="","",Scoring!$B$4-N721)</f>
        <v>3</v>
      </c>
      <c r="P721" s="15" t="n">
        <f aca="false">IF(N721="","",N721+14)</f>
        <v>2037</v>
      </c>
      <c r="Q721" s="15" t="n">
        <f aca="false">IF(N721="","",IF(N721&lt;Scoring!$B$12,"n/a (pre-1990)",N721+Scoring!$B$13))</f>
        <v>2052</v>
      </c>
      <c r="R721" s="15" t="str">
        <f aca="false">IF(J721="","Unknown",IF(J721&gt;=5,"Yes","No (under 5 units)"))</f>
        <v>Yes</v>
      </c>
      <c r="S721" s="15" t="s">
        <v>2500</v>
      </c>
      <c r="T721" s="18"/>
      <c r="U721" s="19"/>
      <c r="V721" s="18"/>
      <c r="W721" s="18"/>
      <c r="X721" s="20"/>
      <c r="Y721" s="18"/>
      <c r="Z721" s="18"/>
      <c r="AA721" s="21" t="n">
        <f aca="false">IF(U721&lt;&gt;"",(U721-Scoring!$B$3)/365.25,IF(N721="","",IF(N721&lt;Scoring!$B$12,"",(DATE(N721+Scoring!$B$13,12,31)-Scoring!$B$3)/365.25)))</f>
        <v>26.2477754962355</v>
      </c>
      <c r="AB721" s="22" t="n">
        <f aca="false">IF(T721="Y",0,IF(OR(D721="Expired (verified)",D721="Expiring: notice window (verified)",D721="Expiring: 10-yr horizon (verified)",D721="Past 30-yr mark (verify)",D721="30-yr mark: notice window (est.)",D721="Year-15 window"),1,0)+IF(ISNUMBER(O721),IF(O721&gt;=Scoring!$B$10,1,0),0)+IF(AND(ISNUMBER(L721),ISNUMBER(J721)),IF(J721&gt;0,IF(L721/J721&gt;=Scoring!$B$11,1,0),0),0)+IF(ISNUMBER(Z721),MIN(Z721,3),0))</f>
        <v>0</v>
      </c>
      <c r="AC721" s="22" t="n">
        <f aca="false">IF(AB721&gt;=3,Scoring!$C$24,IF(AB721=2,Scoring!$C$23,IF(AB721=1,Scoring!$C$22,0)))</f>
        <v>0</v>
      </c>
      <c r="AD721" s="22" t="n">
        <f aca="false">IF(T721="Y",0,IF(ISNUMBER(X721),IF(X721&gt;0.7,Scoring!$C$25,IF(X721&gt;=0.5,Scoring!$C$26,IF(X721&gt;=0.3,Scoring!$C$27,Scoring!$C$28))),Scoring!$C$29))</f>
        <v>10</v>
      </c>
      <c r="AE721" s="22" t="n">
        <f aca="false">IF(D721="Expiring: notice window (verified)",Scoring!$C$30,IF(OR(D721="Expired (verified)",D721="30-yr mark: notice window (est.)",D721="Year-15 window"),Scoring!$C$31,IF(D721="Expiring: 10-yr horizon (verified)",Scoring!$C$32,IF(D721="Past 30-yr mark (verify)",Scoring!$C$33,IF(OR(D721="Credit period",D721="Superseded record"),Scoring!$C$35,Scoring!$C$34)))))</f>
        <v>0</v>
      </c>
      <c r="AF721" s="22" t="n">
        <f aca="false">IF(T721="Y",0,IF(ISNUMBER(V721),IF(Scoring!$B$4-V721&gt;15,Scoring!$C$36,IF(Scoring!$B$4-V721&gt;=10,Scoring!$C$37,IF(Scoring!$B$4-V721&gt;=5,Scoring!$C$38,Scoring!$C$39))),IF(OR(N721="",D721="Out of program"),Scoring!$C$40,IF(O721&gt;15,Scoring!$C$36,IF(O721&gt;=10,Scoring!$C$37,IF(O721&gt;=5,Scoring!$C$38,Scoring!$C$39))))))</f>
        <v>4</v>
      </c>
      <c r="AG721" s="22" t="n">
        <f aca="false">IF(T721="Y",0,IF(Y721="Y",Scoring!$C$41,IF(ISNUMBER(O721),IF(O721&gt;=25,Scoring!$C$42,IF(O721&gt;=15,Scoring!$C$43,Scoring!$C$44)),Scoring!$C$44)))</f>
        <v>2</v>
      </c>
      <c r="AH721" s="22" t="n">
        <f aca="false">IF(T721="Y",0,IF(W721="",Scoring!$C$49,IFERROR(VLOOKUP(W721,Scoring!$B$45:$C$48,2,FALSE()),Scoring!$C$49)))</f>
        <v>5</v>
      </c>
      <c r="AI721" s="23" t="n">
        <f aca="false">C721+IF(ISNUMBER(J721),J721,0)/100000+(10000-ROW())/1000000000</f>
        <v>21.000989279</v>
      </c>
      <c r="AJ721" s="18"/>
      <c r="AK721" s="18"/>
      <c r="AL721" s="18"/>
      <c r="AM721" s="18"/>
    </row>
    <row r="722" customFormat="false" ht="15" hidden="false" customHeight="false" outlineLevel="0" collapsed="false">
      <c r="A722" s="15" t="n">
        <f aca="false">RANK(AI722,$AI$2:$AI$755)</f>
        <v>721</v>
      </c>
      <c r="B722" s="16" t="str">
        <f aca="false">IF(T722="Y","Superseded",IF(C722&gt;=Scoring!$B$16,"Immediate",IF(C722&gt;=Scoring!$B$17,"This week",IF(C722&gt;=Scoring!$B$18,"Nurture","Low"))))</f>
        <v>Low</v>
      </c>
      <c r="C722" s="3" t="n">
        <f aca="false">SUM(AC722:AH722)</f>
        <v>21</v>
      </c>
      <c r="D722" s="15" t="str">
        <f aca="false">IF(T722="Y","Superseded record",IF(AND(U722&lt;&gt;"",AA722&lt;0),"Expired (verified)",IF(AND(U722&lt;&gt;"",AA722&lt;=Scoring!$B$5),"Expiring: notice window (verified)",IF(AND(U722&lt;&gt;"",AA722&lt;=Scoring!$B$6),"Expiring: 10-yr horizon (verified)",IF(M722="No Longer Monitored","Out of program",IF(N722="","Unknown vintage",IF(N722&lt;Scoring!$B$12,"Pre-1990, still listed",IF(AND(U722="",AA722&lt;0),"Past 30-yr mark (verify)",IF(AND(U722="",AA722&lt;=Scoring!$B$5),"30-yr mark: notice window (est.)",IF(AND(O722&gt;=Scoring!$B$7,O722&lt;=Scoring!$B$8),"Year-15 window",IF(O722&gt;=Scoring!$B$9,"Recap window",IF(O722&gt;=11,"Late compliance","Credit period"))))))))))))</f>
        <v>Credit period</v>
      </c>
      <c r="E722" s="15" t="s">
        <v>2501</v>
      </c>
      <c r="F722" s="15" t="s">
        <v>2502</v>
      </c>
      <c r="G722" s="15" t="s">
        <v>2503</v>
      </c>
      <c r="H722" s="15" t="s">
        <v>107</v>
      </c>
      <c r="I722" s="15" t="s">
        <v>570</v>
      </c>
      <c r="J722" s="15" t="n">
        <v>96</v>
      </c>
      <c r="K722" s="15" t="n">
        <v>96</v>
      </c>
      <c r="L722" s="15" t="n">
        <f aca="false">IF(OR(J722="",K722=""),"",MAX(J722-K722,0))</f>
        <v>0</v>
      </c>
      <c r="M722" s="15" t="s">
        <v>99</v>
      </c>
      <c r="N722" s="17" t="n">
        <v>2024</v>
      </c>
      <c r="O722" s="15" t="n">
        <f aca="false">IF(N722="","",Scoring!$B$4-N722)</f>
        <v>2</v>
      </c>
      <c r="P722" s="15" t="n">
        <f aca="false">IF(N722="","",N722+14)</f>
        <v>2038</v>
      </c>
      <c r="Q722" s="15" t="n">
        <f aca="false">IF(N722="","",IF(N722&lt;Scoring!$B$12,"n/a (pre-1990)",N722+Scoring!$B$13))</f>
        <v>2053</v>
      </c>
      <c r="R722" s="15" t="str">
        <f aca="false">IF(J722="","Unknown",IF(J722&gt;=5,"Yes","No (under 5 units)"))</f>
        <v>Yes</v>
      </c>
      <c r="S722" s="15"/>
      <c r="T722" s="18"/>
      <c r="U722" s="19"/>
      <c r="V722" s="18"/>
      <c r="W722" s="18"/>
      <c r="X722" s="20"/>
      <c r="Y722" s="18"/>
      <c r="Z722" s="18"/>
      <c r="AA722" s="21" t="n">
        <f aca="false">IF(U722&lt;&gt;"",(U722-Scoring!$B$3)/365.25,IF(N722="","",IF(N722&lt;Scoring!$B$12,"",(DATE(N722+Scoring!$B$13,12,31)-Scoring!$B$3)/365.25)))</f>
        <v>27.2470910335387</v>
      </c>
      <c r="AB722" s="22" t="n">
        <f aca="false">IF(T722="Y",0,IF(OR(D722="Expired (verified)",D722="Expiring: notice window (verified)",D722="Expiring: 10-yr horizon (verified)",D722="Past 30-yr mark (verify)",D722="30-yr mark: notice window (est.)",D722="Year-15 window"),1,0)+IF(ISNUMBER(O722),IF(O722&gt;=Scoring!$B$10,1,0),0)+IF(AND(ISNUMBER(L722),ISNUMBER(J722)),IF(J722&gt;0,IF(L722/J722&gt;=Scoring!$B$11,1,0),0),0)+IF(ISNUMBER(Z722),MIN(Z722,3),0))</f>
        <v>0</v>
      </c>
      <c r="AC722" s="22" t="n">
        <f aca="false">IF(AB722&gt;=3,Scoring!$C$24,IF(AB722=2,Scoring!$C$23,IF(AB722=1,Scoring!$C$22,0)))</f>
        <v>0</v>
      </c>
      <c r="AD722" s="22" t="n">
        <f aca="false">IF(T722="Y",0,IF(ISNUMBER(X722),IF(X722&gt;0.7,Scoring!$C$25,IF(X722&gt;=0.5,Scoring!$C$26,IF(X722&gt;=0.3,Scoring!$C$27,Scoring!$C$28))),Scoring!$C$29))</f>
        <v>10</v>
      </c>
      <c r="AE722" s="22" t="n">
        <f aca="false">IF(D722="Expiring: notice window (verified)",Scoring!$C$30,IF(OR(D722="Expired (verified)",D722="30-yr mark: notice window (est.)",D722="Year-15 window"),Scoring!$C$31,IF(D722="Expiring: 10-yr horizon (verified)",Scoring!$C$32,IF(D722="Past 30-yr mark (verify)",Scoring!$C$33,IF(OR(D722="Credit period",D722="Superseded record"),Scoring!$C$35,Scoring!$C$34)))))</f>
        <v>0</v>
      </c>
      <c r="AF722" s="22" t="n">
        <f aca="false">IF(T722="Y",0,IF(ISNUMBER(V722),IF(Scoring!$B$4-V722&gt;15,Scoring!$C$36,IF(Scoring!$B$4-V722&gt;=10,Scoring!$C$37,IF(Scoring!$B$4-V722&gt;=5,Scoring!$C$38,Scoring!$C$39))),IF(OR(N722="",D722="Out of program"),Scoring!$C$40,IF(O722&gt;15,Scoring!$C$36,IF(O722&gt;=10,Scoring!$C$37,IF(O722&gt;=5,Scoring!$C$38,Scoring!$C$39))))))</f>
        <v>4</v>
      </c>
      <c r="AG722" s="22" t="n">
        <f aca="false">IF(T722="Y",0,IF(Y722="Y",Scoring!$C$41,IF(ISNUMBER(O722),IF(O722&gt;=25,Scoring!$C$42,IF(O722&gt;=15,Scoring!$C$43,Scoring!$C$44)),Scoring!$C$44)))</f>
        <v>2</v>
      </c>
      <c r="AH722" s="22" t="n">
        <f aca="false">IF(T722="Y",0,IF(W722="",Scoring!$C$49,IFERROR(VLOOKUP(W722,Scoring!$B$45:$C$48,2,FALSE()),Scoring!$C$49)))</f>
        <v>5</v>
      </c>
      <c r="AI722" s="23" t="n">
        <f aca="false">C722+IF(ISNUMBER(J722),J722,0)/100000+(10000-ROW())/1000000000</f>
        <v>21.000969278</v>
      </c>
      <c r="AJ722" s="18"/>
      <c r="AK722" s="18"/>
      <c r="AL722" s="18"/>
      <c r="AM722" s="18"/>
    </row>
    <row r="723" customFormat="false" ht="15" hidden="false" customHeight="false" outlineLevel="0" collapsed="false">
      <c r="A723" s="15" t="n">
        <f aca="false">RANK(AI723,$AI$2:$AI$755)</f>
        <v>722</v>
      </c>
      <c r="B723" s="16" t="str">
        <f aca="false">IF(T723="Y","Superseded",IF(C723&gt;=Scoring!$B$16,"Immediate",IF(C723&gt;=Scoring!$B$17,"This week",IF(C723&gt;=Scoring!$B$18,"Nurture","Low"))))</f>
        <v>Low</v>
      </c>
      <c r="C723" s="3" t="n">
        <f aca="false">SUM(AC723:AH723)</f>
        <v>21</v>
      </c>
      <c r="D723" s="15" t="str">
        <f aca="false">IF(T723="Y","Superseded record",IF(AND(U723&lt;&gt;"",AA723&lt;0),"Expired (verified)",IF(AND(U723&lt;&gt;"",AA723&lt;=Scoring!$B$5),"Expiring: notice window (verified)",IF(AND(U723&lt;&gt;"",AA723&lt;=Scoring!$B$6),"Expiring: 10-yr horizon (verified)",IF(M723="No Longer Monitored","Out of program",IF(N723="","Unknown vintage",IF(N723&lt;Scoring!$B$12,"Pre-1990, still listed",IF(AND(U723="",AA723&lt;0),"Past 30-yr mark (verify)",IF(AND(U723="",AA723&lt;=Scoring!$B$5),"30-yr mark: notice window (est.)",IF(AND(O723&gt;=Scoring!$B$7,O723&lt;=Scoring!$B$8),"Year-15 window",IF(O723&gt;=Scoring!$B$9,"Recap window",IF(O723&gt;=11,"Late compliance","Credit period"))))))))))))</f>
        <v>Credit period</v>
      </c>
      <c r="E723" s="15" t="s">
        <v>2504</v>
      </c>
      <c r="F723" s="15" t="s">
        <v>2505</v>
      </c>
      <c r="G723" s="15" t="s">
        <v>2506</v>
      </c>
      <c r="H723" s="15" t="s">
        <v>107</v>
      </c>
      <c r="I723" s="15" t="s">
        <v>594</v>
      </c>
      <c r="J723" s="15" t="n">
        <v>94</v>
      </c>
      <c r="K723" s="15" t="n">
        <v>94</v>
      </c>
      <c r="L723" s="15" t="n">
        <f aca="false">IF(OR(J723="",K723=""),"",MAX(J723-K723,0))</f>
        <v>0</v>
      </c>
      <c r="M723" s="15" t="s">
        <v>99</v>
      </c>
      <c r="N723" s="17" t="n">
        <v>2023</v>
      </c>
      <c r="O723" s="15" t="n">
        <f aca="false">IF(N723="","",Scoring!$B$4-N723)</f>
        <v>3</v>
      </c>
      <c r="P723" s="15" t="n">
        <f aca="false">IF(N723="","",N723+14)</f>
        <v>2037</v>
      </c>
      <c r="Q723" s="15" t="n">
        <f aca="false">IF(N723="","",IF(N723&lt;Scoring!$B$12,"n/a (pre-1990)",N723+Scoring!$B$13))</f>
        <v>2052</v>
      </c>
      <c r="R723" s="15" t="str">
        <f aca="false">IF(J723="","Unknown",IF(J723&gt;=5,"Yes","No (under 5 units)"))</f>
        <v>Yes</v>
      </c>
      <c r="S723" s="15"/>
      <c r="T723" s="18"/>
      <c r="U723" s="19"/>
      <c r="V723" s="18"/>
      <c r="W723" s="18"/>
      <c r="X723" s="20"/>
      <c r="Y723" s="18"/>
      <c r="Z723" s="18"/>
      <c r="AA723" s="21" t="n">
        <f aca="false">IF(U723&lt;&gt;"",(U723-Scoring!$B$3)/365.25,IF(N723="","",IF(N723&lt;Scoring!$B$12,"",(DATE(N723+Scoring!$B$13,12,31)-Scoring!$B$3)/365.25)))</f>
        <v>26.2477754962355</v>
      </c>
      <c r="AB723" s="22" t="n">
        <f aca="false">IF(T723="Y",0,IF(OR(D723="Expired (verified)",D723="Expiring: notice window (verified)",D723="Expiring: 10-yr horizon (verified)",D723="Past 30-yr mark (verify)",D723="30-yr mark: notice window (est.)",D723="Year-15 window"),1,0)+IF(ISNUMBER(O723),IF(O723&gt;=Scoring!$B$10,1,0),0)+IF(AND(ISNUMBER(L723),ISNUMBER(J723)),IF(J723&gt;0,IF(L723/J723&gt;=Scoring!$B$11,1,0),0),0)+IF(ISNUMBER(Z723),MIN(Z723,3),0))</f>
        <v>0</v>
      </c>
      <c r="AC723" s="22" t="n">
        <f aca="false">IF(AB723&gt;=3,Scoring!$C$24,IF(AB723=2,Scoring!$C$23,IF(AB723=1,Scoring!$C$22,0)))</f>
        <v>0</v>
      </c>
      <c r="AD723" s="22" t="n">
        <f aca="false">IF(T723="Y",0,IF(ISNUMBER(X723),IF(X723&gt;0.7,Scoring!$C$25,IF(X723&gt;=0.5,Scoring!$C$26,IF(X723&gt;=0.3,Scoring!$C$27,Scoring!$C$28))),Scoring!$C$29))</f>
        <v>10</v>
      </c>
      <c r="AE723" s="22" t="n">
        <f aca="false">IF(D723="Expiring: notice window (verified)",Scoring!$C$30,IF(OR(D723="Expired (verified)",D723="30-yr mark: notice window (est.)",D723="Year-15 window"),Scoring!$C$31,IF(D723="Expiring: 10-yr horizon (verified)",Scoring!$C$32,IF(D723="Past 30-yr mark (verify)",Scoring!$C$33,IF(OR(D723="Credit period",D723="Superseded record"),Scoring!$C$35,Scoring!$C$34)))))</f>
        <v>0</v>
      </c>
      <c r="AF723" s="22" t="n">
        <f aca="false">IF(T723="Y",0,IF(ISNUMBER(V723),IF(Scoring!$B$4-V723&gt;15,Scoring!$C$36,IF(Scoring!$B$4-V723&gt;=10,Scoring!$C$37,IF(Scoring!$B$4-V723&gt;=5,Scoring!$C$38,Scoring!$C$39))),IF(OR(N723="",D723="Out of program"),Scoring!$C$40,IF(O723&gt;15,Scoring!$C$36,IF(O723&gt;=10,Scoring!$C$37,IF(O723&gt;=5,Scoring!$C$38,Scoring!$C$39))))))</f>
        <v>4</v>
      </c>
      <c r="AG723" s="22" t="n">
        <f aca="false">IF(T723="Y",0,IF(Y723="Y",Scoring!$C$41,IF(ISNUMBER(O723),IF(O723&gt;=25,Scoring!$C$42,IF(O723&gt;=15,Scoring!$C$43,Scoring!$C$44)),Scoring!$C$44)))</f>
        <v>2</v>
      </c>
      <c r="AH723" s="22" t="n">
        <f aca="false">IF(T723="Y",0,IF(W723="",Scoring!$C$49,IFERROR(VLOOKUP(W723,Scoring!$B$45:$C$48,2,FALSE()),Scoring!$C$49)))</f>
        <v>5</v>
      </c>
      <c r="AI723" s="23" t="n">
        <f aca="false">C723+IF(ISNUMBER(J723),J723,0)/100000+(10000-ROW())/1000000000</f>
        <v>21.000949277</v>
      </c>
      <c r="AJ723" s="18"/>
      <c r="AK723" s="18"/>
      <c r="AL723" s="18"/>
      <c r="AM723" s="18"/>
    </row>
    <row r="724" customFormat="false" ht="15" hidden="false" customHeight="false" outlineLevel="0" collapsed="false">
      <c r="A724" s="15" t="n">
        <f aca="false">RANK(AI724,$AI$2:$AI$755)</f>
        <v>723</v>
      </c>
      <c r="B724" s="16" t="str">
        <f aca="false">IF(T724="Y","Superseded",IF(C724&gt;=Scoring!$B$16,"Immediate",IF(C724&gt;=Scoring!$B$17,"This week",IF(C724&gt;=Scoring!$B$18,"Nurture","Low"))))</f>
        <v>Low</v>
      </c>
      <c r="C724" s="3" t="n">
        <f aca="false">SUM(AC724:AH724)</f>
        <v>21</v>
      </c>
      <c r="D724" s="15" t="str">
        <f aca="false">IF(T724="Y","Superseded record",IF(AND(U724&lt;&gt;"",AA724&lt;0),"Expired (verified)",IF(AND(U724&lt;&gt;"",AA724&lt;=Scoring!$B$5),"Expiring: notice window (verified)",IF(AND(U724&lt;&gt;"",AA724&lt;=Scoring!$B$6),"Expiring: 10-yr horizon (verified)",IF(M724="No Longer Monitored","Out of program",IF(N724="","Unknown vintage",IF(N724&lt;Scoring!$B$12,"Pre-1990, still listed",IF(AND(U724="",AA724&lt;0),"Past 30-yr mark (verify)",IF(AND(U724="",AA724&lt;=Scoring!$B$5),"30-yr mark: notice window (est.)",IF(AND(O724&gt;=Scoring!$B$7,O724&lt;=Scoring!$B$8),"Year-15 window",IF(O724&gt;=Scoring!$B$9,"Recap window",IF(O724&gt;=11,"Late compliance","Credit period"))))))))))))</f>
        <v>Credit period</v>
      </c>
      <c r="E724" s="15" t="s">
        <v>2507</v>
      </c>
      <c r="F724" s="15" t="s">
        <v>2508</v>
      </c>
      <c r="G724" s="15" t="s">
        <v>2509</v>
      </c>
      <c r="H724" s="15" t="s">
        <v>617</v>
      </c>
      <c r="I724" s="15" t="s">
        <v>744</v>
      </c>
      <c r="J724" s="15" t="n">
        <v>94</v>
      </c>
      <c r="K724" s="15" t="n">
        <v>94</v>
      </c>
      <c r="L724" s="15" t="n">
        <f aca="false">IF(OR(J724="",K724=""),"",MAX(J724-K724,0))</f>
        <v>0</v>
      </c>
      <c r="M724" s="15" t="s">
        <v>99</v>
      </c>
      <c r="N724" s="17" t="n">
        <v>2024</v>
      </c>
      <c r="O724" s="15" t="n">
        <f aca="false">IF(N724="","",Scoring!$B$4-N724)</f>
        <v>2</v>
      </c>
      <c r="P724" s="15" t="n">
        <f aca="false">IF(N724="","",N724+14)</f>
        <v>2038</v>
      </c>
      <c r="Q724" s="15" t="n">
        <f aca="false">IF(N724="","",IF(N724&lt;Scoring!$B$12,"n/a (pre-1990)",N724+Scoring!$B$13))</f>
        <v>2053</v>
      </c>
      <c r="R724" s="15" t="str">
        <f aca="false">IF(J724="","Unknown",IF(J724&gt;=5,"Yes","No (under 5 units)"))</f>
        <v>Yes</v>
      </c>
      <c r="S724" s="15"/>
      <c r="T724" s="18"/>
      <c r="U724" s="19"/>
      <c r="V724" s="18"/>
      <c r="W724" s="18"/>
      <c r="X724" s="20"/>
      <c r="Y724" s="18"/>
      <c r="Z724" s="18"/>
      <c r="AA724" s="21" t="n">
        <f aca="false">IF(U724&lt;&gt;"",(U724-Scoring!$B$3)/365.25,IF(N724="","",IF(N724&lt;Scoring!$B$12,"",(DATE(N724+Scoring!$B$13,12,31)-Scoring!$B$3)/365.25)))</f>
        <v>27.2470910335387</v>
      </c>
      <c r="AB724" s="22" t="n">
        <f aca="false">IF(T724="Y",0,IF(OR(D724="Expired (verified)",D724="Expiring: notice window (verified)",D724="Expiring: 10-yr horizon (verified)",D724="Past 30-yr mark (verify)",D724="30-yr mark: notice window (est.)",D724="Year-15 window"),1,0)+IF(ISNUMBER(O724),IF(O724&gt;=Scoring!$B$10,1,0),0)+IF(AND(ISNUMBER(L724),ISNUMBER(J724)),IF(J724&gt;0,IF(L724/J724&gt;=Scoring!$B$11,1,0),0),0)+IF(ISNUMBER(Z724),MIN(Z724,3),0))</f>
        <v>0</v>
      </c>
      <c r="AC724" s="22" t="n">
        <f aca="false">IF(AB724&gt;=3,Scoring!$C$24,IF(AB724=2,Scoring!$C$23,IF(AB724=1,Scoring!$C$22,0)))</f>
        <v>0</v>
      </c>
      <c r="AD724" s="22" t="n">
        <f aca="false">IF(T724="Y",0,IF(ISNUMBER(X724),IF(X724&gt;0.7,Scoring!$C$25,IF(X724&gt;=0.5,Scoring!$C$26,IF(X724&gt;=0.3,Scoring!$C$27,Scoring!$C$28))),Scoring!$C$29))</f>
        <v>10</v>
      </c>
      <c r="AE724" s="22" t="n">
        <f aca="false">IF(D724="Expiring: notice window (verified)",Scoring!$C$30,IF(OR(D724="Expired (verified)",D724="30-yr mark: notice window (est.)",D724="Year-15 window"),Scoring!$C$31,IF(D724="Expiring: 10-yr horizon (verified)",Scoring!$C$32,IF(D724="Past 30-yr mark (verify)",Scoring!$C$33,IF(OR(D724="Credit period",D724="Superseded record"),Scoring!$C$35,Scoring!$C$34)))))</f>
        <v>0</v>
      </c>
      <c r="AF724" s="22" t="n">
        <f aca="false">IF(T724="Y",0,IF(ISNUMBER(V724),IF(Scoring!$B$4-V724&gt;15,Scoring!$C$36,IF(Scoring!$B$4-V724&gt;=10,Scoring!$C$37,IF(Scoring!$B$4-V724&gt;=5,Scoring!$C$38,Scoring!$C$39))),IF(OR(N724="",D724="Out of program"),Scoring!$C$40,IF(O724&gt;15,Scoring!$C$36,IF(O724&gt;=10,Scoring!$C$37,IF(O724&gt;=5,Scoring!$C$38,Scoring!$C$39))))))</f>
        <v>4</v>
      </c>
      <c r="AG724" s="22" t="n">
        <f aca="false">IF(T724="Y",0,IF(Y724="Y",Scoring!$C$41,IF(ISNUMBER(O724),IF(O724&gt;=25,Scoring!$C$42,IF(O724&gt;=15,Scoring!$C$43,Scoring!$C$44)),Scoring!$C$44)))</f>
        <v>2</v>
      </c>
      <c r="AH724" s="22" t="n">
        <f aca="false">IF(T724="Y",0,IF(W724="",Scoring!$C$49,IFERROR(VLOOKUP(W724,Scoring!$B$45:$C$48,2,FALSE()),Scoring!$C$49)))</f>
        <v>5</v>
      </c>
      <c r="AI724" s="23" t="n">
        <f aca="false">C724+IF(ISNUMBER(J724),J724,0)/100000+(10000-ROW())/1000000000</f>
        <v>21.000949276</v>
      </c>
      <c r="AJ724" s="18"/>
      <c r="AK724" s="18"/>
      <c r="AL724" s="18"/>
      <c r="AM724" s="18"/>
    </row>
    <row r="725" customFormat="false" ht="15" hidden="false" customHeight="false" outlineLevel="0" collapsed="false">
      <c r="A725" s="15" t="n">
        <f aca="false">RANK(AI725,$AI$2:$AI$755)</f>
        <v>724</v>
      </c>
      <c r="B725" s="16" t="str">
        <f aca="false">IF(T725="Y","Superseded",IF(C725&gt;=Scoring!$B$16,"Immediate",IF(C725&gt;=Scoring!$B$17,"This week",IF(C725&gt;=Scoring!$B$18,"Nurture","Low"))))</f>
        <v>Low</v>
      </c>
      <c r="C725" s="3" t="n">
        <f aca="false">SUM(AC725:AH725)</f>
        <v>21</v>
      </c>
      <c r="D725" s="15" t="str">
        <f aca="false">IF(T725="Y","Superseded record",IF(AND(U725&lt;&gt;"",AA725&lt;0),"Expired (verified)",IF(AND(U725&lt;&gt;"",AA725&lt;=Scoring!$B$5),"Expiring: notice window (verified)",IF(AND(U725&lt;&gt;"",AA725&lt;=Scoring!$B$6),"Expiring: 10-yr horizon (verified)",IF(M725="No Longer Monitored","Out of program",IF(N725="","Unknown vintage",IF(N725&lt;Scoring!$B$12,"Pre-1990, still listed",IF(AND(U725="",AA725&lt;0),"Past 30-yr mark (verify)",IF(AND(U725="",AA725&lt;=Scoring!$B$5),"30-yr mark: notice window (est.)",IF(AND(O725&gt;=Scoring!$B$7,O725&lt;=Scoring!$B$8),"Year-15 window",IF(O725&gt;=Scoring!$B$9,"Recap window",IF(O725&gt;=11,"Late compliance","Credit period"))))))))))))</f>
        <v>Credit period</v>
      </c>
      <c r="E725" s="15" t="s">
        <v>2510</v>
      </c>
      <c r="F725" s="15" t="s">
        <v>2511</v>
      </c>
      <c r="G725" s="15" t="s">
        <v>2512</v>
      </c>
      <c r="H725" s="15" t="s">
        <v>292</v>
      </c>
      <c r="I725" s="15" t="s">
        <v>293</v>
      </c>
      <c r="J725" s="15" t="n">
        <v>72</v>
      </c>
      <c r="K725" s="15" t="n">
        <v>72</v>
      </c>
      <c r="L725" s="15" t="n">
        <f aca="false">IF(OR(J725="",K725=""),"",MAX(J725-K725,0))</f>
        <v>0</v>
      </c>
      <c r="M725" s="15" t="s">
        <v>99</v>
      </c>
      <c r="N725" s="17" t="n">
        <v>2024</v>
      </c>
      <c r="O725" s="15" t="n">
        <f aca="false">IF(N725="","",Scoring!$B$4-N725)</f>
        <v>2</v>
      </c>
      <c r="P725" s="15" t="n">
        <f aca="false">IF(N725="","",N725+14)</f>
        <v>2038</v>
      </c>
      <c r="Q725" s="15" t="n">
        <f aca="false">IF(N725="","",IF(N725&lt;Scoring!$B$12,"n/a (pre-1990)",N725+Scoring!$B$13))</f>
        <v>2053</v>
      </c>
      <c r="R725" s="15" t="str">
        <f aca="false">IF(J725="","Unknown",IF(J725&gt;=5,"Yes","No (under 5 units)"))</f>
        <v>Yes</v>
      </c>
      <c r="S725" s="15"/>
      <c r="T725" s="18"/>
      <c r="U725" s="19"/>
      <c r="V725" s="18"/>
      <c r="W725" s="18"/>
      <c r="X725" s="20"/>
      <c r="Y725" s="18"/>
      <c r="Z725" s="18"/>
      <c r="AA725" s="21" t="n">
        <f aca="false">IF(U725&lt;&gt;"",(U725-Scoring!$B$3)/365.25,IF(N725="","",IF(N725&lt;Scoring!$B$12,"",(DATE(N725+Scoring!$B$13,12,31)-Scoring!$B$3)/365.25)))</f>
        <v>27.2470910335387</v>
      </c>
      <c r="AB725" s="22" t="n">
        <f aca="false">IF(T725="Y",0,IF(OR(D725="Expired (verified)",D725="Expiring: notice window (verified)",D725="Expiring: 10-yr horizon (verified)",D725="Past 30-yr mark (verify)",D725="30-yr mark: notice window (est.)",D725="Year-15 window"),1,0)+IF(ISNUMBER(O725),IF(O725&gt;=Scoring!$B$10,1,0),0)+IF(AND(ISNUMBER(L725),ISNUMBER(J725)),IF(J725&gt;0,IF(L725/J725&gt;=Scoring!$B$11,1,0),0),0)+IF(ISNUMBER(Z725),MIN(Z725,3),0))</f>
        <v>0</v>
      </c>
      <c r="AC725" s="22" t="n">
        <f aca="false">IF(AB725&gt;=3,Scoring!$C$24,IF(AB725=2,Scoring!$C$23,IF(AB725=1,Scoring!$C$22,0)))</f>
        <v>0</v>
      </c>
      <c r="AD725" s="22" t="n">
        <f aca="false">IF(T725="Y",0,IF(ISNUMBER(X725),IF(X725&gt;0.7,Scoring!$C$25,IF(X725&gt;=0.5,Scoring!$C$26,IF(X725&gt;=0.3,Scoring!$C$27,Scoring!$C$28))),Scoring!$C$29))</f>
        <v>10</v>
      </c>
      <c r="AE725" s="22" t="n">
        <f aca="false">IF(D725="Expiring: notice window (verified)",Scoring!$C$30,IF(OR(D725="Expired (verified)",D725="30-yr mark: notice window (est.)",D725="Year-15 window"),Scoring!$C$31,IF(D725="Expiring: 10-yr horizon (verified)",Scoring!$C$32,IF(D725="Past 30-yr mark (verify)",Scoring!$C$33,IF(OR(D725="Credit period",D725="Superseded record"),Scoring!$C$35,Scoring!$C$34)))))</f>
        <v>0</v>
      </c>
      <c r="AF725" s="22" t="n">
        <f aca="false">IF(T725="Y",0,IF(ISNUMBER(V725),IF(Scoring!$B$4-V725&gt;15,Scoring!$C$36,IF(Scoring!$B$4-V725&gt;=10,Scoring!$C$37,IF(Scoring!$B$4-V725&gt;=5,Scoring!$C$38,Scoring!$C$39))),IF(OR(N725="",D725="Out of program"),Scoring!$C$40,IF(O725&gt;15,Scoring!$C$36,IF(O725&gt;=10,Scoring!$C$37,IF(O725&gt;=5,Scoring!$C$38,Scoring!$C$39))))))</f>
        <v>4</v>
      </c>
      <c r="AG725" s="22" t="n">
        <f aca="false">IF(T725="Y",0,IF(Y725="Y",Scoring!$C$41,IF(ISNUMBER(O725),IF(O725&gt;=25,Scoring!$C$42,IF(O725&gt;=15,Scoring!$C$43,Scoring!$C$44)),Scoring!$C$44)))</f>
        <v>2</v>
      </c>
      <c r="AH725" s="22" t="n">
        <f aca="false">IF(T725="Y",0,IF(W725="",Scoring!$C$49,IFERROR(VLOOKUP(W725,Scoring!$B$45:$C$48,2,FALSE()),Scoring!$C$49)))</f>
        <v>5</v>
      </c>
      <c r="AI725" s="23" t="n">
        <f aca="false">C725+IF(ISNUMBER(J725),J725,0)/100000+(10000-ROW())/1000000000</f>
        <v>21.000729275</v>
      </c>
      <c r="AJ725" s="18"/>
      <c r="AK725" s="18"/>
      <c r="AL725" s="18"/>
      <c r="AM725" s="18"/>
    </row>
    <row r="726" customFormat="false" ht="15" hidden="false" customHeight="false" outlineLevel="0" collapsed="false">
      <c r="A726" s="15" t="n">
        <f aca="false">RANK(AI726,$AI$2:$AI$755)</f>
        <v>725</v>
      </c>
      <c r="B726" s="16" t="str">
        <f aca="false">IF(T726="Y","Superseded",IF(C726&gt;=Scoring!$B$16,"Immediate",IF(C726&gt;=Scoring!$B$17,"This week",IF(C726&gt;=Scoring!$B$18,"Nurture","Low"))))</f>
        <v>Low</v>
      </c>
      <c r="C726" s="3" t="n">
        <f aca="false">SUM(AC726:AH726)</f>
        <v>21</v>
      </c>
      <c r="D726" s="15" t="str">
        <f aca="false">IF(T726="Y","Superseded record",IF(AND(U726&lt;&gt;"",AA726&lt;0),"Expired (verified)",IF(AND(U726&lt;&gt;"",AA726&lt;=Scoring!$B$5),"Expiring: notice window (verified)",IF(AND(U726&lt;&gt;"",AA726&lt;=Scoring!$B$6),"Expiring: 10-yr horizon (verified)",IF(M726="No Longer Monitored","Out of program",IF(N726="","Unknown vintage",IF(N726&lt;Scoring!$B$12,"Pre-1990, still listed",IF(AND(U726="",AA726&lt;0),"Past 30-yr mark (verify)",IF(AND(U726="",AA726&lt;=Scoring!$B$5),"30-yr mark: notice window (est.)",IF(AND(O726&gt;=Scoring!$B$7,O726&lt;=Scoring!$B$8),"Year-15 window",IF(O726&gt;=Scoring!$B$9,"Recap window",IF(O726&gt;=11,"Late compliance","Credit period"))))))))))))</f>
        <v>Credit period</v>
      </c>
      <c r="E726" s="15" t="s">
        <v>2513</v>
      </c>
      <c r="F726" s="15" t="s">
        <v>2514</v>
      </c>
      <c r="G726" s="15" t="s">
        <v>2515</v>
      </c>
      <c r="H726" s="15" t="s">
        <v>2516</v>
      </c>
      <c r="I726" s="15" t="s">
        <v>276</v>
      </c>
      <c r="J726" s="15" t="n">
        <v>70</v>
      </c>
      <c r="K726" s="15" t="n">
        <v>70</v>
      </c>
      <c r="L726" s="15" t="n">
        <f aca="false">IF(OR(J726="",K726=""),"",MAX(J726-K726,0))</f>
        <v>0</v>
      </c>
      <c r="M726" s="15" t="s">
        <v>99</v>
      </c>
      <c r="N726" s="17" t="n">
        <v>2024</v>
      </c>
      <c r="O726" s="15" t="n">
        <f aca="false">IF(N726="","",Scoring!$B$4-N726)</f>
        <v>2</v>
      </c>
      <c r="P726" s="15" t="n">
        <f aca="false">IF(N726="","",N726+14)</f>
        <v>2038</v>
      </c>
      <c r="Q726" s="15" t="n">
        <f aca="false">IF(N726="","",IF(N726&lt;Scoring!$B$12,"n/a (pre-1990)",N726+Scoring!$B$13))</f>
        <v>2053</v>
      </c>
      <c r="R726" s="15" t="str">
        <f aca="false">IF(J726="","Unknown",IF(J726&gt;=5,"Yes","No (under 5 units)"))</f>
        <v>Yes</v>
      </c>
      <c r="S726" s="15"/>
      <c r="T726" s="18"/>
      <c r="U726" s="19"/>
      <c r="V726" s="18"/>
      <c r="W726" s="18"/>
      <c r="X726" s="20"/>
      <c r="Y726" s="18"/>
      <c r="Z726" s="18"/>
      <c r="AA726" s="21" t="n">
        <f aca="false">IF(U726&lt;&gt;"",(U726-Scoring!$B$3)/365.25,IF(N726="","",IF(N726&lt;Scoring!$B$12,"",(DATE(N726+Scoring!$B$13,12,31)-Scoring!$B$3)/365.25)))</f>
        <v>27.2470910335387</v>
      </c>
      <c r="AB726" s="22" t="n">
        <f aca="false">IF(T726="Y",0,IF(OR(D726="Expired (verified)",D726="Expiring: notice window (verified)",D726="Expiring: 10-yr horizon (verified)",D726="Past 30-yr mark (verify)",D726="30-yr mark: notice window (est.)",D726="Year-15 window"),1,0)+IF(ISNUMBER(O726),IF(O726&gt;=Scoring!$B$10,1,0),0)+IF(AND(ISNUMBER(L726),ISNUMBER(J726)),IF(J726&gt;0,IF(L726/J726&gt;=Scoring!$B$11,1,0),0),0)+IF(ISNUMBER(Z726),MIN(Z726,3),0))</f>
        <v>0</v>
      </c>
      <c r="AC726" s="22" t="n">
        <f aca="false">IF(AB726&gt;=3,Scoring!$C$24,IF(AB726=2,Scoring!$C$23,IF(AB726=1,Scoring!$C$22,0)))</f>
        <v>0</v>
      </c>
      <c r="AD726" s="22" t="n">
        <f aca="false">IF(T726="Y",0,IF(ISNUMBER(X726),IF(X726&gt;0.7,Scoring!$C$25,IF(X726&gt;=0.5,Scoring!$C$26,IF(X726&gt;=0.3,Scoring!$C$27,Scoring!$C$28))),Scoring!$C$29))</f>
        <v>10</v>
      </c>
      <c r="AE726" s="22" t="n">
        <f aca="false">IF(D726="Expiring: notice window (verified)",Scoring!$C$30,IF(OR(D726="Expired (verified)",D726="30-yr mark: notice window (est.)",D726="Year-15 window"),Scoring!$C$31,IF(D726="Expiring: 10-yr horizon (verified)",Scoring!$C$32,IF(D726="Past 30-yr mark (verify)",Scoring!$C$33,IF(OR(D726="Credit period",D726="Superseded record"),Scoring!$C$35,Scoring!$C$34)))))</f>
        <v>0</v>
      </c>
      <c r="AF726" s="22" t="n">
        <f aca="false">IF(T726="Y",0,IF(ISNUMBER(V726),IF(Scoring!$B$4-V726&gt;15,Scoring!$C$36,IF(Scoring!$B$4-V726&gt;=10,Scoring!$C$37,IF(Scoring!$B$4-V726&gt;=5,Scoring!$C$38,Scoring!$C$39))),IF(OR(N726="",D726="Out of program"),Scoring!$C$40,IF(O726&gt;15,Scoring!$C$36,IF(O726&gt;=10,Scoring!$C$37,IF(O726&gt;=5,Scoring!$C$38,Scoring!$C$39))))))</f>
        <v>4</v>
      </c>
      <c r="AG726" s="22" t="n">
        <f aca="false">IF(T726="Y",0,IF(Y726="Y",Scoring!$C$41,IF(ISNUMBER(O726),IF(O726&gt;=25,Scoring!$C$42,IF(O726&gt;=15,Scoring!$C$43,Scoring!$C$44)),Scoring!$C$44)))</f>
        <v>2</v>
      </c>
      <c r="AH726" s="22" t="n">
        <f aca="false">IF(T726="Y",0,IF(W726="",Scoring!$C$49,IFERROR(VLOOKUP(W726,Scoring!$B$45:$C$48,2,FALSE()),Scoring!$C$49)))</f>
        <v>5</v>
      </c>
      <c r="AI726" s="23" t="n">
        <f aca="false">C726+IF(ISNUMBER(J726),J726,0)/100000+(10000-ROW())/1000000000</f>
        <v>21.000709274</v>
      </c>
      <c r="AJ726" s="18"/>
      <c r="AK726" s="18"/>
      <c r="AL726" s="18"/>
      <c r="AM726" s="18"/>
    </row>
    <row r="727" customFormat="false" ht="15" hidden="false" customHeight="false" outlineLevel="0" collapsed="false">
      <c r="A727" s="15" t="n">
        <f aca="false">RANK(AI727,$AI$2:$AI$755)</f>
        <v>726</v>
      </c>
      <c r="B727" s="16" t="str">
        <f aca="false">IF(T727="Y","Superseded",IF(C727&gt;=Scoring!$B$16,"Immediate",IF(C727&gt;=Scoring!$B$17,"This week",IF(C727&gt;=Scoring!$B$18,"Nurture","Low"))))</f>
        <v>Low</v>
      </c>
      <c r="C727" s="3" t="n">
        <f aca="false">SUM(AC727:AH727)</f>
        <v>21</v>
      </c>
      <c r="D727" s="15" t="str">
        <f aca="false">IF(T727="Y","Superseded record",IF(AND(U727&lt;&gt;"",AA727&lt;0),"Expired (verified)",IF(AND(U727&lt;&gt;"",AA727&lt;=Scoring!$B$5),"Expiring: notice window (verified)",IF(AND(U727&lt;&gt;"",AA727&lt;=Scoring!$B$6),"Expiring: 10-yr horizon (verified)",IF(M727="No Longer Monitored","Out of program",IF(N727="","Unknown vintage",IF(N727&lt;Scoring!$B$12,"Pre-1990, still listed",IF(AND(U727="",AA727&lt;0),"Past 30-yr mark (verify)",IF(AND(U727="",AA727&lt;=Scoring!$B$5),"30-yr mark: notice window (est.)",IF(AND(O727&gt;=Scoring!$B$7,O727&lt;=Scoring!$B$8),"Year-15 window",IF(O727&gt;=Scoring!$B$9,"Recap window",IF(O727&gt;=11,"Late compliance","Credit period"))))))))))))</f>
        <v>Credit period</v>
      </c>
      <c r="E727" s="15" t="s">
        <v>2517</v>
      </c>
      <c r="F727" s="15" t="s">
        <v>2518</v>
      </c>
      <c r="G727" s="15" t="s">
        <v>2519</v>
      </c>
      <c r="H727" s="15" t="s">
        <v>146</v>
      </c>
      <c r="I727" s="15" t="s">
        <v>147</v>
      </c>
      <c r="J727" s="15" t="n">
        <v>68</v>
      </c>
      <c r="K727" s="15" t="n">
        <v>68</v>
      </c>
      <c r="L727" s="15" t="n">
        <f aca="false">IF(OR(J727="",K727=""),"",MAX(J727-K727,0))</f>
        <v>0</v>
      </c>
      <c r="M727" s="15" t="s">
        <v>99</v>
      </c>
      <c r="N727" s="17" t="n">
        <v>2022</v>
      </c>
      <c r="O727" s="15" t="n">
        <f aca="false">IF(N727="","",Scoring!$B$4-N727)</f>
        <v>4</v>
      </c>
      <c r="P727" s="15" t="n">
        <f aca="false">IF(N727="","",N727+14)</f>
        <v>2036</v>
      </c>
      <c r="Q727" s="15" t="n">
        <f aca="false">IF(N727="","",IF(N727&lt;Scoring!$B$12,"n/a (pre-1990)",N727+Scoring!$B$13))</f>
        <v>2051</v>
      </c>
      <c r="R727" s="15" t="str">
        <f aca="false">IF(J727="","Unknown",IF(J727&gt;=5,"Yes","No (under 5 units)"))</f>
        <v>Yes</v>
      </c>
      <c r="S727" s="15"/>
      <c r="T727" s="18"/>
      <c r="U727" s="19"/>
      <c r="V727" s="18"/>
      <c r="W727" s="18"/>
      <c r="X727" s="20"/>
      <c r="Y727" s="18"/>
      <c r="Z727" s="18"/>
      <c r="AA727" s="21" t="n">
        <f aca="false">IF(U727&lt;&gt;"",(U727-Scoring!$B$3)/365.25,IF(N727="","",IF(N727&lt;Scoring!$B$12,"",(DATE(N727+Scoring!$B$13,12,31)-Scoring!$B$3)/365.25)))</f>
        <v>25.2457221081451</v>
      </c>
      <c r="AB727" s="22" t="n">
        <f aca="false">IF(T727="Y",0,IF(OR(D727="Expired (verified)",D727="Expiring: notice window (verified)",D727="Expiring: 10-yr horizon (verified)",D727="Past 30-yr mark (verify)",D727="30-yr mark: notice window (est.)",D727="Year-15 window"),1,0)+IF(ISNUMBER(O727),IF(O727&gt;=Scoring!$B$10,1,0),0)+IF(AND(ISNUMBER(L727),ISNUMBER(J727)),IF(J727&gt;0,IF(L727/J727&gt;=Scoring!$B$11,1,0),0),0)+IF(ISNUMBER(Z727),MIN(Z727,3),0))</f>
        <v>0</v>
      </c>
      <c r="AC727" s="22" t="n">
        <f aca="false">IF(AB727&gt;=3,Scoring!$C$24,IF(AB727=2,Scoring!$C$23,IF(AB727=1,Scoring!$C$22,0)))</f>
        <v>0</v>
      </c>
      <c r="AD727" s="22" t="n">
        <f aca="false">IF(T727="Y",0,IF(ISNUMBER(X727),IF(X727&gt;0.7,Scoring!$C$25,IF(X727&gt;=0.5,Scoring!$C$26,IF(X727&gt;=0.3,Scoring!$C$27,Scoring!$C$28))),Scoring!$C$29))</f>
        <v>10</v>
      </c>
      <c r="AE727" s="22" t="n">
        <f aca="false">IF(D727="Expiring: notice window (verified)",Scoring!$C$30,IF(OR(D727="Expired (verified)",D727="30-yr mark: notice window (est.)",D727="Year-15 window"),Scoring!$C$31,IF(D727="Expiring: 10-yr horizon (verified)",Scoring!$C$32,IF(D727="Past 30-yr mark (verify)",Scoring!$C$33,IF(OR(D727="Credit period",D727="Superseded record"),Scoring!$C$35,Scoring!$C$34)))))</f>
        <v>0</v>
      </c>
      <c r="AF727" s="22" t="n">
        <f aca="false">IF(T727="Y",0,IF(ISNUMBER(V727),IF(Scoring!$B$4-V727&gt;15,Scoring!$C$36,IF(Scoring!$B$4-V727&gt;=10,Scoring!$C$37,IF(Scoring!$B$4-V727&gt;=5,Scoring!$C$38,Scoring!$C$39))),IF(OR(N727="",D727="Out of program"),Scoring!$C$40,IF(O727&gt;15,Scoring!$C$36,IF(O727&gt;=10,Scoring!$C$37,IF(O727&gt;=5,Scoring!$C$38,Scoring!$C$39))))))</f>
        <v>4</v>
      </c>
      <c r="AG727" s="22" t="n">
        <f aca="false">IF(T727="Y",0,IF(Y727="Y",Scoring!$C$41,IF(ISNUMBER(O727),IF(O727&gt;=25,Scoring!$C$42,IF(O727&gt;=15,Scoring!$C$43,Scoring!$C$44)),Scoring!$C$44)))</f>
        <v>2</v>
      </c>
      <c r="AH727" s="22" t="n">
        <f aca="false">IF(T727="Y",0,IF(W727="",Scoring!$C$49,IFERROR(VLOOKUP(W727,Scoring!$B$45:$C$48,2,FALSE()),Scoring!$C$49)))</f>
        <v>5</v>
      </c>
      <c r="AI727" s="23" t="n">
        <f aca="false">C727+IF(ISNUMBER(J727),J727,0)/100000+(10000-ROW())/1000000000</f>
        <v>21.000689273</v>
      </c>
      <c r="AJ727" s="18"/>
      <c r="AK727" s="18"/>
      <c r="AL727" s="18"/>
      <c r="AM727" s="18"/>
    </row>
    <row r="728" customFormat="false" ht="15" hidden="false" customHeight="false" outlineLevel="0" collapsed="false">
      <c r="A728" s="15" t="n">
        <f aca="false">RANK(AI728,$AI$2:$AI$755)</f>
        <v>727</v>
      </c>
      <c r="B728" s="16" t="str">
        <f aca="false">IF(T728="Y","Superseded",IF(C728&gt;=Scoring!$B$16,"Immediate",IF(C728&gt;=Scoring!$B$17,"This week",IF(C728&gt;=Scoring!$B$18,"Nurture","Low"))))</f>
        <v>Low</v>
      </c>
      <c r="C728" s="3" t="n">
        <f aca="false">SUM(AC728:AH728)</f>
        <v>21</v>
      </c>
      <c r="D728" s="15" t="str">
        <f aca="false">IF(T728="Y","Superseded record",IF(AND(U728&lt;&gt;"",AA728&lt;0),"Expired (verified)",IF(AND(U728&lt;&gt;"",AA728&lt;=Scoring!$B$5),"Expiring: notice window (verified)",IF(AND(U728&lt;&gt;"",AA728&lt;=Scoring!$B$6),"Expiring: 10-yr horizon (verified)",IF(M728="No Longer Monitored","Out of program",IF(N728="","Unknown vintage",IF(N728&lt;Scoring!$B$12,"Pre-1990, still listed",IF(AND(U728="",AA728&lt;0),"Past 30-yr mark (verify)",IF(AND(U728="",AA728&lt;=Scoring!$B$5),"30-yr mark: notice window (est.)",IF(AND(O728&gt;=Scoring!$B$7,O728&lt;=Scoring!$B$8),"Year-15 window",IF(O728&gt;=Scoring!$B$9,"Recap window",IF(O728&gt;=11,"Late compliance","Credit period"))))))))))))</f>
        <v>Credit period</v>
      </c>
      <c r="E728" s="15" t="s">
        <v>2520</v>
      </c>
      <c r="F728" s="15" t="s">
        <v>2521</v>
      </c>
      <c r="G728" s="15" t="s">
        <v>2522</v>
      </c>
      <c r="H728" s="15" t="s">
        <v>97</v>
      </c>
      <c r="I728" s="15" t="s">
        <v>863</v>
      </c>
      <c r="J728" s="15" t="n">
        <v>60</v>
      </c>
      <c r="K728" s="15" t="n">
        <v>60</v>
      </c>
      <c r="L728" s="15" t="n">
        <f aca="false">IF(OR(J728="",K728=""),"",MAX(J728-K728,0))</f>
        <v>0</v>
      </c>
      <c r="M728" s="15" t="s">
        <v>99</v>
      </c>
      <c r="N728" s="17" t="n">
        <v>2023</v>
      </c>
      <c r="O728" s="15" t="n">
        <f aca="false">IF(N728="","",Scoring!$B$4-N728)</f>
        <v>3</v>
      </c>
      <c r="P728" s="15" t="n">
        <f aca="false">IF(N728="","",N728+14)</f>
        <v>2037</v>
      </c>
      <c r="Q728" s="15" t="n">
        <f aca="false">IF(N728="","",IF(N728&lt;Scoring!$B$12,"n/a (pre-1990)",N728+Scoring!$B$13))</f>
        <v>2052</v>
      </c>
      <c r="R728" s="15" t="str">
        <f aca="false">IF(J728="","Unknown",IF(J728&gt;=5,"Yes","No (under 5 units)"))</f>
        <v>Yes</v>
      </c>
      <c r="S728" s="15"/>
      <c r="T728" s="18"/>
      <c r="U728" s="19"/>
      <c r="V728" s="18"/>
      <c r="W728" s="18"/>
      <c r="X728" s="20"/>
      <c r="Y728" s="18"/>
      <c r="Z728" s="18"/>
      <c r="AA728" s="21" t="n">
        <f aca="false">IF(U728&lt;&gt;"",(U728-Scoring!$B$3)/365.25,IF(N728="","",IF(N728&lt;Scoring!$B$12,"",(DATE(N728+Scoring!$B$13,12,31)-Scoring!$B$3)/365.25)))</f>
        <v>26.2477754962355</v>
      </c>
      <c r="AB728" s="22" t="n">
        <f aca="false">IF(T728="Y",0,IF(OR(D728="Expired (verified)",D728="Expiring: notice window (verified)",D728="Expiring: 10-yr horizon (verified)",D728="Past 30-yr mark (verify)",D728="30-yr mark: notice window (est.)",D728="Year-15 window"),1,0)+IF(ISNUMBER(O728),IF(O728&gt;=Scoring!$B$10,1,0),0)+IF(AND(ISNUMBER(L728),ISNUMBER(J728)),IF(J728&gt;0,IF(L728/J728&gt;=Scoring!$B$11,1,0),0),0)+IF(ISNUMBER(Z728),MIN(Z728,3),0))</f>
        <v>0</v>
      </c>
      <c r="AC728" s="22" t="n">
        <f aca="false">IF(AB728&gt;=3,Scoring!$C$24,IF(AB728=2,Scoring!$C$23,IF(AB728=1,Scoring!$C$22,0)))</f>
        <v>0</v>
      </c>
      <c r="AD728" s="22" t="n">
        <f aca="false">IF(T728="Y",0,IF(ISNUMBER(X728),IF(X728&gt;0.7,Scoring!$C$25,IF(X728&gt;=0.5,Scoring!$C$26,IF(X728&gt;=0.3,Scoring!$C$27,Scoring!$C$28))),Scoring!$C$29))</f>
        <v>10</v>
      </c>
      <c r="AE728" s="22" t="n">
        <f aca="false">IF(D728="Expiring: notice window (verified)",Scoring!$C$30,IF(OR(D728="Expired (verified)",D728="30-yr mark: notice window (est.)",D728="Year-15 window"),Scoring!$C$31,IF(D728="Expiring: 10-yr horizon (verified)",Scoring!$C$32,IF(D728="Past 30-yr mark (verify)",Scoring!$C$33,IF(OR(D728="Credit period",D728="Superseded record"),Scoring!$C$35,Scoring!$C$34)))))</f>
        <v>0</v>
      </c>
      <c r="AF728" s="22" t="n">
        <f aca="false">IF(T728="Y",0,IF(ISNUMBER(V728),IF(Scoring!$B$4-V728&gt;15,Scoring!$C$36,IF(Scoring!$B$4-V728&gt;=10,Scoring!$C$37,IF(Scoring!$B$4-V728&gt;=5,Scoring!$C$38,Scoring!$C$39))),IF(OR(N728="",D728="Out of program"),Scoring!$C$40,IF(O728&gt;15,Scoring!$C$36,IF(O728&gt;=10,Scoring!$C$37,IF(O728&gt;=5,Scoring!$C$38,Scoring!$C$39))))))</f>
        <v>4</v>
      </c>
      <c r="AG728" s="22" t="n">
        <f aca="false">IF(T728="Y",0,IF(Y728="Y",Scoring!$C$41,IF(ISNUMBER(O728),IF(O728&gt;=25,Scoring!$C$42,IF(O728&gt;=15,Scoring!$C$43,Scoring!$C$44)),Scoring!$C$44)))</f>
        <v>2</v>
      </c>
      <c r="AH728" s="22" t="n">
        <f aca="false">IF(T728="Y",0,IF(W728="",Scoring!$C$49,IFERROR(VLOOKUP(W728,Scoring!$B$45:$C$48,2,FALSE()),Scoring!$C$49)))</f>
        <v>5</v>
      </c>
      <c r="AI728" s="23" t="n">
        <f aca="false">C728+IF(ISNUMBER(J728),J728,0)/100000+(10000-ROW())/1000000000</f>
        <v>21.000609272</v>
      </c>
      <c r="AJ728" s="18"/>
      <c r="AK728" s="18"/>
      <c r="AL728" s="18"/>
      <c r="AM728" s="18"/>
    </row>
    <row r="729" customFormat="false" ht="15" hidden="false" customHeight="false" outlineLevel="0" collapsed="false">
      <c r="A729" s="15" t="n">
        <f aca="false">RANK(AI729,$AI$2:$AI$755)</f>
        <v>728</v>
      </c>
      <c r="B729" s="16" t="str">
        <f aca="false">IF(T729="Y","Superseded",IF(C729&gt;=Scoring!$B$16,"Immediate",IF(C729&gt;=Scoring!$B$17,"This week",IF(C729&gt;=Scoring!$B$18,"Nurture","Low"))))</f>
        <v>Low</v>
      </c>
      <c r="C729" s="3" t="n">
        <f aca="false">SUM(AC729:AH729)</f>
        <v>21</v>
      </c>
      <c r="D729" s="15" t="str">
        <f aca="false">IF(T729="Y","Superseded record",IF(AND(U729&lt;&gt;"",AA729&lt;0),"Expired (verified)",IF(AND(U729&lt;&gt;"",AA729&lt;=Scoring!$B$5),"Expiring: notice window (verified)",IF(AND(U729&lt;&gt;"",AA729&lt;=Scoring!$B$6),"Expiring: 10-yr horizon (verified)",IF(M729="No Longer Monitored","Out of program",IF(N729="","Unknown vintage",IF(N729&lt;Scoring!$B$12,"Pre-1990, still listed",IF(AND(U729="",AA729&lt;0),"Past 30-yr mark (verify)",IF(AND(U729="",AA729&lt;=Scoring!$B$5),"30-yr mark: notice window (est.)",IF(AND(O729&gt;=Scoring!$B$7,O729&lt;=Scoring!$B$8),"Year-15 window",IF(O729&gt;=Scoring!$B$9,"Recap window",IF(O729&gt;=11,"Late compliance","Credit period"))))))))))))</f>
        <v>Credit period</v>
      </c>
      <c r="E729" s="15" t="s">
        <v>2523</v>
      </c>
      <c r="F729" s="15" t="s">
        <v>2524</v>
      </c>
      <c r="G729" s="15" t="s">
        <v>2525</v>
      </c>
      <c r="H729" s="15" t="s">
        <v>130</v>
      </c>
      <c r="I729" s="15" t="s">
        <v>131</v>
      </c>
      <c r="J729" s="15" t="n">
        <v>60</v>
      </c>
      <c r="K729" s="15" t="n">
        <v>60</v>
      </c>
      <c r="L729" s="15" t="n">
        <f aca="false">IF(OR(J729="",K729=""),"",MAX(J729-K729,0))</f>
        <v>0</v>
      </c>
      <c r="M729" s="15" t="s">
        <v>99</v>
      </c>
      <c r="N729" s="17" t="n">
        <v>2024</v>
      </c>
      <c r="O729" s="15" t="n">
        <f aca="false">IF(N729="","",Scoring!$B$4-N729)</f>
        <v>2</v>
      </c>
      <c r="P729" s="15" t="n">
        <f aca="false">IF(N729="","",N729+14)</f>
        <v>2038</v>
      </c>
      <c r="Q729" s="15" t="n">
        <f aca="false">IF(N729="","",IF(N729&lt;Scoring!$B$12,"n/a (pre-1990)",N729+Scoring!$B$13))</f>
        <v>2053</v>
      </c>
      <c r="R729" s="15" t="str">
        <f aca="false">IF(J729="","Unknown",IF(J729&gt;=5,"Yes","No (under 5 units)"))</f>
        <v>Yes</v>
      </c>
      <c r="S729" s="15"/>
      <c r="T729" s="18"/>
      <c r="U729" s="19"/>
      <c r="V729" s="18"/>
      <c r="W729" s="18"/>
      <c r="X729" s="20"/>
      <c r="Y729" s="18"/>
      <c r="Z729" s="18"/>
      <c r="AA729" s="21" t="n">
        <f aca="false">IF(U729&lt;&gt;"",(U729-Scoring!$B$3)/365.25,IF(N729="","",IF(N729&lt;Scoring!$B$12,"",(DATE(N729+Scoring!$B$13,12,31)-Scoring!$B$3)/365.25)))</f>
        <v>27.2470910335387</v>
      </c>
      <c r="AB729" s="22" t="n">
        <f aca="false">IF(T729="Y",0,IF(OR(D729="Expired (verified)",D729="Expiring: notice window (verified)",D729="Expiring: 10-yr horizon (verified)",D729="Past 30-yr mark (verify)",D729="30-yr mark: notice window (est.)",D729="Year-15 window"),1,0)+IF(ISNUMBER(O729),IF(O729&gt;=Scoring!$B$10,1,0),0)+IF(AND(ISNUMBER(L729),ISNUMBER(J729)),IF(J729&gt;0,IF(L729/J729&gt;=Scoring!$B$11,1,0),0),0)+IF(ISNUMBER(Z729),MIN(Z729,3),0))</f>
        <v>0</v>
      </c>
      <c r="AC729" s="22" t="n">
        <f aca="false">IF(AB729&gt;=3,Scoring!$C$24,IF(AB729=2,Scoring!$C$23,IF(AB729=1,Scoring!$C$22,0)))</f>
        <v>0</v>
      </c>
      <c r="AD729" s="22" t="n">
        <f aca="false">IF(T729="Y",0,IF(ISNUMBER(X729),IF(X729&gt;0.7,Scoring!$C$25,IF(X729&gt;=0.5,Scoring!$C$26,IF(X729&gt;=0.3,Scoring!$C$27,Scoring!$C$28))),Scoring!$C$29))</f>
        <v>10</v>
      </c>
      <c r="AE729" s="22" t="n">
        <f aca="false">IF(D729="Expiring: notice window (verified)",Scoring!$C$30,IF(OR(D729="Expired (verified)",D729="30-yr mark: notice window (est.)",D729="Year-15 window"),Scoring!$C$31,IF(D729="Expiring: 10-yr horizon (verified)",Scoring!$C$32,IF(D729="Past 30-yr mark (verify)",Scoring!$C$33,IF(OR(D729="Credit period",D729="Superseded record"),Scoring!$C$35,Scoring!$C$34)))))</f>
        <v>0</v>
      </c>
      <c r="AF729" s="22" t="n">
        <f aca="false">IF(T729="Y",0,IF(ISNUMBER(V729),IF(Scoring!$B$4-V729&gt;15,Scoring!$C$36,IF(Scoring!$B$4-V729&gt;=10,Scoring!$C$37,IF(Scoring!$B$4-V729&gt;=5,Scoring!$C$38,Scoring!$C$39))),IF(OR(N729="",D729="Out of program"),Scoring!$C$40,IF(O729&gt;15,Scoring!$C$36,IF(O729&gt;=10,Scoring!$C$37,IF(O729&gt;=5,Scoring!$C$38,Scoring!$C$39))))))</f>
        <v>4</v>
      </c>
      <c r="AG729" s="22" t="n">
        <f aca="false">IF(T729="Y",0,IF(Y729="Y",Scoring!$C$41,IF(ISNUMBER(O729),IF(O729&gt;=25,Scoring!$C$42,IF(O729&gt;=15,Scoring!$C$43,Scoring!$C$44)),Scoring!$C$44)))</f>
        <v>2</v>
      </c>
      <c r="AH729" s="22" t="n">
        <f aca="false">IF(T729="Y",0,IF(W729="",Scoring!$C$49,IFERROR(VLOOKUP(W729,Scoring!$B$45:$C$48,2,FALSE()),Scoring!$C$49)))</f>
        <v>5</v>
      </c>
      <c r="AI729" s="23" t="n">
        <f aca="false">C729+IF(ISNUMBER(J729),J729,0)/100000+(10000-ROW())/1000000000</f>
        <v>21.000609271</v>
      </c>
      <c r="AJ729" s="18"/>
      <c r="AK729" s="18"/>
      <c r="AL729" s="18"/>
      <c r="AM729" s="18"/>
    </row>
    <row r="730" customFormat="false" ht="15" hidden="false" customHeight="false" outlineLevel="0" collapsed="false">
      <c r="A730" s="15" t="n">
        <f aca="false">RANK(AI730,$AI$2:$AI$755)</f>
        <v>729</v>
      </c>
      <c r="B730" s="16" t="str">
        <f aca="false">IF(T730="Y","Superseded",IF(C730&gt;=Scoring!$B$16,"Immediate",IF(C730&gt;=Scoring!$B$17,"This week",IF(C730&gt;=Scoring!$B$18,"Nurture","Low"))))</f>
        <v>Low</v>
      </c>
      <c r="C730" s="3" t="n">
        <f aca="false">SUM(AC730:AH730)</f>
        <v>21</v>
      </c>
      <c r="D730" s="15" t="str">
        <f aca="false">IF(T730="Y","Superseded record",IF(AND(U730&lt;&gt;"",AA730&lt;0),"Expired (verified)",IF(AND(U730&lt;&gt;"",AA730&lt;=Scoring!$B$5),"Expiring: notice window (verified)",IF(AND(U730&lt;&gt;"",AA730&lt;=Scoring!$B$6),"Expiring: 10-yr horizon (verified)",IF(M730="No Longer Monitored","Out of program",IF(N730="","Unknown vintage",IF(N730&lt;Scoring!$B$12,"Pre-1990, still listed",IF(AND(U730="",AA730&lt;0),"Past 30-yr mark (verify)",IF(AND(U730="",AA730&lt;=Scoring!$B$5),"30-yr mark: notice window (est.)",IF(AND(O730&gt;=Scoring!$B$7,O730&lt;=Scoring!$B$8),"Year-15 window",IF(O730&gt;=Scoring!$B$9,"Recap window",IF(O730&gt;=11,"Late compliance","Credit period"))))))))))))</f>
        <v>Credit period</v>
      </c>
      <c r="E730" s="15" t="s">
        <v>2526</v>
      </c>
      <c r="F730" s="15" t="s">
        <v>2527</v>
      </c>
      <c r="G730" s="15" t="s">
        <v>2528</v>
      </c>
      <c r="H730" s="15" t="s">
        <v>473</v>
      </c>
      <c r="I730" s="15" t="s">
        <v>510</v>
      </c>
      <c r="J730" s="15" t="n">
        <v>58</v>
      </c>
      <c r="K730" s="15" t="n">
        <v>58</v>
      </c>
      <c r="L730" s="15" t="n">
        <f aca="false">IF(OR(J730="",K730=""),"",MAX(J730-K730,0))</f>
        <v>0</v>
      </c>
      <c r="M730" s="15" t="s">
        <v>99</v>
      </c>
      <c r="N730" s="17" t="n">
        <v>2023</v>
      </c>
      <c r="O730" s="15" t="n">
        <f aca="false">IF(N730="","",Scoring!$B$4-N730)</f>
        <v>3</v>
      </c>
      <c r="P730" s="15" t="n">
        <f aca="false">IF(N730="","",N730+14)</f>
        <v>2037</v>
      </c>
      <c r="Q730" s="15" t="n">
        <f aca="false">IF(N730="","",IF(N730&lt;Scoring!$B$12,"n/a (pre-1990)",N730+Scoring!$B$13))</f>
        <v>2052</v>
      </c>
      <c r="R730" s="15" t="str">
        <f aca="false">IF(J730="","Unknown",IF(J730&gt;=5,"Yes","No (under 5 units)"))</f>
        <v>Yes</v>
      </c>
      <c r="S730" s="15"/>
      <c r="T730" s="18"/>
      <c r="U730" s="19"/>
      <c r="V730" s="18"/>
      <c r="W730" s="18"/>
      <c r="X730" s="20"/>
      <c r="Y730" s="18"/>
      <c r="Z730" s="18"/>
      <c r="AA730" s="21" t="n">
        <f aca="false">IF(U730&lt;&gt;"",(U730-Scoring!$B$3)/365.25,IF(N730="","",IF(N730&lt;Scoring!$B$12,"",(DATE(N730+Scoring!$B$13,12,31)-Scoring!$B$3)/365.25)))</f>
        <v>26.2477754962355</v>
      </c>
      <c r="AB730" s="22" t="n">
        <f aca="false">IF(T730="Y",0,IF(OR(D730="Expired (verified)",D730="Expiring: notice window (verified)",D730="Expiring: 10-yr horizon (verified)",D730="Past 30-yr mark (verify)",D730="30-yr mark: notice window (est.)",D730="Year-15 window"),1,0)+IF(ISNUMBER(O730),IF(O730&gt;=Scoring!$B$10,1,0),0)+IF(AND(ISNUMBER(L730),ISNUMBER(J730)),IF(J730&gt;0,IF(L730/J730&gt;=Scoring!$B$11,1,0),0),0)+IF(ISNUMBER(Z730),MIN(Z730,3),0))</f>
        <v>0</v>
      </c>
      <c r="AC730" s="22" t="n">
        <f aca="false">IF(AB730&gt;=3,Scoring!$C$24,IF(AB730=2,Scoring!$C$23,IF(AB730=1,Scoring!$C$22,0)))</f>
        <v>0</v>
      </c>
      <c r="AD730" s="22" t="n">
        <f aca="false">IF(T730="Y",0,IF(ISNUMBER(X730),IF(X730&gt;0.7,Scoring!$C$25,IF(X730&gt;=0.5,Scoring!$C$26,IF(X730&gt;=0.3,Scoring!$C$27,Scoring!$C$28))),Scoring!$C$29))</f>
        <v>10</v>
      </c>
      <c r="AE730" s="22" t="n">
        <f aca="false">IF(D730="Expiring: notice window (verified)",Scoring!$C$30,IF(OR(D730="Expired (verified)",D730="30-yr mark: notice window (est.)",D730="Year-15 window"),Scoring!$C$31,IF(D730="Expiring: 10-yr horizon (verified)",Scoring!$C$32,IF(D730="Past 30-yr mark (verify)",Scoring!$C$33,IF(OR(D730="Credit period",D730="Superseded record"),Scoring!$C$35,Scoring!$C$34)))))</f>
        <v>0</v>
      </c>
      <c r="AF730" s="22" t="n">
        <f aca="false">IF(T730="Y",0,IF(ISNUMBER(V730),IF(Scoring!$B$4-V730&gt;15,Scoring!$C$36,IF(Scoring!$B$4-V730&gt;=10,Scoring!$C$37,IF(Scoring!$B$4-V730&gt;=5,Scoring!$C$38,Scoring!$C$39))),IF(OR(N730="",D730="Out of program"),Scoring!$C$40,IF(O730&gt;15,Scoring!$C$36,IF(O730&gt;=10,Scoring!$C$37,IF(O730&gt;=5,Scoring!$C$38,Scoring!$C$39))))))</f>
        <v>4</v>
      </c>
      <c r="AG730" s="22" t="n">
        <f aca="false">IF(T730="Y",0,IF(Y730="Y",Scoring!$C$41,IF(ISNUMBER(O730),IF(O730&gt;=25,Scoring!$C$42,IF(O730&gt;=15,Scoring!$C$43,Scoring!$C$44)),Scoring!$C$44)))</f>
        <v>2</v>
      </c>
      <c r="AH730" s="22" t="n">
        <f aca="false">IF(T730="Y",0,IF(W730="",Scoring!$C$49,IFERROR(VLOOKUP(W730,Scoring!$B$45:$C$48,2,FALSE()),Scoring!$C$49)))</f>
        <v>5</v>
      </c>
      <c r="AI730" s="23" t="n">
        <f aca="false">C730+IF(ISNUMBER(J730),J730,0)/100000+(10000-ROW())/1000000000</f>
        <v>21.00058927</v>
      </c>
      <c r="AJ730" s="18"/>
      <c r="AK730" s="18"/>
      <c r="AL730" s="18"/>
      <c r="AM730" s="18"/>
    </row>
    <row r="731" customFormat="false" ht="15" hidden="false" customHeight="false" outlineLevel="0" collapsed="false">
      <c r="A731" s="15" t="n">
        <f aca="false">RANK(AI731,$AI$2:$AI$755)</f>
        <v>730</v>
      </c>
      <c r="B731" s="16" t="str">
        <f aca="false">IF(T731="Y","Superseded",IF(C731&gt;=Scoring!$B$16,"Immediate",IF(C731&gt;=Scoring!$B$17,"This week",IF(C731&gt;=Scoring!$B$18,"Nurture","Low"))))</f>
        <v>Low</v>
      </c>
      <c r="C731" s="3" t="n">
        <f aca="false">SUM(AC731:AH731)</f>
        <v>21</v>
      </c>
      <c r="D731" s="15" t="str">
        <f aca="false">IF(T731="Y","Superseded record",IF(AND(U731&lt;&gt;"",AA731&lt;0),"Expired (verified)",IF(AND(U731&lt;&gt;"",AA731&lt;=Scoring!$B$5),"Expiring: notice window (verified)",IF(AND(U731&lt;&gt;"",AA731&lt;=Scoring!$B$6),"Expiring: 10-yr horizon (verified)",IF(M731="No Longer Monitored","Out of program",IF(N731="","Unknown vintage",IF(N731&lt;Scoring!$B$12,"Pre-1990, still listed",IF(AND(U731="",AA731&lt;0),"Past 30-yr mark (verify)",IF(AND(U731="",AA731&lt;=Scoring!$B$5),"30-yr mark: notice window (est.)",IF(AND(O731&gt;=Scoring!$B$7,O731&lt;=Scoring!$B$8),"Year-15 window",IF(O731&gt;=Scoring!$B$9,"Recap window",IF(O731&gt;=11,"Late compliance","Credit period"))))))))))))</f>
        <v>Credit period</v>
      </c>
      <c r="E731" s="15" t="s">
        <v>2529</v>
      </c>
      <c r="F731" s="15" t="s">
        <v>2530</v>
      </c>
      <c r="G731" s="15" t="s">
        <v>2531</v>
      </c>
      <c r="H731" s="15" t="s">
        <v>499</v>
      </c>
      <c r="I731" s="15" t="s">
        <v>500</v>
      </c>
      <c r="J731" s="15" t="n">
        <v>56</v>
      </c>
      <c r="K731" s="15" t="n">
        <v>56</v>
      </c>
      <c r="L731" s="15" t="n">
        <f aca="false">IF(OR(J731="",K731=""),"",MAX(J731-K731,0))</f>
        <v>0</v>
      </c>
      <c r="M731" s="15" t="s">
        <v>99</v>
      </c>
      <c r="N731" s="17" t="n">
        <v>2024</v>
      </c>
      <c r="O731" s="15" t="n">
        <f aca="false">IF(N731="","",Scoring!$B$4-N731)</f>
        <v>2</v>
      </c>
      <c r="P731" s="15" t="n">
        <f aca="false">IF(N731="","",N731+14)</f>
        <v>2038</v>
      </c>
      <c r="Q731" s="15" t="n">
        <f aca="false">IF(N731="","",IF(N731&lt;Scoring!$B$12,"n/a (pre-1990)",N731+Scoring!$B$13))</f>
        <v>2053</v>
      </c>
      <c r="R731" s="15" t="str">
        <f aca="false">IF(J731="","Unknown",IF(J731&gt;=5,"Yes","No (under 5 units)"))</f>
        <v>Yes</v>
      </c>
      <c r="S731" s="15"/>
      <c r="T731" s="18"/>
      <c r="U731" s="19"/>
      <c r="V731" s="18"/>
      <c r="W731" s="18"/>
      <c r="X731" s="20"/>
      <c r="Y731" s="18"/>
      <c r="Z731" s="18"/>
      <c r="AA731" s="21" t="n">
        <f aca="false">IF(U731&lt;&gt;"",(U731-Scoring!$B$3)/365.25,IF(N731="","",IF(N731&lt;Scoring!$B$12,"",(DATE(N731+Scoring!$B$13,12,31)-Scoring!$B$3)/365.25)))</f>
        <v>27.2470910335387</v>
      </c>
      <c r="AB731" s="22" t="n">
        <f aca="false">IF(T731="Y",0,IF(OR(D731="Expired (verified)",D731="Expiring: notice window (verified)",D731="Expiring: 10-yr horizon (verified)",D731="Past 30-yr mark (verify)",D731="30-yr mark: notice window (est.)",D731="Year-15 window"),1,0)+IF(ISNUMBER(O731),IF(O731&gt;=Scoring!$B$10,1,0),0)+IF(AND(ISNUMBER(L731),ISNUMBER(J731)),IF(J731&gt;0,IF(L731/J731&gt;=Scoring!$B$11,1,0),0),0)+IF(ISNUMBER(Z731),MIN(Z731,3),0))</f>
        <v>0</v>
      </c>
      <c r="AC731" s="22" t="n">
        <f aca="false">IF(AB731&gt;=3,Scoring!$C$24,IF(AB731=2,Scoring!$C$23,IF(AB731=1,Scoring!$C$22,0)))</f>
        <v>0</v>
      </c>
      <c r="AD731" s="22" t="n">
        <f aca="false">IF(T731="Y",0,IF(ISNUMBER(X731),IF(X731&gt;0.7,Scoring!$C$25,IF(X731&gt;=0.5,Scoring!$C$26,IF(X731&gt;=0.3,Scoring!$C$27,Scoring!$C$28))),Scoring!$C$29))</f>
        <v>10</v>
      </c>
      <c r="AE731" s="22" t="n">
        <f aca="false">IF(D731="Expiring: notice window (verified)",Scoring!$C$30,IF(OR(D731="Expired (verified)",D731="30-yr mark: notice window (est.)",D731="Year-15 window"),Scoring!$C$31,IF(D731="Expiring: 10-yr horizon (verified)",Scoring!$C$32,IF(D731="Past 30-yr mark (verify)",Scoring!$C$33,IF(OR(D731="Credit period",D731="Superseded record"),Scoring!$C$35,Scoring!$C$34)))))</f>
        <v>0</v>
      </c>
      <c r="AF731" s="22" t="n">
        <f aca="false">IF(T731="Y",0,IF(ISNUMBER(V731),IF(Scoring!$B$4-V731&gt;15,Scoring!$C$36,IF(Scoring!$B$4-V731&gt;=10,Scoring!$C$37,IF(Scoring!$B$4-V731&gt;=5,Scoring!$C$38,Scoring!$C$39))),IF(OR(N731="",D731="Out of program"),Scoring!$C$40,IF(O731&gt;15,Scoring!$C$36,IF(O731&gt;=10,Scoring!$C$37,IF(O731&gt;=5,Scoring!$C$38,Scoring!$C$39))))))</f>
        <v>4</v>
      </c>
      <c r="AG731" s="22" t="n">
        <f aca="false">IF(T731="Y",0,IF(Y731="Y",Scoring!$C$41,IF(ISNUMBER(O731),IF(O731&gt;=25,Scoring!$C$42,IF(O731&gt;=15,Scoring!$C$43,Scoring!$C$44)),Scoring!$C$44)))</f>
        <v>2</v>
      </c>
      <c r="AH731" s="22" t="n">
        <f aca="false">IF(T731="Y",0,IF(W731="",Scoring!$C$49,IFERROR(VLOOKUP(W731,Scoring!$B$45:$C$48,2,FALSE()),Scoring!$C$49)))</f>
        <v>5</v>
      </c>
      <c r="AI731" s="23" t="n">
        <f aca="false">C731+IF(ISNUMBER(J731),J731,0)/100000+(10000-ROW())/1000000000</f>
        <v>21.000569269</v>
      </c>
      <c r="AJ731" s="18"/>
      <c r="AK731" s="18"/>
      <c r="AL731" s="18"/>
      <c r="AM731" s="18"/>
    </row>
    <row r="732" customFormat="false" ht="15" hidden="false" customHeight="false" outlineLevel="0" collapsed="false">
      <c r="A732" s="15" t="n">
        <f aca="false">RANK(AI732,$AI$2:$AI$755)</f>
        <v>731</v>
      </c>
      <c r="B732" s="16" t="str">
        <f aca="false">IF(T732="Y","Superseded",IF(C732&gt;=Scoring!$B$16,"Immediate",IF(C732&gt;=Scoring!$B$17,"This week",IF(C732&gt;=Scoring!$B$18,"Nurture","Low"))))</f>
        <v>Low</v>
      </c>
      <c r="C732" s="3" t="n">
        <f aca="false">SUM(AC732:AH732)</f>
        <v>21</v>
      </c>
      <c r="D732" s="15" t="str">
        <f aca="false">IF(T732="Y","Superseded record",IF(AND(U732&lt;&gt;"",AA732&lt;0),"Expired (verified)",IF(AND(U732&lt;&gt;"",AA732&lt;=Scoring!$B$5),"Expiring: notice window (verified)",IF(AND(U732&lt;&gt;"",AA732&lt;=Scoring!$B$6),"Expiring: 10-yr horizon (verified)",IF(M732="No Longer Monitored","Out of program",IF(N732="","Unknown vintage",IF(N732&lt;Scoring!$B$12,"Pre-1990, still listed",IF(AND(U732="",AA732&lt;0),"Past 30-yr mark (verify)",IF(AND(U732="",AA732&lt;=Scoring!$B$5),"30-yr mark: notice window (est.)",IF(AND(O732&gt;=Scoring!$B$7,O732&lt;=Scoring!$B$8),"Year-15 window",IF(O732&gt;=Scoring!$B$9,"Recap window",IF(O732&gt;=11,"Late compliance","Credit period"))))))))))))</f>
        <v>Credit period</v>
      </c>
      <c r="E732" s="15" t="s">
        <v>2532</v>
      </c>
      <c r="F732" s="15" t="s">
        <v>2533</v>
      </c>
      <c r="G732" s="15" t="s">
        <v>2534</v>
      </c>
      <c r="H732" s="15" t="s">
        <v>97</v>
      </c>
      <c r="I732" s="15" t="s">
        <v>399</v>
      </c>
      <c r="J732" s="15" t="n">
        <v>50</v>
      </c>
      <c r="K732" s="15" t="n">
        <v>50</v>
      </c>
      <c r="L732" s="15" t="n">
        <f aca="false">IF(OR(J732="",K732=""),"",MAX(J732-K732,0))</f>
        <v>0</v>
      </c>
      <c r="M732" s="15" t="s">
        <v>99</v>
      </c>
      <c r="N732" s="17" t="n">
        <v>2022</v>
      </c>
      <c r="O732" s="15" t="n">
        <f aca="false">IF(N732="","",Scoring!$B$4-N732)</f>
        <v>4</v>
      </c>
      <c r="P732" s="15" t="n">
        <f aca="false">IF(N732="","",N732+14)</f>
        <v>2036</v>
      </c>
      <c r="Q732" s="15" t="n">
        <f aca="false">IF(N732="","",IF(N732&lt;Scoring!$B$12,"n/a (pre-1990)",N732+Scoring!$B$13))</f>
        <v>2051</v>
      </c>
      <c r="R732" s="15" t="str">
        <f aca="false">IF(J732="","Unknown",IF(J732&gt;=5,"Yes","No (under 5 units)"))</f>
        <v>Yes</v>
      </c>
      <c r="S732" s="15"/>
      <c r="T732" s="18"/>
      <c r="U732" s="19"/>
      <c r="V732" s="18"/>
      <c r="W732" s="18"/>
      <c r="X732" s="20"/>
      <c r="Y732" s="18"/>
      <c r="Z732" s="18"/>
      <c r="AA732" s="21" t="n">
        <f aca="false">IF(U732&lt;&gt;"",(U732-Scoring!$B$3)/365.25,IF(N732="","",IF(N732&lt;Scoring!$B$12,"",(DATE(N732+Scoring!$B$13,12,31)-Scoring!$B$3)/365.25)))</f>
        <v>25.2457221081451</v>
      </c>
      <c r="AB732" s="22" t="n">
        <f aca="false">IF(T732="Y",0,IF(OR(D732="Expired (verified)",D732="Expiring: notice window (verified)",D732="Expiring: 10-yr horizon (verified)",D732="Past 30-yr mark (verify)",D732="30-yr mark: notice window (est.)",D732="Year-15 window"),1,0)+IF(ISNUMBER(O732),IF(O732&gt;=Scoring!$B$10,1,0),0)+IF(AND(ISNUMBER(L732),ISNUMBER(J732)),IF(J732&gt;0,IF(L732/J732&gt;=Scoring!$B$11,1,0),0),0)+IF(ISNUMBER(Z732),MIN(Z732,3),0))</f>
        <v>0</v>
      </c>
      <c r="AC732" s="22" t="n">
        <f aca="false">IF(AB732&gt;=3,Scoring!$C$24,IF(AB732=2,Scoring!$C$23,IF(AB732=1,Scoring!$C$22,0)))</f>
        <v>0</v>
      </c>
      <c r="AD732" s="22" t="n">
        <f aca="false">IF(T732="Y",0,IF(ISNUMBER(X732),IF(X732&gt;0.7,Scoring!$C$25,IF(X732&gt;=0.5,Scoring!$C$26,IF(X732&gt;=0.3,Scoring!$C$27,Scoring!$C$28))),Scoring!$C$29))</f>
        <v>10</v>
      </c>
      <c r="AE732" s="22" t="n">
        <f aca="false">IF(D732="Expiring: notice window (verified)",Scoring!$C$30,IF(OR(D732="Expired (verified)",D732="30-yr mark: notice window (est.)",D732="Year-15 window"),Scoring!$C$31,IF(D732="Expiring: 10-yr horizon (verified)",Scoring!$C$32,IF(D732="Past 30-yr mark (verify)",Scoring!$C$33,IF(OR(D732="Credit period",D732="Superseded record"),Scoring!$C$35,Scoring!$C$34)))))</f>
        <v>0</v>
      </c>
      <c r="AF732" s="22" t="n">
        <f aca="false">IF(T732="Y",0,IF(ISNUMBER(V732),IF(Scoring!$B$4-V732&gt;15,Scoring!$C$36,IF(Scoring!$B$4-V732&gt;=10,Scoring!$C$37,IF(Scoring!$B$4-V732&gt;=5,Scoring!$C$38,Scoring!$C$39))),IF(OR(N732="",D732="Out of program"),Scoring!$C$40,IF(O732&gt;15,Scoring!$C$36,IF(O732&gt;=10,Scoring!$C$37,IF(O732&gt;=5,Scoring!$C$38,Scoring!$C$39))))))</f>
        <v>4</v>
      </c>
      <c r="AG732" s="22" t="n">
        <f aca="false">IF(T732="Y",0,IF(Y732="Y",Scoring!$C$41,IF(ISNUMBER(O732),IF(O732&gt;=25,Scoring!$C$42,IF(O732&gt;=15,Scoring!$C$43,Scoring!$C$44)),Scoring!$C$44)))</f>
        <v>2</v>
      </c>
      <c r="AH732" s="22" t="n">
        <f aca="false">IF(T732="Y",0,IF(W732="",Scoring!$C$49,IFERROR(VLOOKUP(W732,Scoring!$B$45:$C$48,2,FALSE()),Scoring!$C$49)))</f>
        <v>5</v>
      </c>
      <c r="AI732" s="23" t="n">
        <f aca="false">C732+IF(ISNUMBER(J732),J732,0)/100000+(10000-ROW())/1000000000</f>
        <v>21.000509268</v>
      </c>
      <c r="AJ732" s="18"/>
      <c r="AK732" s="18"/>
      <c r="AL732" s="18"/>
      <c r="AM732" s="18"/>
    </row>
    <row r="733" customFormat="false" ht="15" hidden="false" customHeight="false" outlineLevel="0" collapsed="false">
      <c r="A733" s="15" t="n">
        <f aca="false">RANK(AI733,$AI$2:$AI$755)</f>
        <v>732</v>
      </c>
      <c r="B733" s="16" t="str">
        <f aca="false">IF(T733="Y","Superseded",IF(C733&gt;=Scoring!$B$16,"Immediate",IF(C733&gt;=Scoring!$B$17,"This week",IF(C733&gt;=Scoring!$B$18,"Nurture","Low"))))</f>
        <v>Low</v>
      </c>
      <c r="C733" s="3" t="n">
        <f aca="false">SUM(AC733:AH733)</f>
        <v>21</v>
      </c>
      <c r="D733" s="15" t="str">
        <f aca="false">IF(T733="Y","Superseded record",IF(AND(U733&lt;&gt;"",AA733&lt;0),"Expired (verified)",IF(AND(U733&lt;&gt;"",AA733&lt;=Scoring!$B$5),"Expiring: notice window (verified)",IF(AND(U733&lt;&gt;"",AA733&lt;=Scoring!$B$6),"Expiring: 10-yr horizon (verified)",IF(M733="No Longer Monitored","Out of program",IF(N733="","Unknown vintage",IF(N733&lt;Scoring!$B$12,"Pre-1990, still listed",IF(AND(U733="",AA733&lt;0),"Past 30-yr mark (verify)",IF(AND(U733="",AA733&lt;=Scoring!$B$5),"30-yr mark: notice window (est.)",IF(AND(O733&gt;=Scoring!$B$7,O733&lt;=Scoring!$B$8),"Year-15 window",IF(O733&gt;=Scoring!$B$9,"Recap window",IF(O733&gt;=11,"Late compliance","Credit period"))))))))))))</f>
        <v>Credit period</v>
      </c>
      <c r="E733" s="15" t="s">
        <v>2535</v>
      </c>
      <c r="F733" s="15" t="s">
        <v>2536</v>
      </c>
      <c r="G733" s="15" t="s">
        <v>2537</v>
      </c>
      <c r="H733" s="15" t="s">
        <v>185</v>
      </c>
      <c r="I733" s="15" t="s">
        <v>186</v>
      </c>
      <c r="J733" s="15" t="n">
        <v>48</v>
      </c>
      <c r="K733" s="15" t="n">
        <v>48</v>
      </c>
      <c r="L733" s="15" t="n">
        <f aca="false">IF(OR(J733="",K733=""),"",MAX(J733-K733,0))</f>
        <v>0</v>
      </c>
      <c r="M733" s="15" t="s">
        <v>99</v>
      </c>
      <c r="N733" s="17" t="n">
        <v>2023</v>
      </c>
      <c r="O733" s="15" t="n">
        <f aca="false">IF(N733="","",Scoring!$B$4-N733)</f>
        <v>3</v>
      </c>
      <c r="P733" s="15" t="n">
        <f aca="false">IF(N733="","",N733+14)</f>
        <v>2037</v>
      </c>
      <c r="Q733" s="15" t="n">
        <f aca="false">IF(N733="","",IF(N733&lt;Scoring!$B$12,"n/a (pre-1990)",N733+Scoring!$B$13))</f>
        <v>2052</v>
      </c>
      <c r="R733" s="15" t="str">
        <f aca="false">IF(J733="","Unknown",IF(J733&gt;=5,"Yes","No (under 5 units)"))</f>
        <v>Yes</v>
      </c>
      <c r="S733" s="15"/>
      <c r="T733" s="18"/>
      <c r="U733" s="19"/>
      <c r="V733" s="18"/>
      <c r="W733" s="18"/>
      <c r="X733" s="20"/>
      <c r="Y733" s="18"/>
      <c r="Z733" s="18"/>
      <c r="AA733" s="21" t="n">
        <f aca="false">IF(U733&lt;&gt;"",(U733-Scoring!$B$3)/365.25,IF(N733="","",IF(N733&lt;Scoring!$B$12,"",(DATE(N733+Scoring!$B$13,12,31)-Scoring!$B$3)/365.25)))</f>
        <v>26.2477754962355</v>
      </c>
      <c r="AB733" s="22" t="n">
        <f aca="false">IF(T733="Y",0,IF(OR(D733="Expired (verified)",D733="Expiring: notice window (verified)",D733="Expiring: 10-yr horizon (verified)",D733="Past 30-yr mark (verify)",D733="30-yr mark: notice window (est.)",D733="Year-15 window"),1,0)+IF(ISNUMBER(O733),IF(O733&gt;=Scoring!$B$10,1,0),0)+IF(AND(ISNUMBER(L733),ISNUMBER(J733)),IF(J733&gt;0,IF(L733/J733&gt;=Scoring!$B$11,1,0),0),0)+IF(ISNUMBER(Z733),MIN(Z733,3),0))</f>
        <v>0</v>
      </c>
      <c r="AC733" s="22" t="n">
        <f aca="false">IF(AB733&gt;=3,Scoring!$C$24,IF(AB733=2,Scoring!$C$23,IF(AB733=1,Scoring!$C$22,0)))</f>
        <v>0</v>
      </c>
      <c r="AD733" s="22" t="n">
        <f aca="false">IF(T733="Y",0,IF(ISNUMBER(X733),IF(X733&gt;0.7,Scoring!$C$25,IF(X733&gt;=0.5,Scoring!$C$26,IF(X733&gt;=0.3,Scoring!$C$27,Scoring!$C$28))),Scoring!$C$29))</f>
        <v>10</v>
      </c>
      <c r="AE733" s="22" t="n">
        <f aca="false">IF(D733="Expiring: notice window (verified)",Scoring!$C$30,IF(OR(D733="Expired (verified)",D733="30-yr mark: notice window (est.)",D733="Year-15 window"),Scoring!$C$31,IF(D733="Expiring: 10-yr horizon (verified)",Scoring!$C$32,IF(D733="Past 30-yr mark (verify)",Scoring!$C$33,IF(OR(D733="Credit period",D733="Superseded record"),Scoring!$C$35,Scoring!$C$34)))))</f>
        <v>0</v>
      </c>
      <c r="AF733" s="22" t="n">
        <f aca="false">IF(T733="Y",0,IF(ISNUMBER(V733),IF(Scoring!$B$4-V733&gt;15,Scoring!$C$36,IF(Scoring!$B$4-V733&gt;=10,Scoring!$C$37,IF(Scoring!$B$4-V733&gt;=5,Scoring!$C$38,Scoring!$C$39))),IF(OR(N733="",D733="Out of program"),Scoring!$C$40,IF(O733&gt;15,Scoring!$C$36,IF(O733&gt;=10,Scoring!$C$37,IF(O733&gt;=5,Scoring!$C$38,Scoring!$C$39))))))</f>
        <v>4</v>
      </c>
      <c r="AG733" s="22" t="n">
        <f aca="false">IF(T733="Y",0,IF(Y733="Y",Scoring!$C$41,IF(ISNUMBER(O733),IF(O733&gt;=25,Scoring!$C$42,IF(O733&gt;=15,Scoring!$C$43,Scoring!$C$44)),Scoring!$C$44)))</f>
        <v>2</v>
      </c>
      <c r="AH733" s="22" t="n">
        <f aca="false">IF(T733="Y",0,IF(W733="",Scoring!$C$49,IFERROR(VLOOKUP(W733,Scoring!$B$45:$C$48,2,FALSE()),Scoring!$C$49)))</f>
        <v>5</v>
      </c>
      <c r="AI733" s="23" t="n">
        <f aca="false">C733+IF(ISNUMBER(J733),J733,0)/100000+(10000-ROW())/1000000000</f>
        <v>21.000489267</v>
      </c>
      <c r="AJ733" s="18"/>
      <c r="AK733" s="18"/>
      <c r="AL733" s="18"/>
      <c r="AM733" s="18"/>
    </row>
    <row r="734" customFormat="false" ht="15" hidden="false" customHeight="false" outlineLevel="0" collapsed="false">
      <c r="A734" s="15" t="n">
        <f aca="false">RANK(AI734,$AI$2:$AI$755)</f>
        <v>733</v>
      </c>
      <c r="B734" s="16" t="str">
        <f aca="false">IF(T734="Y","Superseded",IF(C734&gt;=Scoring!$B$16,"Immediate",IF(C734&gt;=Scoring!$B$17,"This week",IF(C734&gt;=Scoring!$B$18,"Nurture","Low"))))</f>
        <v>Low</v>
      </c>
      <c r="C734" s="3" t="n">
        <f aca="false">SUM(AC734:AH734)</f>
        <v>21</v>
      </c>
      <c r="D734" s="15" t="str">
        <f aca="false">IF(T734="Y","Superseded record",IF(AND(U734&lt;&gt;"",AA734&lt;0),"Expired (verified)",IF(AND(U734&lt;&gt;"",AA734&lt;=Scoring!$B$5),"Expiring: notice window (verified)",IF(AND(U734&lt;&gt;"",AA734&lt;=Scoring!$B$6),"Expiring: 10-yr horizon (verified)",IF(M734="No Longer Monitored","Out of program",IF(N734="","Unknown vintage",IF(N734&lt;Scoring!$B$12,"Pre-1990, still listed",IF(AND(U734="",AA734&lt;0),"Past 30-yr mark (verify)",IF(AND(U734="",AA734&lt;=Scoring!$B$5),"30-yr mark: notice window (est.)",IF(AND(O734&gt;=Scoring!$B$7,O734&lt;=Scoring!$B$8),"Year-15 window",IF(O734&gt;=Scoring!$B$9,"Recap window",IF(O734&gt;=11,"Late compliance","Credit period"))))))))))))</f>
        <v>Credit period</v>
      </c>
      <c r="E734" s="15" t="s">
        <v>2538</v>
      </c>
      <c r="F734" s="15" t="s">
        <v>2539</v>
      </c>
      <c r="G734" s="15" t="s">
        <v>2540</v>
      </c>
      <c r="H734" s="15" t="s">
        <v>141</v>
      </c>
      <c r="I734" s="15" t="s">
        <v>142</v>
      </c>
      <c r="J734" s="15" t="n">
        <v>47</v>
      </c>
      <c r="K734" s="15" t="n">
        <v>47</v>
      </c>
      <c r="L734" s="15" t="n">
        <f aca="false">IF(OR(J734="",K734=""),"",MAX(J734-K734,0))</f>
        <v>0</v>
      </c>
      <c r="M734" s="15" t="s">
        <v>99</v>
      </c>
      <c r="N734" s="17" t="n">
        <v>2022</v>
      </c>
      <c r="O734" s="15" t="n">
        <f aca="false">IF(N734="","",Scoring!$B$4-N734)</f>
        <v>4</v>
      </c>
      <c r="P734" s="15" t="n">
        <f aca="false">IF(N734="","",N734+14)</f>
        <v>2036</v>
      </c>
      <c r="Q734" s="15" t="n">
        <f aca="false">IF(N734="","",IF(N734&lt;Scoring!$B$12,"n/a (pre-1990)",N734+Scoring!$B$13))</f>
        <v>2051</v>
      </c>
      <c r="R734" s="15" t="str">
        <f aca="false">IF(J734="","Unknown",IF(J734&gt;=5,"Yes","No (under 5 units)"))</f>
        <v>Yes</v>
      </c>
      <c r="S734" s="15"/>
      <c r="T734" s="18"/>
      <c r="U734" s="19"/>
      <c r="V734" s="18"/>
      <c r="W734" s="18"/>
      <c r="X734" s="20"/>
      <c r="Y734" s="18"/>
      <c r="Z734" s="18"/>
      <c r="AA734" s="21" t="n">
        <f aca="false">IF(U734&lt;&gt;"",(U734-Scoring!$B$3)/365.25,IF(N734="","",IF(N734&lt;Scoring!$B$12,"",(DATE(N734+Scoring!$B$13,12,31)-Scoring!$B$3)/365.25)))</f>
        <v>25.2457221081451</v>
      </c>
      <c r="AB734" s="22" t="n">
        <f aca="false">IF(T734="Y",0,IF(OR(D734="Expired (verified)",D734="Expiring: notice window (verified)",D734="Expiring: 10-yr horizon (verified)",D734="Past 30-yr mark (verify)",D734="30-yr mark: notice window (est.)",D734="Year-15 window"),1,0)+IF(ISNUMBER(O734),IF(O734&gt;=Scoring!$B$10,1,0),0)+IF(AND(ISNUMBER(L734),ISNUMBER(J734)),IF(J734&gt;0,IF(L734/J734&gt;=Scoring!$B$11,1,0),0),0)+IF(ISNUMBER(Z734),MIN(Z734,3),0))</f>
        <v>0</v>
      </c>
      <c r="AC734" s="22" t="n">
        <f aca="false">IF(AB734&gt;=3,Scoring!$C$24,IF(AB734=2,Scoring!$C$23,IF(AB734=1,Scoring!$C$22,0)))</f>
        <v>0</v>
      </c>
      <c r="AD734" s="22" t="n">
        <f aca="false">IF(T734="Y",0,IF(ISNUMBER(X734),IF(X734&gt;0.7,Scoring!$C$25,IF(X734&gt;=0.5,Scoring!$C$26,IF(X734&gt;=0.3,Scoring!$C$27,Scoring!$C$28))),Scoring!$C$29))</f>
        <v>10</v>
      </c>
      <c r="AE734" s="22" t="n">
        <f aca="false">IF(D734="Expiring: notice window (verified)",Scoring!$C$30,IF(OR(D734="Expired (verified)",D734="30-yr mark: notice window (est.)",D734="Year-15 window"),Scoring!$C$31,IF(D734="Expiring: 10-yr horizon (verified)",Scoring!$C$32,IF(D734="Past 30-yr mark (verify)",Scoring!$C$33,IF(OR(D734="Credit period",D734="Superseded record"),Scoring!$C$35,Scoring!$C$34)))))</f>
        <v>0</v>
      </c>
      <c r="AF734" s="22" t="n">
        <f aca="false">IF(T734="Y",0,IF(ISNUMBER(V734),IF(Scoring!$B$4-V734&gt;15,Scoring!$C$36,IF(Scoring!$B$4-V734&gt;=10,Scoring!$C$37,IF(Scoring!$B$4-V734&gt;=5,Scoring!$C$38,Scoring!$C$39))),IF(OR(N734="",D734="Out of program"),Scoring!$C$40,IF(O734&gt;15,Scoring!$C$36,IF(O734&gt;=10,Scoring!$C$37,IF(O734&gt;=5,Scoring!$C$38,Scoring!$C$39))))))</f>
        <v>4</v>
      </c>
      <c r="AG734" s="22" t="n">
        <f aca="false">IF(T734="Y",0,IF(Y734="Y",Scoring!$C$41,IF(ISNUMBER(O734),IF(O734&gt;=25,Scoring!$C$42,IF(O734&gt;=15,Scoring!$C$43,Scoring!$C$44)),Scoring!$C$44)))</f>
        <v>2</v>
      </c>
      <c r="AH734" s="22" t="n">
        <f aca="false">IF(T734="Y",0,IF(W734="",Scoring!$C$49,IFERROR(VLOOKUP(W734,Scoring!$B$45:$C$48,2,FALSE()),Scoring!$C$49)))</f>
        <v>5</v>
      </c>
      <c r="AI734" s="23" t="n">
        <f aca="false">C734+IF(ISNUMBER(J734),J734,0)/100000+(10000-ROW())/1000000000</f>
        <v>21.000479266</v>
      </c>
      <c r="AJ734" s="18"/>
      <c r="AK734" s="18"/>
      <c r="AL734" s="18"/>
      <c r="AM734" s="18"/>
    </row>
    <row r="735" customFormat="false" ht="15" hidden="false" customHeight="false" outlineLevel="0" collapsed="false">
      <c r="A735" s="15" t="n">
        <f aca="false">RANK(AI735,$AI$2:$AI$755)</f>
        <v>734</v>
      </c>
      <c r="B735" s="16" t="str">
        <f aca="false">IF(T735="Y","Superseded",IF(C735&gt;=Scoring!$B$16,"Immediate",IF(C735&gt;=Scoring!$B$17,"This week",IF(C735&gt;=Scoring!$B$18,"Nurture","Low"))))</f>
        <v>Low</v>
      </c>
      <c r="C735" s="3" t="n">
        <f aca="false">SUM(AC735:AH735)</f>
        <v>21</v>
      </c>
      <c r="D735" s="15" t="str">
        <f aca="false">IF(T735="Y","Superseded record",IF(AND(U735&lt;&gt;"",AA735&lt;0),"Expired (verified)",IF(AND(U735&lt;&gt;"",AA735&lt;=Scoring!$B$5),"Expiring: notice window (verified)",IF(AND(U735&lt;&gt;"",AA735&lt;=Scoring!$B$6),"Expiring: 10-yr horizon (verified)",IF(M735="No Longer Monitored","Out of program",IF(N735="","Unknown vintage",IF(N735&lt;Scoring!$B$12,"Pre-1990, still listed",IF(AND(U735="",AA735&lt;0),"Past 30-yr mark (verify)",IF(AND(U735="",AA735&lt;=Scoring!$B$5),"30-yr mark: notice window (est.)",IF(AND(O735&gt;=Scoring!$B$7,O735&lt;=Scoring!$B$8),"Year-15 window",IF(O735&gt;=Scoring!$B$9,"Recap window",IF(O735&gt;=11,"Late compliance","Credit period"))))))))))))</f>
        <v>Credit period</v>
      </c>
      <c r="E735" s="15" t="s">
        <v>2541</v>
      </c>
      <c r="F735" s="15" t="s">
        <v>2542</v>
      </c>
      <c r="G735" s="15" t="s">
        <v>2543</v>
      </c>
      <c r="H735" s="15" t="s">
        <v>340</v>
      </c>
      <c r="I735" s="15" t="s">
        <v>341</v>
      </c>
      <c r="J735" s="15" t="n">
        <v>44</v>
      </c>
      <c r="K735" s="15" t="n">
        <v>44</v>
      </c>
      <c r="L735" s="15" t="n">
        <f aca="false">IF(OR(J735="",K735=""),"",MAX(J735-K735,0))</f>
        <v>0</v>
      </c>
      <c r="M735" s="15" t="s">
        <v>99</v>
      </c>
      <c r="N735" s="17" t="n">
        <v>2022</v>
      </c>
      <c r="O735" s="15" t="n">
        <f aca="false">IF(N735="","",Scoring!$B$4-N735)</f>
        <v>4</v>
      </c>
      <c r="P735" s="15" t="n">
        <f aca="false">IF(N735="","",N735+14)</f>
        <v>2036</v>
      </c>
      <c r="Q735" s="15" t="n">
        <f aca="false">IF(N735="","",IF(N735&lt;Scoring!$B$12,"n/a (pre-1990)",N735+Scoring!$B$13))</f>
        <v>2051</v>
      </c>
      <c r="R735" s="15" t="str">
        <f aca="false">IF(J735="","Unknown",IF(J735&gt;=5,"Yes","No (under 5 units)"))</f>
        <v>Yes</v>
      </c>
      <c r="S735" s="15"/>
      <c r="T735" s="18"/>
      <c r="U735" s="19"/>
      <c r="V735" s="18"/>
      <c r="W735" s="18"/>
      <c r="X735" s="20"/>
      <c r="Y735" s="18"/>
      <c r="Z735" s="18"/>
      <c r="AA735" s="21" t="n">
        <f aca="false">IF(U735&lt;&gt;"",(U735-Scoring!$B$3)/365.25,IF(N735="","",IF(N735&lt;Scoring!$B$12,"",(DATE(N735+Scoring!$B$13,12,31)-Scoring!$B$3)/365.25)))</f>
        <v>25.2457221081451</v>
      </c>
      <c r="AB735" s="22" t="n">
        <f aca="false">IF(T735="Y",0,IF(OR(D735="Expired (verified)",D735="Expiring: notice window (verified)",D735="Expiring: 10-yr horizon (verified)",D735="Past 30-yr mark (verify)",D735="30-yr mark: notice window (est.)",D735="Year-15 window"),1,0)+IF(ISNUMBER(O735),IF(O735&gt;=Scoring!$B$10,1,0),0)+IF(AND(ISNUMBER(L735),ISNUMBER(J735)),IF(J735&gt;0,IF(L735/J735&gt;=Scoring!$B$11,1,0),0),0)+IF(ISNUMBER(Z735),MIN(Z735,3),0))</f>
        <v>0</v>
      </c>
      <c r="AC735" s="22" t="n">
        <f aca="false">IF(AB735&gt;=3,Scoring!$C$24,IF(AB735=2,Scoring!$C$23,IF(AB735=1,Scoring!$C$22,0)))</f>
        <v>0</v>
      </c>
      <c r="AD735" s="22" t="n">
        <f aca="false">IF(T735="Y",0,IF(ISNUMBER(X735),IF(X735&gt;0.7,Scoring!$C$25,IF(X735&gt;=0.5,Scoring!$C$26,IF(X735&gt;=0.3,Scoring!$C$27,Scoring!$C$28))),Scoring!$C$29))</f>
        <v>10</v>
      </c>
      <c r="AE735" s="22" t="n">
        <f aca="false">IF(D735="Expiring: notice window (verified)",Scoring!$C$30,IF(OR(D735="Expired (verified)",D735="30-yr mark: notice window (est.)",D735="Year-15 window"),Scoring!$C$31,IF(D735="Expiring: 10-yr horizon (verified)",Scoring!$C$32,IF(D735="Past 30-yr mark (verify)",Scoring!$C$33,IF(OR(D735="Credit period",D735="Superseded record"),Scoring!$C$35,Scoring!$C$34)))))</f>
        <v>0</v>
      </c>
      <c r="AF735" s="22" t="n">
        <f aca="false">IF(T735="Y",0,IF(ISNUMBER(V735),IF(Scoring!$B$4-V735&gt;15,Scoring!$C$36,IF(Scoring!$B$4-V735&gt;=10,Scoring!$C$37,IF(Scoring!$B$4-V735&gt;=5,Scoring!$C$38,Scoring!$C$39))),IF(OR(N735="",D735="Out of program"),Scoring!$C$40,IF(O735&gt;15,Scoring!$C$36,IF(O735&gt;=10,Scoring!$C$37,IF(O735&gt;=5,Scoring!$C$38,Scoring!$C$39))))))</f>
        <v>4</v>
      </c>
      <c r="AG735" s="22" t="n">
        <f aca="false">IF(T735="Y",0,IF(Y735="Y",Scoring!$C$41,IF(ISNUMBER(O735),IF(O735&gt;=25,Scoring!$C$42,IF(O735&gt;=15,Scoring!$C$43,Scoring!$C$44)),Scoring!$C$44)))</f>
        <v>2</v>
      </c>
      <c r="AH735" s="22" t="n">
        <f aca="false">IF(T735="Y",0,IF(W735="",Scoring!$C$49,IFERROR(VLOOKUP(W735,Scoring!$B$45:$C$48,2,FALSE()),Scoring!$C$49)))</f>
        <v>5</v>
      </c>
      <c r="AI735" s="23" t="n">
        <f aca="false">C735+IF(ISNUMBER(J735),J735,0)/100000+(10000-ROW())/1000000000</f>
        <v>21.000449265</v>
      </c>
      <c r="AJ735" s="18"/>
      <c r="AK735" s="18"/>
      <c r="AL735" s="18"/>
      <c r="AM735" s="18"/>
    </row>
    <row r="736" customFormat="false" ht="15" hidden="false" customHeight="false" outlineLevel="0" collapsed="false">
      <c r="A736" s="15" t="n">
        <f aca="false">RANK(AI736,$AI$2:$AI$755)</f>
        <v>735</v>
      </c>
      <c r="B736" s="16" t="str">
        <f aca="false">IF(T736="Y","Superseded",IF(C736&gt;=Scoring!$B$16,"Immediate",IF(C736&gt;=Scoring!$B$17,"This week",IF(C736&gt;=Scoring!$B$18,"Nurture","Low"))))</f>
        <v>Low</v>
      </c>
      <c r="C736" s="3" t="n">
        <f aca="false">SUM(AC736:AH736)</f>
        <v>21</v>
      </c>
      <c r="D736" s="15" t="str">
        <f aca="false">IF(T736="Y","Superseded record",IF(AND(U736&lt;&gt;"",AA736&lt;0),"Expired (verified)",IF(AND(U736&lt;&gt;"",AA736&lt;=Scoring!$B$5),"Expiring: notice window (verified)",IF(AND(U736&lt;&gt;"",AA736&lt;=Scoring!$B$6),"Expiring: 10-yr horizon (verified)",IF(M736="No Longer Monitored","Out of program",IF(N736="","Unknown vintage",IF(N736&lt;Scoring!$B$12,"Pre-1990, still listed",IF(AND(U736="",AA736&lt;0),"Past 30-yr mark (verify)",IF(AND(U736="",AA736&lt;=Scoring!$B$5),"30-yr mark: notice window (est.)",IF(AND(O736&gt;=Scoring!$B$7,O736&lt;=Scoring!$B$8),"Year-15 window",IF(O736&gt;=Scoring!$B$9,"Recap window",IF(O736&gt;=11,"Late compliance","Credit period"))))))))))))</f>
        <v>Credit period</v>
      </c>
      <c r="E736" s="15" t="s">
        <v>2544</v>
      </c>
      <c r="F736" s="15" t="s">
        <v>2545</v>
      </c>
      <c r="G736" s="15" t="s">
        <v>2546</v>
      </c>
      <c r="H736" s="15" t="s">
        <v>541</v>
      </c>
      <c r="I736" s="15" t="s">
        <v>542</v>
      </c>
      <c r="J736" s="15" t="n">
        <v>44</v>
      </c>
      <c r="K736" s="15" t="n">
        <v>44</v>
      </c>
      <c r="L736" s="15" t="n">
        <f aca="false">IF(OR(J736="",K736=""),"",MAX(J736-K736,0))</f>
        <v>0</v>
      </c>
      <c r="M736" s="15" t="s">
        <v>99</v>
      </c>
      <c r="N736" s="17" t="n">
        <v>2024</v>
      </c>
      <c r="O736" s="15" t="n">
        <f aca="false">IF(N736="","",Scoring!$B$4-N736)</f>
        <v>2</v>
      </c>
      <c r="P736" s="15" t="n">
        <f aca="false">IF(N736="","",N736+14)</f>
        <v>2038</v>
      </c>
      <c r="Q736" s="15" t="n">
        <f aca="false">IF(N736="","",IF(N736&lt;Scoring!$B$12,"n/a (pre-1990)",N736+Scoring!$B$13))</f>
        <v>2053</v>
      </c>
      <c r="R736" s="15" t="str">
        <f aca="false">IF(J736="","Unknown",IF(J736&gt;=5,"Yes","No (under 5 units)"))</f>
        <v>Yes</v>
      </c>
      <c r="S736" s="15"/>
      <c r="T736" s="18"/>
      <c r="U736" s="19"/>
      <c r="V736" s="18"/>
      <c r="W736" s="18"/>
      <c r="X736" s="20"/>
      <c r="Y736" s="18"/>
      <c r="Z736" s="18"/>
      <c r="AA736" s="21" t="n">
        <f aca="false">IF(U736&lt;&gt;"",(U736-Scoring!$B$3)/365.25,IF(N736="","",IF(N736&lt;Scoring!$B$12,"",(DATE(N736+Scoring!$B$13,12,31)-Scoring!$B$3)/365.25)))</f>
        <v>27.2470910335387</v>
      </c>
      <c r="AB736" s="22" t="n">
        <f aca="false">IF(T736="Y",0,IF(OR(D736="Expired (verified)",D736="Expiring: notice window (verified)",D736="Expiring: 10-yr horizon (verified)",D736="Past 30-yr mark (verify)",D736="30-yr mark: notice window (est.)",D736="Year-15 window"),1,0)+IF(ISNUMBER(O736),IF(O736&gt;=Scoring!$B$10,1,0),0)+IF(AND(ISNUMBER(L736),ISNUMBER(J736)),IF(J736&gt;0,IF(L736/J736&gt;=Scoring!$B$11,1,0),0),0)+IF(ISNUMBER(Z736),MIN(Z736,3),0))</f>
        <v>0</v>
      </c>
      <c r="AC736" s="22" t="n">
        <f aca="false">IF(AB736&gt;=3,Scoring!$C$24,IF(AB736=2,Scoring!$C$23,IF(AB736=1,Scoring!$C$22,0)))</f>
        <v>0</v>
      </c>
      <c r="AD736" s="22" t="n">
        <f aca="false">IF(T736="Y",0,IF(ISNUMBER(X736),IF(X736&gt;0.7,Scoring!$C$25,IF(X736&gt;=0.5,Scoring!$C$26,IF(X736&gt;=0.3,Scoring!$C$27,Scoring!$C$28))),Scoring!$C$29))</f>
        <v>10</v>
      </c>
      <c r="AE736" s="22" t="n">
        <f aca="false">IF(D736="Expiring: notice window (verified)",Scoring!$C$30,IF(OR(D736="Expired (verified)",D736="30-yr mark: notice window (est.)",D736="Year-15 window"),Scoring!$C$31,IF(D736="Expiring: 10-yr horizon (verified)",Scoring!$C$32,IF(D736="Past 30-yr mark (verify)",Scoring!$C$33,IF(OR(D736="Credit period",D736="Superseded record"),Scoring!$C$35,Scoring!$C$34)))))</f>
        <v>0</v>
      </c>
      <c r="AF736" s="22" t="n">
        <f aca="false">IF(T736="Y",0,IF(ISNUMBER(V736),IF(Scoring!$B$4-V736&gt;15,Scoring!$C$36,IF(Scoring!$B$4-V736&gt;=10,Scoring!$C$37,IF(Scoring!$B$4-V736&gt;=5,Scoring!$C$38,Scoring!$C$39))),IF(OR(N736="",D736="Out of program"),Scoring!$C$40,IF(O736&gt;15,Scoring!$C$36,IF(O736&gt;=10,Scoring!$C$37,IF(O736&gt;=5,Scoring!$C$38,Scoring!$C$39))))))</f>
        <v>4</v>
      </c>
      <c r="AG736" s="22" t="n">
        <f aca="false">IF(T736="Y",0,IF(Y736="Y",Scoring!$C$41,IF(ISNUMBER(O736),IF(O736&gt;=25,Scoring!$C$42,IF(O736&gt;=15,Scoring!$C$43,Scoring!$C$44)),Scoring!$C$44)))</f>
        <v>2</v>
      </c>
      <c r="AH736" s="22" t="n">
        <f aca="false">IF(T736="Y",0,IF(W736="",Scoring!$C$49,IFERROR(VLOOKUP(W736,Scoring!$B$45:$C$48,2,FALSE()),Scoring!$C$49)))</f>
        <v>5</v>
      </c>
      <c r="AI736" s="23" t="n">
        <f aca="false">C736+IF(ISNUMBER(J736),J736,0)/100000+(10000-ROW())/1000000000</f>
        <v>21.000449264</v>
      </c>
      <c r="AJ736" s="18"/>
      <c r="AK736" s="18"/>
      <c r="AL736" s="18"/>
      <c r="AM736" s="18"/>
    </row>
    <row r="737" customFormat="false" ht="15" hidden="false" customHeight="false" outlineLevel="0" collapsed="false">
      <c r="A737" s="15" t="n">
        <f aca="false">RANK(AI737,$AI$2:$AI$755)</f>
        <v>736</v>
      </c>
      <c r="B737" s="16" t="str">
        <f aca="false">IF(T737="Y","Superseded",IF(C737&gt;=Scoring!$B$16,"Immediate",IF(C737&gt;=Scoring!$B$17,"This week",IF(C737&gt;=Scoring!$B$18,"Nurture","Low"))))</f>
        <v>Low</v>
      </c>
      <c r="C737" s="3" t="n">
        <f aca="false">SUM(AC737:AH737)</f>
        <v>21</v>
      </c>
      <c r="D737" s="15" t="str">
        <f aca="false">IF(T737="Y","Superseded record",IF(AND(U737&lt;&gt;"",AA737&lt;0),"Expired (verified)",IF(AND(U737&lt;&gt;"",AA737&lt;=Scoring!$B$5),"Expiring: notice window (verified)",IF(AND(U737&lt;&gt;"",AA737&lt;=Scoring!$B$6),"Expiring: 10-yr horizon (verified)",IF(M737="No Longer Monitored","Out of program",IF(N737="","Unknown vintage",IF(N737&lt;Scoring!$B$12,"Pre-1990, still listed",IF(AND(U737="",AA737&lt;0),"Past 30-yr mark (verify)",IF(AND(U737="",AA737&lt;=Scoring!$B$5),"30-yr mark: notice window (est.)",IF(AND(O737&gt;=Scoring!$B$7,O737&lt;=Scoring!$B$8),"Year-15 window",IF(O737&gt;=Scoring!$B$9,"Recap window",IF(O737&gt;=11,"Late compliance","Credit period"))))))))))))</f>
        <v>Credit period</v>
      </c>
      <c r="E737" s="15" t="s">
        <v>2547</v>
      </c>
      <c r="F737" s="15" t="s">
        <v>2548</v>
      </c>
      <c r="G737" s="15" t="s">
        <v>2549</v>
      </c>
      <c r="H737" s="15" t="s">
        <v>97</v>
      </c>
      <c r="I737" s="15" t="s">
        <v>116</v>
      </c>
      <c r="J737" s="15" t="n">
        <v>42</v>
      </c>
      <c r="K737" s="15" t="n">
        <v>41</v>
      </c>
      <c r="L737" s="15" t="n">
        <f aca="false">IF(OR(J737="",K737=""),"",MAX(J737-K737,0))</f>
        <v>1</v>
      </c>
      <c r="M737" s="15" t="s">
        <v>99</v>
      </c>
      <c r="N737" s="17" t="n">
        <v>2022</v>
      </c>
      <c r="O737" s="15" t="n">
        <f aca="false">IF(N737="","",Scoring!$B$4-N737)</f>
        <v>4</v>
      </c>
      <c r="P737" s="15" t="n">
        <f aca="false">IF(N737="","",N737+14)</f>
        <v>2036</v>
      </c>
      <c r="Q737" s="15" t="n">
        <f aca="false">IF(N737="","",IF(N737&lt;Scoring!$B$12,"n/a (pre-1990)",N737+Scoring!$B$13))</f>
        <v>2051</v>
      </c>
      <c r="R737" s="15" t="str">
        <f aca="false">IF(J737="","Unknown",IF(J737&gt;=5,"Yes","No (under 5 units)"))</f>
        <v>Yes</v>
      </c>
      <c r="S737" s="15"/>
      <c r="T737" s="18"/>
      <c r="U737" s="19"/>
      <c r="V737" s="18"/>
      <c r="W737" s="18"/>
      <c r="X737" s="20"/>
      <c r="Y737" s="18"/>
      <c r="Z737" s="18"/>
      <c r="AA737" s="21" t="n">
        <f aca="false">IF(U737&lt;&gt;"",(U737-Scoring!$B$3)/365.25,IF(N737="","",IF(N737&lt;Scoring!$B$12,"",(DATE(N737+Scoring!$B$13,12,31)-Scoring!$B$3)/365.25)))</f>
        <v>25.2457221081451</v>
      </c>
      <c r="AB737" s="22" t="n">
        <f aca="false">IF(T737="Y",0,IF(OR(D737="Expired (verified)",D737="Expiring: notice window (verified)",D737="Expiring: 10-yr horizon (verified)",D737="Past 30-yr mark (verify)",D737="30-yr mark: notice window (est.)",D737="Year-15 window"),1,0)+IF(ISNUMBER(O737),IF(O737&gt;=Scoring!$B$10,1,0),0)+IF(AND(ISNUMBER(L737),ISNUMBER(J737)),IF(J737&gt;0,IF(L737/J737&gt;=Scoring!$B$11,1,0),0),0)+IF(ISNUMBER(Z737),MIN(Z737,3),0))</f>
        <v>0</v>
      </c>
      <c r="AC737" s="22" t="n">
        <f aca="false">IF(AB737&gt;=3,Scoring!$C$24,IF(AB737=2,Scoring!$C$23,IF(AB737=1,Scoring!$C$22,0)))</f>
        <v>0</v>
      </c>
      <c r="AD737" s="22" t="n">
        <f aca="false">IF(T737="Y",0,IF(ISNUMBER(X737),IF(X737&gt;0.7,Scoring!$C$25,IF(X737&gt;=0.5,Scoring!$C$26,IF(X737&gt;=0.3,Scoring!$C$27,Scoring!$C$28))),Scoring!$C$29))</f>
        <v>10</v>
      </c>
      <c r="AE737" s="22" t="n">
        <f aca="false">IF(D737="Expiring: notice window (verified)",Scoring!$C$30,IF(OR(D737="Expired (verified)",D737="30-yr mark: notice window (est.)",D737="Year-15 window"),Scoring!$C$31,IF(D737="Expiring: 10-yr horizon (verified)",Scoring!$C$32,IF(D737="Past 30-yr mark (verify)",Scoring!$C$33,IF(OR(D737="Credit period",D737="Superseded record"),Scoring!$C$35,Scoring!$C$34)))))</f>
        <v>0</v>
      </c>
      <c r="AF737" s="22" t="n">
        <f aca="false">IF(T737="Y",0,IF(ISNUMBER(V737),IF(Scoring!$B$4-V737&gt;15,Scoring!$C$36,IF(Scoring!$B$4-V737&gt;=10,Scoring!$C$37,IF(Scoring!$B$4-V737&gt;=5,Scoring!$C$38,Scoring!$C$39))),IF(OR(N737="",D737="Out of program"),Scoring!$C$40,IF(O737&gt;15,Scoring!$C$36,IF(O737&gt;=10,Scoring!$C$37,IF(O737&gt;=5,Scoring!$C$38,Scoring!$C$39))))))</f>
        <v>4</v>
      </c>
      <c r="AG737" s="22" t="n">
        <f aca="false">IF(T737="Y",0,IF(Y737="Y",Scoring!$C$41,IF(ISNUMBER(O737),IF(O737&gt;=25,Scoring!$C$42,IF(O737&gt;=15,Scoring!$C$43,Scoring!$C$44)),Scoring!$C$44)))</f>
        <v>2</v>
      </c>
      <c r="AH737" s="22" t="n">
        <f aca="false">IF(T737="Y",0,IF(W737="",Scoring!$C$49,IFERROR(VLOOKUP(W737,Scoring!$B$45:$C$48,2,FALSE()),Scoring!$C$49)))</f>
        <v>5</v>
      </c>
      <c r="AI737" s="23" t="n">
        <f aca="false">C737+IF(ISNUMBER(J737),J737,0)/100000+(10000-ROW())/1000000000</f>
        <v>21.000429263</v>
      </c>
      <c r="AJ737" s="18"/>
      <c r="AK737" s="18"/>
      <c r="AL737" s="18"/>
      <c r="AM737" s="18"/>
    </row>
    <row r="738" customFormat="false" ht="15" hidden="false" customHeight="false" outlineLevel="0" collapsed="false">
      <c r="A738" s="15" t="n">
        <f aca="false">RANK(AI738,$AI$2:$AI$755)</f>
        <v>737</v>
      </c>
      <c r="B738" s="16" t="str">
        <f aca="false">IF(T738="Y","Superseded",IF(C738&gt;=Scoring!$B$16,"Immediate",IF(C738&gt;=Scoring!$B$17,"This week",IF(C738&gt;=Scoring!$B$18,"Nurture","Low"))))</f>
        <v>Low</v>
      </c>
      <c r="C738" s="3" t="n">
        <f aca="false">SUM(AC738:AH738)</f>
        <v>21</v>
      </c>
      <c r="D738" s="15" t="str">
        <f aca="false">IF(T738="Y","Superseded record",IF(AND(U738&lt;&gt;"",AA738&lt;0),"Expired (verified)",IF(AND(U738&lt;&gt;"",AA738&lt;=Scoring!$B$5),"Expiring: notice window (verified)",IF(AND(U738&lt;&gt;"",AA738&lt;=Scoring!$B$6),"Expiring: 10-yr horizon (verified)",IF(M738="No Longer Monitored","Out of program",IF(N738="","Unknown vintage",IF(N738&lt;Scoring!$B$12,"Pre-1990, still listed",IF(AND(U738="",AA738&lt;0),"Past 30-yr mark (verify)",IF(AND(U738="",AA738&lt;=Scoring!$B$5),"30-yr mark: notice window (est.)",IF(AND(O738&gt;=Scoring!$B$7,O738&lt;=Scoring!$B$8),"Year-15 window",IF(O738&gt;=Scoring!$B$9,"Recap window",IF(O738&gt;=11,"Late compliance","Credit period"))))))))))))</f>
        <v>Credit period</v>
      </c>
      <c r="E738" s="15" t="s">
        <v>2550</v>
      </c>
      <c r="F738" s="15" t="s">
        <v>2551</v>
      </c>
      <c r="G738" s="15" t="s">
        <v>2552</v>
      </c>
      <c r="H738" s="15" t="s">
        <v>658</v>
      </c>
      <c r="I738" s="15" t="s">
        <v>659</v>
      </c>
      <c r="J738" s="15" t="n">
        <v>42</v>
      </c>
      <c r="K738" s="15" t="n">
        <v>42</v>
      </c>
      <c r="L738" s="15" t="n">
        <f aca="false">IF(OR(J738="",K738=""),"",MAX(J738-K738,0))</f>
        <v>0</v>
      </c>
      <c r="M738" s="15" t="s">
        <v>99</v>
      </c>
      <c r="N738" s="17" t="n">
        <v>2023</v>
      </c>
      <c r="O738" s="15" t="n">
        <f aca="false">IF(N738="","",Scoring!$B$4-N738)</f>
        <v>3</v>
      </c>
      <c r="P738" s="15" t="n">
        <f aca="false">IF(N738="","",N738+14)</f>
        <v>2037</v>
      </c>
      <c r="Q738" s="15" t="n">
        <f aca="false">IF(N738="","",IF(N738&lt;Scoring!$B$12,"n/a (pre-1990)",N738+Scoring!$B$13))</f>
        <v>2052</v>
      </c>
      <c r="R738" s="15" t="str">
        <f aca="false">IF(J738="","Unknown",IF(J738&gt;=5,"Yes","No (under 5 units)"))</f>
        <v>Yes</v>
      </c>
      <c r="S738" s="15"/>
      <c r="T738" s="18"/>
      <c r="U738" s="19"/>
      <c r="V738" s="18"/>
      <c r="W738" s="18"/>
      <c r="X738" s="20"/>
      <c r="Y738" s="18"/>
      <c r="Z738" s="18"/>
      <c r="AA738" s="21" t="n">
        <f aca="false">IF(U738&lt;&gt;"",(U738-Scoring!$B$3)/365.25,IF(N738="","",IF(N738&lt;Scoring!$B$12,"",(DATE(N738+Scoring!$B$13,12,31)-Scoring!$B$3)/365.25)))</f>
        <v>26.2477754962355</v>
      </c>
      <c r="AB738" s="22" t="n">
        <f aca="false">IF(T738="Y",0,IF(OR(D738="Expired (verified)",D738="Expiring: notice window (verified)",D738="Expiring: 10-yr horizon (verified)",D738="Past 30-yr mark (verify)",D738="30-yr mark: notice window (est.)",D738="Year-15 window"),1,0)+IF(ISNUMBER(O738),IF(O738&gt;=Scoring!$B$10,1,0),0)+IF(AND(ISNUMBER(L738),ISNUMBER(J738)),IF(J738&gt;0,IF(L738/J738&gt;=Scoring!$B$11,1,0),0),0)+IF(ISNUMBER(Z738),MIN(Z738,3),0))</f>
        <v>0</v>
      </c>
      <c r="AC738" s="22" t="n">
        <f aca="false">IF(AB738&gt;=3,Scoring!$C$24,IF(AB738=2,Scoring!$C$23,IF(AB738=1,Scoring!$C$22,0)))</f>
        <v>0</v>
      </c>
      <c r="AD738" s="22" t="n">
        <f aca="false">IF(T738="Y",0,IF(ISNUMBER(X738),IF(X738&gt;0.7,Scoring!$C$25,IF(X738&gt;=0.5,Scoring!$C$26,IF(X738&gt;=0.3,Scoring!$C$27,Scoring!$C$28))),Scoring!$C$29))</f>
        <v>10</v>
      </c>
      <c r="AE738" s="22" t="n">
        <f aca="false">IF(D738="Expiring: notice window (verified)",Scoring!$C$30,IF(OR(D738="Expired (verified)",D738="30-yr mark: notice window (est.)",D738="Year-15 window"),Scoring!$C$31,IF(D738="Expiring: 10-yr horizon (verified)",Scoring!$C$32,IF(D738="Past 30-yr mark (verify)",Scoring!$C$33,IF(OR(D738="Credit period",D738="Superseded record"),Scoring!$C$35,Scoring!$C$34)))))</f>
        <v>0</v>
      </c>
      <c r="AF738" s="22" t="n">
        <f aca="false">IF(T738="Y",0,IF(ISNUMBER(V738),IF(Scoring!$B$4-V738&gt;15,Scoring!$C$36,IF(Scoring!$B$4-V738&gt;=10,Scoring!$C$37,IF(Scoring!$B$4-V738&gt;=5,Scoring!$C$38,Scoring!$C$39))),IF(OR(N738="",D738="Out of program"),Scoring!$C$40,IF(O738&gt;15,Scoring!$C$36,IF(O738&gt;=10,Scoring!$C$37,IF(O738&gt;=5,Scoring!$C$38,Scoring!$C$39))))))</f>
        <v>4</v>
      </c>
      <c r="AG738" s="22" t="n">
        <f aca="false">IF(T738="Y",0,IF(Y738="Y",Scoring!$C$41,IF(ISNUMBER(O738),IF(O738&gt;=25,Scoring!$C$42,IF(O738&gt;=15,Scoring!$C$43,Scoring!$C$44)),Scoring!$C$44)))</f>
        <v>2</v>
      </c>
      <c r="AH738" s="22" t="n">
        <f aca="false">IF(T738="Y",0,IF(W738="",Scoring!$C$49,IFERROR(VLOOKUP(W738,Scoring!$B$45:$C$48,2,FALSE()),Scoring!$C$49)))</f>
        <v>5</v>
      </c>
      <c r="AI738" s="23" t="n">
        <f aca="false">C738+IF(ISNUMBER(J738),J738,0)/100000+(10000-ROW())/1000000000</f>
        <v>21.000429262</v>
      </c>
      <c r="AJ738" s="18"/>
      <c r="AK738" s="18"/>
      <c r="AL738" s="18"/>
      <c r="AM738" s="18"/>
    </row>
    <row r="739" customFormat="false" ht="15" hidden="false" customHeight="false" outlineLevel="0" collapsed="false">
      <c r="A739" s="15" t="n">
        <f aca="false">RANK(AI739,$AI$2:$AI$755)</f>
        <v>738</v>
      </c>
      <c r="B739" s="16" t="str">
        <f aca="false">IF(T739="Y","Superseded",IF(C739&gt;=Scoring!$B$16,"Immediate",IF(C739&gt;=Scoring!$B$17,"This week",IF(C739&gt;=Scoring!$B$18,"Nurture","Low"))))</f>
        <v>Low</v>
      </c>
      <c r="C739" s="3" t="n">
        <f aca="false">SUM(AC739:AH739)</f>
        <v>21</v>
      </c>
      <c r="D739" s="15" t="str">
        <f aca="false">IF(T739="Y","Superseded record",IF(AND(U739&lt;&gt;"",AA739&lt;0),"Expired (verified)",IF(AND(U739&lt;&gt;"",AA739&lt;=Scoring!$B$5),"Expiring: notice window (verified)",IF(AND(U739&lt;&gt;"",AA739&lt;=Scoring!$B$6),"Expiring: 10-yr horizon (verified)",IF(M739="No Longer Monitored","Out of program",IF(N739="","Unknown vintage",IF(N739&lt;Scoring!$B$12,"Pre-1990, still listed",IF(AND(U739="",AA739&lt;0),"Past 30-yr mark (verify)",IF(AND(U739="",AA739&lt;=Scoring!$B$5),"30-yr mark: notice window (est.)",IF(AND(O739&gt;=Scoring!$B$7,O739&lt;=Scoring!$B$8),"Year-15 window",IF(O739&gt;=Scoring!$B$9,"Recap window",IF(O739&gt;=11,"Late compliance","Credit period"))))))))))))</f>
        <v>Credit period</v>
      </c>
      <c r="E739" s="15" t="s">
        <v>2553</v>
      </c>
      <c r="F739" s="15" t="s">
        <v>2554</v>
      </c>
      <c r="G739" s="15" t="s">
        <v>2555</v>
      </c>
      <c r="H739" s="15" t="s">
        <v>97</v>
      </c>
      <c r="I739" s="15" t="s">
        <v>929</v>
      </c>
      <c r="J739" s="15" t="n">
        <v>41</v>
      </c>
      <c r="K739" s="15" t="n">
        <v>41</v>
      </c>
      <c r="L739" s="15" t="n">
        <f aca="false">IF(OR(J739="",K739=""),"",MAX(J739-K739,0))</f>
        <v>0</v>
      </c>
      <c r="M739" s="15" t="s">
        <v>99</v>
      </c>
      <c r="N739" s="17" t="n">
        <v>2023</v>
      </c>
      <c r="O739" s="15" t="n">
        <f aca="false">IF(N739="","",Scoring!$B$4-N739)</f>
        <v>3</v>
      </c>
      <c r="P739" s="15" t="n">
        <f aca="false">IF(N739="","",N739+14)</f>
        <v>2037</v>
      </c>
      <c r="Q739" s="15" t="n">
        <f aca="false">IF(N739="","",IF(N739&lt;Scoring!$B$12,"n/a (pre-1990)",N739+Scoring!$B$13))</f>
        <v>2052</v>
      </c>
      <c r="R739" s="15" t="str">
        <f aca="false">IF(J739="","Unknown",IF(J739&gt;=5,"Yes","No (under 5 units)"))</f>
        <v>Yes</v>
      </c>
      <c r="S739" s="15"/>
      <c r="T739" s="18"/>
      <c r="U739" s="19"/>
      <c r="V739" s="18"/>
      <c r="W739" s="18"/>
      <c r="X739" s="20"/>
      <c r="Y739" s="18"/>
      <c r="Z739" s="18"/>
      <c r="AA739" s="21" t="n">
        <f aca="false">IF(U739&lt;&gt;"",(U739-Scoring!$B$3)/365.25,IF(N739="","",IF(N739&lt;Scoring!$B$12,"",(DATE(N739+Scoring!$B$13,12,31)-Scoring!$B$3)/365.25)))</f>
        <v>26.2477754962355</v>
      </c>
      <c r="AB739" s="22" t="n">
        <f aca="false">IF(T739="Y",0,IF(OR(D739="Expired (verified)",D739="Expiring: notice window (verified)",D739="Expiring: 10-yr horizon (verified)",D739="Past 30-yr mark (verify)",D739="30-yr mark: notice window (est.)",D739="Year-15 window"),1,0)+IF(ISNUMBER(O739),IF(O739&gt;=Scoring!$B$10,1,0),0)+IF(AND(ISNUMBER(L739),ISNUMBER(J739)),IF(J739&gt;0,IF(L739/J739&gt;=Scoring!$B$11,1,0),0),0)+IF(ISNUMBER(Z739),MIN(Z739,3),0))</f>
        <v>0</v>
      </c>
      <c r="AC739" s="22" t="n">
        <f aca="false">IF(AB739&gt;=3,Scoring!$C$24,IF(AB739=2,Scoring!$C$23,IF(AB739=1,Scoring!$C$22,0)))</f>
        <v>0</v>
      </c>
      <c r="AD739" s="22" t="n">
        <f aca="false">IF(T739="Y",0,IF(ISNUMBER(X739),IF(X739&gt;0.7,Scoring!$C$25,IF(X739&gt;=0.5,Scoring!$C$26,IF(X739&gt;=0.3,Scoring!$C$27,Scoring!$C$28))),Scoring!$C$29))</f>
        <v>10</v>
      </c>
      <c r="AE739" s="22" t="n">
        <f aca="false">IF(D739="Expiring: notice window (verified)",Scoring!$C$30,IF(OR(D739="Expired (verified)",D739="30-yr mark: notice window (est.)",D739="Year-15 window"),Scoring!$C$31,IF(D739="Expiring: 10-yr horizon (verified)",Scoring!$C$32,IF(D739="Past 30-yr mark (verify)",Scoring!$C$33,IF(OR(D739="Credit period",D739="Superseded record"),Scoring!$C$35,Scoring!$C$34)))))</f>
        <v>0</v>
      </c>
      <c r="AF739" s="22" t="n">
        <f aca="false">IF(T739="Y",0,IF(ISNUMBER(V739),IF(Scoring!$B$4-V739&gt;15,Scoring!$C$36,IF(Scoring!$B$4-V739&gt;=10,Scoring!$C$37,IF(Scoring!$B$4-V739&gt;=5,Scoring!$C$38,Scoring!$C$39))),IF(OR(N739="",D739="Out of program"),Scoring!$C$40,IF(O739&gt;15,Scoring!$C$36,IF(O739&gt;=10,Scoring!$C$37,IF(O739&gt;=5,Scoring!$C$38,Scoring!$C$39))))))</f>
        <v>4</v>
      </c>
      <c r="AG739" s="22" t="n">
        <f aca="false">IF(T739="Y",0,IF(Y739="Y",Scoring!$C$41,IF(ISNUMBER(O739),IF(O739&gt;=25,Scoring!$C$42,IF(O739&gt;=15,Scoring!$C$43,Scoring!$C$44)),Scoring!$C$44)))</f>
        <v>2</v>
      </c>
      <c r="AH739" s="22" t="n">
        <f aca="false">IF(T739="Y",0,IF(W739="",Scoring!$C$49,IFERROR(VLOOKUP(W739,Scoring!$B$45:$C$48,2,FALSE()),Scoring!$C$49)))</f>
        <v>5</v>
      </c>
      <c r="AI739" s="23" t="n">
        <f aca="false">C739+IF(ISNUMBER(J739),J739,0)/100000+(10000-ROW())/1000000000</f>
        <v>21.000419261</v>
      </c>
      <c r="AJ739" s="18"/>
      <c r="AK739" s="18"/>
      <c r="AL739" s="18"/>
      <c r="AM739" s="18"/>
    </row>
    <row r="740" customFormat="false" ht="15" hidden="false" customHeight="false" outlineLevel="0" collapsed="false">
      <c r="A740" s="15" t="n">
        <f aca="false">RANK(AI740,$AI$2:$AI$755)</f>
        <v>739</v>
      </c>
      <c r="B740" s="16" t="str">
        <f aca="false">IF(T740="Y","Superseded",IF(C740&gt;=Scoring!$B$16,"Immediate",IF(C740&gt;=Scoring!$B$17,"This week",IF(C740&gt;=Scoring!$B$18,"Nurture","Low"))))</f>
        <v>Low</v>
      </c>
      <c r="C740" s="3" t="n">
        <f aca="false">SUM(AC740:AH740)</f>
        <v>21</v>
      </c>
      <c r="D740" s="15" t="str">
        <f aca="false">IF(T740="Y","Superseded record",IF(AND(U740&lt;&gt;"",AA740&lt;0),"Expired (verified)",IF(AND(U740&lt;&gt;"",AA740&lt;=Scoring!$B$5),"Expiring: notice window (verified)",IF(AND(U740&lt;&gt;"",AA740&lt;=Scoring!$B$6),"Expiring: 10-yr horizon (verified)",IF(M740="No Longer Monitored","Out of program",IF(N740="","Unknown vintage",IF(N740&lt;Scoring!$B$12,"Pre-1990, still listed",IF(AND(U740="",AA740&lt;0),"Past 30-yr mark (verify)",IF(AND(U740="",AA740&lt;=Scoring!$B$5),"30-yr mark: notice window (est.)",IF(AND(O740&gt;=Scoring!$B$7,O740&lt;=Scoring!$B$8),"Year-15 window",IF(O740&gt;=Scoring!$B$9,"Recap window",IF(O740&gt;=11,"Late compliance","Credit period"))))))))))))</f>
        <v>Credit period</v>
      </c>
      <c r="E740" s="15" t="s">
        <v>2556</v>
      </c>
      <c r="F740" s="15" t="s">
        <v>2557</v>
      </c>
      <c r="G740" s="15" t="s">
        <v>2558</v>
      </c>
      <c r="H740" s="15" t="s">
        <v>97</v>
      </c>
      <c r="I740" s="15" t="s">
        <v>330</v>
      </c>
      <c r="J740" s="15" t="n">
        <v>38</v>
      </c>
      <c r="K740" s="15" t="n">
        <v>38</v>
      </c>
      <c r="L740" s="15" t="n">
        <f aca="false">IF(OR(J740="",K740=""),"",MAX(J740-K740,0))</f>
        <v>0</v>
      </c>
      <c r="M740" s="15" t="s">
        <v>99</v>
      </c>
      <c r="N740" s="17" t="n">
        <v>2023</v>
      </c>
      <c r="O740" s="15" t="n">
        <f aca="false">IF(N740="","",Scoring!$B$4-N740)</f>
        <v>3</v>
      </c>
      <c r="P740" s="15" t="n">
        <f aca="false">IF(N740="","",N740+14)</f>
        <v>2037</v>
      </c>
      <c r="Q740" s="15" t="n">
        <f aca="false">IF(N740="","",IF(N740&lt;Scoring!$B$12,"n/a (pre-1990)",N740+Scoring!$B$13))</f>
        <v>2052</v>
      </c>
      <c r="R740" s="15" t="str">
        <f aca="false">IF(J740="","Unknown",IF(J740&gt;=5,"Yes","No (under 5 units)"))</f>
        <v>Yes</v>
      </c>
      <c r="S740" s="15"/>
      <c r="T740" s="18"/>
      <c r="U740" s="19"/>
      <c r="V740" s="18"/>
      <c r="W740" s="18"/>
      <c r="X740" s="20"/>
      <c r="Y740" s="18"/>
      <c r="Z740" s="18"/>
      <c r="AA740" s="21" t="n">
        <f aca="false">IF(U740&lt;&gt;"",(U740-Scoring!$B$3)/365.25,IF(N740="","",IF(N740&lt;Scoring!$B$12,"",(DATE(N740+Scoring!$B$13,12,31)-Scoring!$B$3)/365.25)))</f>
        <v>26.2477754962355</v>
      </c>
      <c r="AB740" s="22" t="n">
        <f aca="false">IF(T740="Y",0,IF(OR(D740="Expired (verified)",D740="Expiring: notice window (verified)",D740="Expiring: 10-yr horizon (verified)",D740="Past 30-yr mark (verify)",D740="30-yr mark: notice window (est.)",D740="Year-15 window"),1,0)+IF(ISNUMBER(O740),IF(O740&gt;=Scoring!$B$10,1,0),0)+IF(AND(ISNUMBER(L740),ISNUMBER(J740)),IF(J740&gt;0,IF(L740/J740&gt;=Scoring!$B$11,1,0),0),0)+IF(ISNUMBER(Z740),MIN(Z740,3),0))</f>
        <v>0</v>
      </c>
      <c r="AC740" s="22" t="n">
        <f aca="false">IF(AB740&gt;=3,Scoring!$C$24,IF(AB740=2,Scoring!$C$23,IF(AB740=1,Scoring!$C$22,0)))</f>
        <v>0</v>
      </c>
      <c r="AD740" s="22" t="n">
        <f aca="false">IF(T740="Y",0,IF(ISNUMBER(X740),IF(X740&gt;0.7,Scoring!$C$25,IF(X740&gt;=0.5,Scoring!$C$26,IF(X740&gt;=0.3,Scoring!$C$27,Scoring!$C$28))),Scoring!$C$29))</f>
        <v>10</v>
      </c>
      <c r="AE740" s="22" t="n">
        <f aca="false">IF(D740="Expiring: notice window (verified)",Scoring!$C$30,IF(OR(D740="Expired (verified)",D740="30-yr mark: notice window (est.)",D740="Year-15 window"),Scoring!$C$31,IF(D740="Expiring: 10-yr horizon (verified)",Scoring!$C$32,IF(D740="Past 30-yr mark (verify)",Scoring!$C$33,IF(OR(D740="Credit period",D740="Superseded record"),Scoring!$C$35,Scoring!$C$34)))))</f>
        <v>0</v>
      </c>
      <c r="AF740" s="22" t="n">
        <f aca="false">IF(T740="Y",0,IF(ISNUMBER(V740),IF(Scoring!$B$4-V740&gt;15,Scoring!$C$36,IF(Scoring!$B$4-V740&gt;=10,Scoring!$C$37,IF(Scoring!$B$4-V740&gt;=5,Scoring!$C$38,Scoring!$C$39))),IF(OR(N740="",D740="Out of program"),Scoring!$C$40,IF(O740&gt;15,Scoring!$C$36,IF(O740&gt;=10,Scoring!$C$37,IF(O740&gt;=5,Scoring!$C$38,Scoring!$C$39))))))</f>
        <v>4</v>
      </c>
      <c r="AG740" s="22" t="n">
        <f aca="false">IF(T740="Y",0,IF(Y740="Y",Scoring!$C$41,IF(ISNUMBER(O740),IF(O740&gt;=25,Scoring!$C$42,IF(O740&gt;=15,Scoring!$C$43,Scoring!$C$44)),Scoring!$C$44)))</f>
        <v>2</v>
      </c>
      <c r="AH740" s="22" t="n">
        <f aca="false">IF(T740="Y",0,IF(W740="",Scoring!$C$49,IFERROR(VLOOKUP(W740,Scoring!$B$45:$C$48,2,FALSE()),Scoring!$C$49)))</f>
        <v>5</v>
      </c>
      <c r="AI740" s="23" t="n">
        <f aca="false">C740+IF(ISNUMBER(J740),J740,0)/100000+(10000-ROW())/1000000000</f>
        <v>21.00038926</v>
      </c>
      <c r="AJ740" s="18"/>
      <c r="AK740" s="18"/>
      <c r="AL740" s="18"/>
      <c r="AM740" s="18"/>
    </row>
    <row r="741" customFormat="false" ht="15" hidden="false" customHeight="false" outlineLevel="0" collapsed="false">
      <c r="A741" s="15" t="n">
        <f aca="false">RANK(AI741,$AI$2:$AI$755)</f>
        <v>740</v>
      </c>
      <c r="B741" s="16" t="str">
        <f aca="false">IF(T741="Y","Superseded",IF(C741&gt;=Scoring!$B$16,"Immediate",IF(C741&gt;=Scoring!$B$17,"This week",IF(C741&gt;=Scoring!$B$18,"Nurture","Low"))))</f>
        <v>Low</v>
      </c>
      <c r="C741" s="3" t="n">
        <f aca="false">SUM(AC741:AH741)</f>
        <v>21</v>
      </c>
      <c r="D741" s="15" t="str">
        <f aca="false">IF(T741="Y","Superseded record",IF(AND(U741&lt;&gt;"",AA741&lt;0),"Expired (verified)",IF(AND(U741&lt;&gt;"",AA741&lt;=Scoring!$B$5),"Expiring: notice window (verified)",IF(AND(U741&lt;&gt;"",AA741&lt;=Scoring!$B$6),"Expiring: 10-yr horizon (verified)",IF(M741="No Longer Monitored","Out of program",IF(N741="","Unknown vintage",IF(N741&lt;Scoring!$B$12,"Pre-1990, still listed",IF(AND(U741="",AA741&lt;0),"Past 30-yr mark (verify)",IF(AND(U741="",AA741&lt;=Scoring!$B$5),"30-yr mark: notice window (est.)",IF(AND(O741&gt;=Scoring!$B$7,O741&lt;=Scoring!$B$8),"Year-15 window",IF(O741&gt;=Scoring!$B$9,"Recap window",IF(O741&gt;=11,"Late compliance","Credit period"))))))))))))</f>
        <v>Credit period</v>
      </c>
      <c r="E741" s="15" t="s">
        <v>2559</v>
      </c>
      <c r="F741" s="15" t="s">
        <v>2560</v>
      </c>
      <c r="G741" s="15" t="s">
        <v>2561</v>
      </c>
      <c r="H741" s="15" t="s">
        <v>1321</v>
      </c>
      <c r="I741" s="15" t="s">
        <v>1322</v>
      </c>
      <c r="J741" s="15" t="n">
        <v>36</v>
      </c>
      <c r="K741" s="15" t="n">
        <v>36</v>
      </c>
      <c r="L741" s="15" t="n">
        <f aca="false">IF(OR(J741="",K741=""),"",MAX(J741-K741,0))</f>
        <v>0</v>
      </c>
      <c r="M741" s="15" t="s">
        <v>99</v>
      </c>
      <c r="N741" s="17" t="n">
        <v>2022</v>
      </c>
      <c r="O741" s="15" t="n">
        <f aca="false">IF(N741="","",Scoring!$B$4-N741)</f>
        <v>4</v>
      </c>
      <c r="P741" s="15" t="n">
        <f aca="false">IF(N741="","",N741+14)</f>
        <v>2036</v>
      </c>
      <c r="Q741" s="15" t="n">
        <f aca="false">IF(N741="","",IF(N741&lt;Scoring!$B$12,"n/a (pre-1990)",N741+Scoring!$B$13))</f>
        <v>2051</v>
      </c>
      <c r="R741" s="15" t="str">
        <f aca="false">IF(J741="","Unknown",IF(J741&gt;=5,"Yes","No (under 5 units)"))</f>
        <v>Yes</v>
      </c>
      <c r="S741" s="15"/>
      <c r="T741" s="18"/>
      <c r="U741" s="19"/>
      <c r="V741" s="18"/>
      <c r="W741" s="18"/>
      <c r="X741" s="20"/>
      <c r="Y741" s="18"/>
      <c r="Z741" s="18"/>
      <c r="AA741" s="21" t="n">
        <f aca="false">IF(U741&lt;&gt;"",(U741-Scoring!$B$3)/365.25,IF(N741="","",IF(N741&lt;Scoring!$B$12,"",(DATE(N741+Scoring!$B$13,12,31)-Scoring!$B$3)/365.25)))</f>
        <v>25.2457221081451</v>
      </c>
      <c r="AB741" s="22" t="n">
        <f aca="false">IF(T741="Y",0,IF(OR(D741="Expired (verified)",D741="Expiring: notice window (verified)",D741="Expiring: 10-yr horizon (verified)",D741="Past 30-yr mark (verify)",D741="30-yr mark: notice window (est.)",D741="Year-15 window"),1,0)+IF(ISNUMBER(O741),IF(O741&gt;=Scoring!$B$10,1,0),0)+IF(AND(ISNUMBER(L741),ISNUMBER(J741)),IF(J741&gt;0,IF(L741/J741&gt;=Scoring!$B$11,1,0),0),0)+IF(ISNUMBER(Z741),MIN(Z741,3),0))</f>
        <v>0</v>
      </c>
      <c r="AC741" s="22" t="n">
        <f aca="false">IF(AB741&gt;=3,Scoring!$C$24,IF(AB741=2,Scoring!$C$23,IF(AB741=1,Scoring!$C$22,0)))</f>
        <v>0</v>
      </c>
      <c r="AD741" s="22" t="n">
        <f aca="false">IF(T741="Y",0,IF(ISNUMBER(X741),IF(X741&gt;0.7,Scoring!$C$25,IF(X741&gt;=0.5,Scoring!$C$26,IF(X741&gt;=0.3,Scoring!$C$27,Scoring!$C$28))),Scoring!$C$29))</f>
        <v>10</v>
      </c>
      <c r="AE741" s="22" t="n">
        <f aca="false">IF(D741="Expiring: notice window (verified)",Scoring!$C$30,IF(OR(D741="Expired (verified)",D741="30-yr mark: notice window (est.)",D741="Year-15 window"),Scoring!$C$31,IF(D741="Expiring: 10-yr horizon (verified)",Scoring!$C$32,IF(D741="Past 30-yr mark (verify)",Scoring!$C$33,IF(OR(D741="Credit period",D741="Superseded record"),Scoring!$C$35,Scoring!$C$34)))))</f>
        <v>0</v>
      </c>
      <c r="AF741" s="22" t="n">
        <f aca="false">IF(T741="Y",0,IF(ISNUMBER(V741),IF(Scoring!$B$4-V741&gt;15,Scoring!$C$36,IF(Scoring!$B$4-V741&gt;=10,Scoring!$C$37,IF(Scoring!$B$4-V741&gt;=5,Scoring!$C$38,Scoring!$C$39))),IF(OR(N741="",D741="Out of program"),Scoring!$C$40,IF(O741&gt;15,Scoring!$C$36,IF(O741&gt;=10,Scoring!$C$37,IF(O741&gt;=5,Scoring!$C$38,Scoring!$C$39))))))</f>
        <v>4</v>
      </c>
      <c r="AG741" s="22" t="n">
        <f aca="false">IF(T741="Y",0,IF(Y741="Y",Scoring!$C$41,IF(ISNUMBER(O741),IF(O741&gt;=25,Scoring!$C$42,IF(O741&gt;=15,Scoring!$C$43,Scoring!$C$44)),Scoring!$C$44)))</f>
        <v>2</v>
      </c>
      <c r="AH741" s="22" t="n">
        <f aca="false">IF(T741="Y",0,IF(W741="",Scoring!$C$49,IFERROR(VLOOKUP(W741,Scoring!$B$45:$C$48,2,FALSE()),Scoring!$C$49)))</f>
        <v>5</v>
      </c>
      <c r="AI741" s="23" t="n">
        <f aca="false">C741+IF(ISNUMBER(J741),J741,0)/100000+(10000-ROW())/1000000000</f>
        <v>21.000369259</v>
      </c>
      <c r="AJ741" s="18"/>
      <c r="AK741" s="18"/>
      <c r="AL741" s="18"/>
      <c r="AM741" s="18"/>
    </row>
    <row r="742" customFormat="false" ht="15" hidden="false" customHeight="false" outlineLevel="0" collapsed="false">
      <c r="A742" s="15" t="n">
        <f aca="false">RANK(AI742,$AI$2:$AI$755)</f>
        <v>741</v>
      </c>
      <c r="B742" s="16" t="str">
        <f aca="false">IF(T742="Y","Superseded",IF(C742&gt;=Scoring!$B$16,"Immediate",IF(C742&gt;=Scoring!$B$17,"This week",IF(C742&gt;=Scoring!$B$18,"Nurture","Low"))))</f>
        <v>Low</v>
      </c>
      <c r="C742" s="3" t="n">
        <f aca="false">SUM(AC742:AH742)</f>
        <v>21</v>
      </c>
      <c r="D742" s="15" t="str">
        <f aca="false">IF(T742="Y","Superseded record",IF(AND(U742&lt;&gt;"",AA742&lt;0),"Expired (verified)",IF(AND(U742&lt;&gt;"",AA742&lt;=Scoring!$B$5),"Expiring: notice window (verified)",IF(AND(U742&lt;&gt;"",AA742&lt;=Scoring!$B$6),"Expiring: 10-yr horizon (verified)",IF(M742="No Longer Monitored","Out of program",IF(N742="","Unknown vintage",IF(N742&lt;Scoring!$B$12,"Pre-1990, still listed",IF(AND(U742="",AA742&lt;0),"Past 30-yr mark (verify)",IF(AND(U742="",AA742&lt;=Scoring!$B$5),"30-yr mark: notice window (est.)",IF(AND(O742&gt;=Scoring!$B$7,O742&lt;=Scoring!$B$8),"Year-15 window",IF(O742&gt;=Scoring!$B$9,"Recap window",IF(O742&gt;=11,"Late compliance","Credit period"))))))))))))</f>
        <v>Credit period</v>
      </c>
      <c r="E742" s="15" t="s">
        <v>2562</v>
      </c>
      <c r="F742" s="15" t="s">
        <v>2563</v>
      </c>
      <c r="G742" s="15" t="s">
        <v>2564</v>
      </c>
      <c r="H742" s="15" t="s">
        <v>2565</v>
      </c>
      <c r="I742" s="15" t="s">
        <v>108</v>
      </c>
      <c r="J742" s="15" t="n">
        <v>30</v>
      </c>
      <c r="K742" s="15" t="n">
        <v>30</v>
      </c>
      <c r="L742" s="15" t="n">
        <f aca="false">IF(OR(J742="",K742=""),"",MAX(J742-K742,0))</f>
        <v>0</v>
      </c>
      <c r="M742" s="15" t="s">
        <v>99</v>
      </c>
      <c r="N742" s="17" t="n">
        <v>2024</v>
      </c>
      <c r="O742" s="15" t="n">
        <f aca="false">IF(N742="","",Scoring!$B$4-N742)</f>
        <v>2</v>
      </c>
      <c r="P742" s="15" t="n">
        <f aca="false">IF(N742="","",N742+14)</f>
        <v>2038</v>
      </c>
      <c r="Q742" s="15" t="n">
        <f aca="false">IF(N742="","",IF(N742&lt;Scoring!$B$12,"n/a (pre-1990)",N742+Scoring!$B$13))</f>
        <v>2053</v>
      </c>
      <c r="R742" s="15" t="str">
        <f aca="false">IF(J742="","Unknown",IF(J742&gt;=5,"Yes","No (under 5 units)"))</f>
        <v>Yes</v>
      </c>
      <c r="S742" s="15"/>
      <c r="T742" s="18"/>
      <c r="U742" s="19"/>
      <c r="V742" s="18"/>
      <c r="W742" s="18"/>
      <c r="X742" s="20"/>
      <c r="Y742" s="18"/>
      <c r="Z742" s="18"/>
      <c r="AA742" s="21" t="n">
        <f aca="false">IF(U742&lt;&gt;"",(U742-Scoring!$B$3)/365.25,IF(N742="","",IF(N742&lt;Scoring!$B$12,"",(DATE(N742+Scoring!$B$13,12,31)-Scoring!$B$3)/365.25)))</f>
        <v>27.2470910335387</v>
      </c>
      <c r="AB742" s="22" t="n">
        <f aca="false">IF(T742="Y",0,IF(OR(D742="Expired (verified)",D742="Expiring: notice window (verified)",D742="Expiring: 10-yr horizon (verified)",D742="Past 30-yr mark (verify)",D742="30-yr mark: notice window (est.)",D742="Year-15 window"),1,0)+IF(ISNUMBER(O742),IF(O742&gt;=Scoring!$B$10,1,0),0)+IF(AND(ISNUMBER(L742),ISNUMBER(J742)),IF(J742&gt;0,IF(L742/J742&gt;=Scoring!$B$11,1,0),0),0)+IF(ISNUMBER(Z742),MIN(Z742,3),0))</f>
        <v>0</v>
      </c>
      <c r="AC742" s="22" t="n">
        <f aca="false">IF(AB742&gt;=3,Scoring!$C$24,IF(AB742=2,Scoring!$C$23,IF(AB742=1,Scoring!$C$22,0)))</f>
        <v>0</v>
      </c>
      <c r="AD742" s="22" t="n">
        <f aca="false">IF(T742="Y",0,IF(ISNUMBER(X742),IF(X742&gt;0.7,Scoring!$C$25,IF(X742&gt;=0.5,Scoring!$C$26,IF(X742&gt;=0.3,Scoring!$C$27,Scoring!$C$28))),Scoring!$C$29))</f>
        <v>10</v>
      </c>
      <c r="AE742" s="22" t="n">
        <f aca="false">IF(D742="Expiring: notice window (verified)",Scoring!$C$30,IF(OR(D742="Expired (verified)",D742="30-yr mark: notice window (est.)",D742="Year-15 window"),Scoring!$C$31,IF(D742="Expiring: 10-yr horizon (verified)",Scoring!$C$32,IF(D742="Past 30-yr mark (verify)",Scoring!$C$33,IF(OR(D742="Credit period",D742="Superseded record"),Scoring!$C$35,Scoring!$C$34)))))</f>
        <v>0</v>
      </c>
      <c r="AF742" s="22" t="n">
        <f aca="false">IF(T742="Y",0,IF(ISNUMBER(V742),IF(Scoring!$B$4-V742&gt;15,Scoring!$C$36,IF(Scoring!$B$4-V742&gt;=10,Scoring!$C$37,IF(Scoring!$B$4-V742&gt;=5,Scoring!$C$38,Scoring!$C$39))),IF(OR(N742="",D742="Out of program"),Scoring!$C$40,IF(O742&gt;15,Scoring!$C$36,IF(O742&gt;=10,Scoring!$C$37,IF(O742&gt;=5,Scoring!$C$38,Scoring!$C$39))))))</f>
        <v>4</v>
      </c>
      <c r="AG742" s="22" t="n">
        <f aca="false">IF(T742="Y",0,IF(Y742="Y",Scoring!$C$41,IF(ISNUMBER(O742),IF(O742&gt;=25,Scoring!$C$42,IF(O742&gt;=15,Scoring!$C$43,Scoring!$C$44)),Scoring!$C$44)))</f>
        <v>2</v>
      </c>
      <c r="AH742" s="22" t="n">
        <f aca="false">IF(T742="Y",0,IF(W742="",Scoring!$C$49,IFERROR(VLOOKUP(W742,Scoring!$B$45:$C$48,2,FALSE()),Scoring!$C$49)))</f>
        <v>5</v>
      </c>
      <c r="AI742" s="23" t="n">
        <f aca="false">C742+IF(ISNUMBER(J742),J742,0)/100000+(10000-ROW())/1000000000</f>
        <v>21.000309258</v>
      </c>
      <c r="AJ742" s="18"/>
      <c r="AK742" s="18"/>
      <c r="AL742" s="18"/>
      <c r="AM742" s="18"/>
    </row>
    <row r="743" customFormat="false" ht="15" hidden="false" customHeight="false" outlineLevel="0" collapsed="false">
      <c r="A743" s="15" t="n">
        <f aca="false">RANK(AI743,$AI$2:$AI$755)</f>
        <v>742</v>
      </c>
      <c r="B743" s="16" t="str">
        <f aca="false">IF(T743="Y","Superseded",IF(C743&gt;=Scoring!$B$16,"Immediate",IF(C743&gt;=Scoring!$B$17,"This week",IF(C743&gt;=Scoring!$B$18,"Nurture","Low"))))</f>
        <v>Low</v>
      </c>
      <c r="C743" s="3" t="n">
        <f aca="false">SUM(AC743:AH743)</f>
        <v>21</v>
      </c>
      <c r="D743" s="15" t="str">
        <f aca="false">IF(T743="Y","Superseded record",IF(AND(U743&lt;&gt;"",AA743&lt;0),"Expired (verified)",IF(AND(U743&lt;&gt;"",AA743&lt;=Scoring!$B$5),"Expiring: notice window (verified)",IF(AND(U743&lt;&gt;"",AA743&lt;=Scoring!$B$6),"Expiring: 10-yr horizon (verified)",IF(M743="No Longer Monitored","Out of program",IF(N743="","Unknown vintage",IF(N743&lt;Scoring!$B$12,"Pre-1990, still listed",IF(AND(U743="",AA743&lt;0),"Past 30-yr mark (verify)",IF(AND(U743="",AA743&lt;=Scoring!$B$5),"30-yr mark: notice window (est.)",IF(AND(O743&gt;=Scoring!$B$7,O743&lt;=Scoring!$B$8),"Year-15 window",IF(O743&gt;=Scoring!$B$9,"Recap window",IF(O743&gt;=11,"Late compliance","Credit period"))))))))))))</f>
        <v>Credit period</v>
      </c>
      <c r="E743" s="15" t="s">
        <v>2566</v>
      </c>
      <c r="F743" s="15" t="s">
        <v>2567</v>
      </c>
      <c r="G743" s="15" t="s">
        <v>2568</v>
      </c>
      <c r="H743" s="15" t="s">
        <v>319</v>
      </c>
      <c r="I743" s="15" t="s">
        <v>320</v>
      </c>
      <c r="J743" s="15" t="n">
        <v>24</v>
      </c>
      <c r="K743" s="15" t="n">
        <v>24</v>
      </c>
      <c r="L743" s="15" t="n">
        <f aca="false">IF(OR(J743="",K743=""),"",MAX(J743-K743,0))</f>
        <v>0</v>
      </c>
      <c r="M743" s="15" t="s">
        <v>99</v>
      </c>
      <c r="N743" s="17" t="n">
        <v>2024</v>
      </c>
      <c r="O743" s="15" t="n">
        <f aca="false">IF(N743="","",Scoring!$B$4-N743)</f>
        <v>2</v>
      </c>
      <c r="P743" s="15" t="n">
        <f aca="false">IF(N743="","",N743+14)</f>
        <v>2038</v>
      </c>
      <c r="Q743" s="15" t="n">
        <f aca="false">IF(N743="","",IF(N743&lt;Scoring!$B$12,"n/a (pre-1990)",N743+Scoring!$B$13))</f>
        <v>2053</v>
      </c>
      <c r="R743" s="15" t="str">
        <f aca="false">IF(J743="","Unknown",IF(J743&gt;=5,"Yes","No (under 5 units)"))</f>
        <v>Yes</v>
      </c>
      <c r="S743" s="15"/>
      <c r="T743" s="18"/>
      <c r="U743" s="19"/>
      <c r="V743" s="18"/>
      <c r="W743" s="18"/>
      <c r="X743" s="20"/>
      <c r="Y743" s="18"/>
      <c r="Z743" s="18"/>
      <c r="AA743" s="21" t="n">
        <f aca="false">IF(U743&lt;&gt;"",(U743-Scoring!$B$3)/365.25,IF(N743="","",IF(N743&lt;Scoring!$B$12,"",(DATE(N743+Scoring!$B$13,12,31)-Scoring!$B$3)/365.25)))</f>
        <v>27.2470910335387</v>
      </c>
      <c r="AB743" s="22" t="n">
        <f aca="false">IF(T743="Y",0,IF(OR(D743="Expired (verified)",D743="Expiring: notice window (verified)",D743="Expiring: 10-yr horizon (verified)",D743="Past 30-yr mark (verify)",D743="30-yr mark: notice window (est.)",D743="Year-15 window"),1,0)+IF(ISNUMBER(O743),IF(O743&gt;=Scoring!$B$10,1,0),0)+IF(AND(ISNUMBER(L743),ISNUMBER(J743)),IF(J743&gt;0,IF(L743/J743&gt;=Scoring!$B$11,1,0),0),0)+IF(ISNUMBER(Z743),MIN(Z743,3),0))</f>
        <v>0</v>
      </c>
      <c r="AC743" s="22" t="n">
        <f aca="false">IF(AB743&gt;=3,Scoring!$C$24,IF(AB743=2,Scoring!$C$23,IF(AB743=1,Scoring!$C$22,0)))</f>
        <v>0</v>
      </c>
      <c r="AD743" s="22" t="n">
        <f aca="false">IF(T743="Y",0,IF(ISNUMBER(X743),IF(X743&gt;0.7,Scoring!$C$25,IF(X743&gt;=0.5,Scoring!$C$26,IF(X743&gt;=0.3,Scoring!$C$27,Scoring!$C$28))),Scoring!$C$29))</f>
        <v>10</v>
      </c>
      <c r="AE743" s="22" t="n">
        <f aca="false">IF(D743="Expiring: notice window (verified)",Scoring!$C$30,IF(OR(D743="Expired (verified)",D743="30-yr mark: notice window (est.)",D743="Year-15 window"),Scoring!$C$31,IF(D743="Expiring: 10-yr horizon (verified)",Scoring!$C$32,IF(D743="Past 30-yr mark (verify)",Scoring!$C$33,IF(OR(D743="Credit period",D743="Superseded record"),Scoring!$C$35,Scoring!$C$34)))))</f>
        <v>0</v>
      </c>
      <c r="AF743" s="22" t="n">
        <f aca="false">IF(T743="Y",0,IF(ISNUMBER(V743),IF(Scoring!$B$4-V743&gt;15,Scoring!$C$36,IF(Scoring!$B$4-V743&gt;=10,Scoring!$C$37,IF(Scoring!$B$4-V743&gt;=5,Scoring!$C$38,Scoring!$C$39))),IF(OR(N743="",D743="Out of program"),Scoring!$C$40,IF(O743&gt;15,Scoring!$C$36,IF(O743&gt;=10,Scoring!$C$37,IF(O743&gt;=5,Scoring!$C$38,Scoring!$C$39))))))</f>
        <v>4</v>
      </c>
      <c r="AG743" s="22" t="n">
        <f aca="false">IF(T743="Y",0,IF(Y743="Y",Scoring!$C$41,IF(ISNUMBER(O743),IF(O743&gt;=25,Scoring!$C$42,IF(O743&gt;=15,Scoring!$C$43,Scoring!$C$44)),Scoring!$C$44)))</f>
        <v>2</v>
      </c>
      <c r="AH743" s="22" t="n">
        <f aca="false">IF(T743="Y",0,IF(W743="",Scoring!$C$49,IFERROR(VLOOKUP(W743,Scoring!$B$45:$C$48,2,FALSE()),Scoring!$C$49)))</f>
        <v>5</v>
      </c>
      <c r="AI743" s="23" t="n">
        <f aca="false">C743+IF(ISNUMBER(J743),J743,0)/100000+(10000-ROW())/1000000000</f>
        <v>21.000249257</v>
      </c>
      <c r="AJ743" s="18"/>
      <c r="AK743" s="18"/>
      <c r="AL743" s="18"/>
      <c r="AM743" s="18"/>
    </row>
    <row r="744" customFormat="false" ht="15" hidden="false" customHeight="false" outlineLevel="0" collapsed="false">
      <c r="A744" s="15" t="n">
        <f aca="false">RANK(AI744,$AI$2:$AI$755)</f>
        <v>743</v>
      </c>
      <c r="B744" s="16" t="str">
        <f aca="false">IF(T744="Y","Superseded",IF(C744&gt;=Scoring!$B$16,"Immediate",IF(C744&gt;=Scoring!$B$17,"This week",IF(C744&gt;=Scoring!$B$18,"Nurture","Low"))))</f>
        <v>Superseded</v>
      </c>
      <c r="C744" s="3" t="n">
        <f aca="false">SUM(AC744:AH744)</f>
        <v>0</v>
      </c>
      <c r="D744" s="15" t="str">
        <f aca="false">IF(T744="Y","Superseded record",IF(AND(U744&lt;&gt;"",AA744&lt;0),"Expired (verified)",IF(AND(U744&lt;&gt;"",AA744&lt;=Scoring!$B$5),"Expiring: notice window (verified)",IF(AND(U744&lt;&gt;"",AA744&lt;=Scoring!$B$6),"Expiring: 10-yr horizon (verified)",IF(M744="No Longer Monitored","Out of program",IF(N744="","Unknown vintage",IF(N744&lt;Scoring!$B$12,"Pre-1990, still listed",IF(AND(U744="",AA744&lt;0),"Past 30-yr mark (verify)",IF(AND(U744="",AA744&lt;=Scoring!$B$5),"30-yr mark: notice window (est.)",IF(AND(O744&gt;=Scoring!$B$7,O744&lt;=Scoring!$B$8),"Year-15 window",IF(O744&gt;=Scoring!$B$9,"Recap window",IF(O744&gt;=11,"Late compliance","Credit period"))))))))))))</f>
        <v>Superseded record</v>
      </c>
      <c r="E744" s="15" t="s">
        <v>2569</v>
      </c>
      <c r="F744" s="15" t="s">
        <v>2570</v>
      </c>
      <c r="G744" s="15" t="s">
        <v>2571</v>
      </c>
      <c r="H744" s="15" t="s">
        <v>97</v>
      </c>
      <c r="I744" s="15" t="s">
        <v>195</v>
      </c>
      <c r="J744" s="15" t="n">
        <v>132</v>
      </c>
      <c r="K744" s="15" t="n">
        <v>106</v>
      </c>
      <c r="L744" s="15" t="n">
        <f aca="false">IF(OR(J744="",K744=""),"",MAX(J744-K744,0))</f>
        <v>26</v>
      </c>
      <c r="M744" s="15" t="s">
        <v>99</v>
      </c>
      <c r="N744" s="17" t="n">
        <v>2003</v>
      </c>
      <c r="O744" s="15" t="n">
        <f aca="false">IF(N744="","",Scoring!$B$4-N744)</f>
        <v>23</v>
      </c>
      <c r="P744" s="15" t="n">
        <f aca="false">IF(N744="","",N744+14)</f>
        <v>2017</v>
      </c>
      <c r="Q744" s="15" t="n">
        <f aca="false">IF(N744="","",IF(N744&lt;Scoring!$B$12,"n/a (pre-1990)",N744+Scoring!$B$13))</f>
        <v>2032</v>
      </c>
      <c r="R744" s="15" t="str">
        <f aca="false">IF(J744="","Unknown",IF(J744&gt;=5,"Yes","No (under 5 units)"))</f>
        <v>Yes</v>
      </c>
      <c r="S744" s="15" t="s">
        <v>2572</v>
      </c>
      <c r="T744" s="18" t="s">
        <v>2573</v>
      </c>
      <c r="U744" s="19"/>
      <c r="V744" s="18"/>
      <c r="W744" s="18"/>
      <c r="X744" s="20"/>
      <c r="Y744" s="18"/>
      <c r="Z744" s="18"/>
      <c r="AA744" s="21" t="n">
        <f aca="false">IF(U744&lt;&gt;"",(U744-Scoring!$B$3)/365.25,IF(N744="","",IF(N744&lt;Scoring!$B$12,"",(DATE(N744+Scoring!$B$13,12,31)-Scoring!$B$3)/365.25)))</f>
        <v>6.24777549623546</v>
      </c>
      <c r="AB744" s="22" t="n">
        <f aca="false">IF(T744="Y",0,IF(OR(D744="Expired (verified)",D744="Expiring: notice window (verified)",D744="Expiring: 10-yr horizon (verified)",D744="Past 30-yr mark (verify)",D744="30-yr mark: notice window (est.)",D744="Year-15 window"),1,0)+IF(ISNUMBER(O744),IF(O744&gt;=Scoring!$B$10,1,0),0)+IF(AND(ISNUMBER(L744),ISNUMBER(J744)),IF(J744&gt;0,IF(L744/J744&gt;=Scoring!$B$11,1,0),0),0)+IF(ISNUMBER(Z744),MIN(Z744,3),0))</f>
        <v>0</v>
      </c>
      <c r="AC744" s="22" t="n">
        <f aca="false">IF(AB744&gt;=3,Scoring!$C$24,IF(AB744=2,Scoring!$C$23,IF(AB744=1,Scoring!$C$22,0)))</f>
        <v>0</v>
      </c>
      <c r="AD744" s="22" t="n">
        <f aca="false">IF(T744="Y",0,IF(ISNUMBER(X744),IF(X744&gt;0.7,Scoring!$C$25,IF(X744&gt;=0.5,Scoring!$C$26,IF(X744&gt;=0.3,Scoring!$C$27,Scoring!$C$28))),Scoring!$C$29))</f>
        <v>0</v>
      </c>
      <c r="AE744" s="22" t="n">
        <f aca="false">IF(D744="Expiring: notice window (verified)",Scoring!$C$30,IF(OR(D744="Expired (verified)",D744="30-yr mark: notice window (est.)",D744="Year-15 window"),Scoring!$C$31,IF(D744="Expiring: 10-yr horizon (verified)",Scoring!$C$32,IF(D744="Past 30-yr mark (verify)",Scoring!$C$33,IF(OR(D744="Credit period",D744="Superseded record"),Scoring!$C$35,Scoring!$C$34)))))</f>
        <v>0</v>
      </c>
      <c r="AF744" s="22" t="n">
        <f aca="false">IF(T744="Y",0,IF(ISNUMBER(V744),IF(Scoring!$B$4-V744&gt;15,Scoring!$C$36,IF(Scoring!$B$4-V744&gt;=10,Scoring!$C$37,IF(Scoring!$B$4-V744&gt;=5,Scoring!$C$38,Scoring!$C$39))),IF(OR(N744="",D744="Out of program"),Scoring!$C$40,IF(O744&gt;15,Scoring!$C$36,IF(O744&gt;=10,Scoring!$C$37,IF(O744&gt;=5,Scoring!$C$38,Scoring!$C$39))))))</f>
        <v>0</v>
      </c>
      <c r="AG744" s="22" t="n">
        <f aca="false">IF(T744="Y",0,IF(Y744="Y",Scoring!$C$41,IF(ISNUMBER(O744),IF(O744&gt;=25,Scoring!$C$42,IF(O744&gt;=15,Scoring!$C$43,Scoring!$C$44)),Scoring!$C$44)))</f>
        <v>0</v>
      </c>
      <c r="AH744" s="22" t="n">
        <f aca="false">IF(T744="Y",0,IF(W744="",Scoring!$C$49,IFERROR(VLOOKUP(W744,Scoring!$B$45:$C$48,2,FALSE()),Scoring!$C$49)))</f>
        <v>0</v>
      </c>
      <c r="AI744" s="23" t="n">
        <f aca="false">C744+IF(ISNUMBER(J744),J744,0)/100000+(10000-ROW())/1000000000</f>
        <v>0.001329256</v>
      </c>
      <c r="AJ744" s="18"/>
      <c r="AK744" s="18"/>
      <c r="AL744" s="18"/>
      <c r="AM744" s="18"/>
    </row>
    <row r="745" customFormat="false" ht="15" hidden="false" customHeight="false" outlineLevel="0" collapsed="false">
      <c r="A745" s="15" t="n">
        <f aca="false">RANK(AI745,$AI$2:$AI$755)</f>
        <v>744</v>
      </c>
      <c r="B745" s="16" t="str">
        <f aca="false">IF(T745="Y","Superseded",IF(C745&gt;=Scoring!$B$16,"Immediate",IF(C745&gt;=Scoring!$B$17,"This week",IF(C745&gt;=Scoring!$B$18,"Nurture","Low"))))</f>
        <v>Superseded</v>
      </c>
      <c r="C745" s="3" t="n">
        <f aca="false">SUM(AC745:AH745)</f>
        <v>0</v>
      </c>
      <c r="D745" s="15" t="str">
        <f aca="false">IF(T745="Y","Superseded record",IF(AND(U745&lt;&gt;"",AA745&lt;0),"Expired (verified)",IF(AND(U745&lt;&gt;"",AA745&lt;=Scoring!$B$5),"Expiring: notice window (verified)",IF(AND(U745&lt;&gt;"",AA745&lt;=Scoring!$B$6),"Expiring: 10-yr horizon (verified)",IF(M745="No Longer Monitored","Out of program",IF(N745="","Unknown vintage",IF(N745&lt;Scoring!$B$12,"Pre-1990, still listed",IF(AND(U745="",AA745&lt;0),"Past 30-yr mark (verify)",IF(AND(U745="",AA745&lt;=Scoring!$B$5),"30-yr mark: notice window (est.)",IF(AND(O745&gt;=Scoring!$B$7,O745&lt;=Scoring!$B$8),"Year-15 window",IF(O745&gt;=Scoring!$B$9,"Recap window",IF(O745&gt;=11,"Late compliance","Credit period"))))))))))))</f>
        <v>Superseded record</v>
      </c>
      <c r="E745" s="15" t="s">
        <v>2574</v>
      </c>
      <c r="F745" s="15" t="s">
        <v>2575</v>
      </c>
      <c r="G745" s="15" t="s">
        <v>2576</v>
      </c>
      <c r="H745" s="15" t="s">
        <v>107</v>
      </c>
      <c r="I745" s="15" t="s">
        <v>108</v>
      </c>
      <c r="J745" s="15" t="n">
        <v>108</v>
      </c>
      <c r="K745" s="15" t="n">
        <v>108</v>
      </c>
      <c r="L745" s="15" t="n">
        <f aca="false">IF(OR(J745="",K745=""),"",MAX(J745-K745,0))</f>
        <v>0</v>
      </c>
      <c r="M745" s="15" t="s">
        <v>99</v>
      </c>
      <c r="N745" s="17" t="n">
        <v>2014</v>
      </c>
      <c r="O745" s="15" t="n">
        <f aca="false">IF(N745="","",Scoring!$B$4-N745)</f>
        <v>12</v>
      </c>
      <c r="P745" s="15" t="n">
        <f aca="false">IF(N745="","",N745+14)</f>
        <v>2028</v>
      </c>
      <c r="Q745" s="15" t="n">
        <f aca="false">IF(N745="","",IF(N745&lt;Scoring!$B$12,"n/a (pre-1990)",N745+Scoring!$B$13))</f>
        <v>2043</v>
      </c>
      <c r="R745" s="15" t="str">
        <f aca="false">IF(J745="","Unknown",IF(J745&gt;=5,"Yes","No (under 5 units)"))</f>
        <v>Yes</v>
      </c>
      <c r="S745" s="15" t="s">
        <v>2577</v>
      </c>
      <c r="T745" s="18" t="s">
        <v>2573</v>
      </c>
      <c r="U745" s="19"/>
      <c r="V745" s="18"/>
      <c r="W745" s="18"/>
      <c r="X745" s="20"/>
      <c r="Y745" s="18"/>
      <c r="Z745" s="18"/>
      <c r="AA745" s="21" t="n">
        <f aca="false">IF(U745&lt;&gt;"",(U745-Scoring!$B$3)/365.25,IF(N745="","",IF(N745&lt;Scoring!$B$12,"",(DATE(N745+Scoring!$B$13,12,31)-Scoring!$B$3)/365.25)))</f>
        <v>17.2457221081451</v>
      </c>
      <c r="AB745" s="22" t="n">
        <f aca="false">IF(T745="Y",0,IF(OR(D745="Expired (verified)",D745="Expiring: notice window (verified)",D745="Expiring: 10-yr horizon (verified)",D745="Past 30-yr mark (verify)",D745="30-yr mark: notice window (est.)",D745="Year-15 window"),1,0)+IF(ISNUMBER(O745),IF(O745&gt;=Scoring!$B$10,1,0),0)+IF(AND(ISNUMBER(L745),ISNUMBER(J745)),IF(J745&gt;0,IF(L745/J745&gt;=Scoring!$B$11,1,0),0),0)+IF(ISNUMBER(Z745),MIN(Z745,3),0))</f>
        <v>0</v>
      </c>
      <c r="AC745" s="22" t="n">
        <f aca="false">IF(AB745&gt;=3,Scoring!$C$24,IF(AB745=2,Scoring!$C$23,IF(AB745=1,Scoring!$C$22,0)))</f>
        <v>0</v>
      </c>
      <c r="AD745" s="22" t="n">
        <f aca="false">IF(T745="Y",0,IF(ISNUMBER(X745),IF(X745&gt;0.7,Scoring!$C$25,IF(X745&gt;=0.5,Scoring!$C$26,IF(X745&gt;=0.3,Scoring!$C$27,Scoring!$C$28))),Scoring!$C$29))</f>
        <v>0</v>
      </c>
      <c r="AE745" s="22" t="n">
        <f aca="false">IF(D745="Expiring: notice window (verified)",Scoring!$C$30,IF(OR(D745="Expired (verified)",D745="30-yr mark: notice window (est.)",D745="Year-15 window"),Scoring!$C$31,IF(D745="Expiring: 10-yr horizon (verified)",Scoring!$C$32,IF(D745="Past 30-yr mark (verify)",Scoring!$C$33,IF(OR(D745="Credit period",D745="Superseded record"),Scoring!$C$35,Scoring!$C$34)))))</f>
        <v>0</v>
      </c>
      <c r="AF745" s="22" t="n">
        <f aca="false">IF(T745="Y",0,IF(ISNUMBER(V745),IF(Scoring!$B$4-V745&gt;15,Scoring!$C$36,IF(Scoring!$B$4-V745&gt;=10,Scoring!$C$37,IF(Scoring!$B$4-V745&gt;=5,Scoring!$C$38,Scoring!$C$39))),IF(OR(N745="",D745="Out of program"),Scoring!$C$40,IF(O745&gt;15,Scoring!$C$36,IF(O745&gt;=10,Scoring!$C$37,IF(O745&gt;=5,Scoring!$C$38,Scoring!$C$39))))))</f>
        <v>0</v>
      </c>
      <c r="AG745" s="22" t="n">
        <f aca="false">IF(T745="Y",0,IF(Y745="Y",Scoring!$C$41,IF(ISNUMBER(O745),IF(O745&gt;=25,Scoring!$C$42,IF(O745&gt;=15,Scoring!$C$43,Scoring!$C$44)),Scoring!$C$44)))</f>
        <v>0</v>
      </c>
      <c r="AH745" s="22" t="n">
        <f aca="false">IF(T745="Y",0,IF(W745="",Scoring!$C$49,IFERROR(VLOOKUP(W745,Scoring!$B$45:$C$48,2,FALSE()),Scoring!$C$49)))</f>
        <v>0</v>
      </c>
      <c r="AI745" s="23" t="n">
        <f aca="false">C745+IF(ISNUMBER(J745),J745,0)/100000+(10000-ROW())/1000000000</f>
        <v>0.001089255</v>
      </c>
      <c r="AJ745" s="18"/>
      <c r="AK745" s="18"/>
      <c r="AL745" s="18"/>
      <c r="AM745" s="18"/>
    </row>
    <row r="746" customFormat="false" ht="15" hidden="false" customHeight="false" outlineLevel="0" collapsed="false">
      <c r="A746" s="15" t="n">
        <f aca="false">RANK(AI746,$AI$2:$AI$755)</f>
        <v>745</v>
      </c>
      <c r="B746" s="16" t="str">
        <f aca="false">IF(T746="Y","Superseded",IF(C746&gt;=Scoring!$B$16,"Immediate",IF(C746&gt;=Scoring!$B$17,"This week",IF(C746&gt;=Scoring!$B$18,"Nurture","Low"))))</f>
        <v>Superseded</v>
      </c>
      <c r="C746" s="3" t="n">
        <f aca="false">SUM(AC746:AH746)</f>
        <v>0</v>
      </c>
      <c r="D746" s="15" t="str">
        <f aca="false">IF(T746="Y","Superseded record",IF(AND(U746&lt;&gt;"",AA746&lt;0),"Expired (verified)",IF(AND(U746&lt;&gt;"",AA746&lt;=Scoring!$B$5),"Expiring: notice window (verified)",IF(AND(U746&lt;&gt;"",AA746&lt;=Scoring!$B$6),"Expiring: 10-yr horizon (verified)",IF(M746="No Longer Monitored","Out of program",IF(N746="","Unknown vintage",IF(N746&lt;Scoring!$B$12,"Pre-1990, still listed",IF(AND(U746="",AA746&lt;0),"Past 30-yr mark (verify)",IF(AND(U746="",AA746&lt;=Scoring!$B$5),"30-yr mark: notice window (est.)",IF(AND(O746&gt;=Scoring!$B$7,O746&lt;=Scoring!$B$8),"Year-15 window",IF(O746&gt;=Scoring!$B$9,"Recap window",IF(O746&gt;=11,"Late compliance","Credit period"))))))))))))</f>
        <v>Superseded record</v>
      </c>
      <c r="E746" s="15" t="s">
        <v>2578</v>
      </c>
      <c r="F746" s="15" t="s">
        <v>2579</v>
      </c>
      <c r="G746" s="15" t="s">
        <v>2398</v>
      </c>
      <c r="H746" s="15" t="s">
        <v>97</v>
      </c>
      <c r="I746" s="15" t="s">
        <v>112</v>
      </c>
      <c r="J746" s="15" t="n">
        <v>90</v>
      </c>
      <c r="K746" s="15" t="n">
        <v>89</v>
      </c>
      <c r="L746" s="15" t="n">
        <f aca="false">IF(OR(J746="",K746=""),"",MAX(J746-K746,0))</f>
        <v>1</v>
      </c>
      <c r="M746" s="15" t="s">
        <v>1757</v>
      </c>
      <c r="N746" s="17" t="n">
        <v>2000</v>
      </c>
      <c r="O746" s="15" t="n">
        <f aca="false">IF(N746="","",Scoring!$B$4-N746)</f>
        <v>26</v>
      </c>
      <c r="P746" s="15" t="n">
        <f aca="false">IF(N746="","",N746+14)</f>
        <v>2014</v>
      </c>
      <c r="Q746" s="15" t="n">
        <f aca="false">IF(N746="","",IF(N746&lt;Scoring!$B$12,"n/a (pre-1990)",N746+Scoring!$B$13))</f>
        <v>2029</v>
      </c>
      <c r="R746" s="15" t="str">
        <f aca="false">IF(J746="","Unknown",IF(J746&gt;=5,"Yes","No (under 5 units)"))</f>
        <v>Yes</v>
      </c>
      <c r="S746" s="15" t="s">
        <v>2580</v>
      </c>
      <c r="T746" s="18" t="s">
        <v>2573</v>
      </c>
      <c r="U746" s="19"/>
      <c r="V746" s="18"/>
      <c r="W746" s="18"/>
      <c r="X746" s="20"/>
      <c r="Y746" s="18"/>
      <c r="Z746" s="18"/>
      <c r="AA746" s="21" t="n">
        <f aca="false">IF(U746&lt;&gt;"",(U746-Scoring!$B$3)/365.25,IF(N746="","",IF(N746&lt;Scoring!$B$12,"",(DATE(N746+Scoring!$B$13,12,31)-Scoring!$B$3)/365.25)))</f>
        <v>3.24709103353867</v>
      </c>
      <c r="AB746" s="22" t="n">
        <f aca="false">IF(T746="Y",0,IF(OR(D746="Expired (verified)",D746="Expiring: notice window (verified)",D746="Expiring: 10-yr horizon (verified)",D746="Past 30-yr mark (verify)",D746="30-yr mark: notice window (est.)",D746="Year-15 window"),1,0)+IF(ISNUMBER(O746),IF(O746&gt;=Scoring!$B$10,1,0),0)+IF(AND(ISNUMBER(L746),ISNUMBER(J746)),IF(J746&gt;0,IF(L746/J746&gt;=Scoring!$B$11,1,0),0),0)+IF(ISNUMBER(Z746),MIN(Z746,3),0))</f>
        <v>0</v>
      </c>
      <c r="AC746" s="22" t="n">
        <f aca="false">IF(AB746&gt;=3,Scoring!$C$24,IF(AB746=2,Scoring!$C$23,IF(AB746=1,Scoring!$C$22,0)))</f>
        <v>0</v>
      </c>
      <c r="AD746" s="22" t="n">
        <f aca="false">IF(T746="Y",0,IF(ISNUMBER(X746),IF(X746&gt;0.7,Scoring!$C$25,IF(X746&gt;=0.5,Scoring!$C$26,IF(X746&gt;=0.3,Scoring!$C$27,Scoring!$C$28))),Scoring!$C$29))</f>
        <v>0</v>
      </c>
      <c r="AE746" s="22" t="n">
        <f aca="false">IF(D746="Expiring: notice window (verified)",Scoring!$C$30,IF(OR(D746="Expired (verified)",D746="30-yr mark: notice window (est.)",D746="Year-15 window"),Scoring!$C$31,IF(D746="Expiring: 10-yr horizon (verified)",Scoring!$C$32,IF(D746="Past 30-yr mark (verify)",Scoring!$C$33,IF(OR(D746="Credit period",D746="Superseded record"),Scoring!$C$35,Scoring!$C$34)))))</f>
        <v>0</v>
      </c>
      <c r="AF746" s="22" t="n">
        <f aca="false">IF(T746="Y",0,IF(ISNUMBER(V746),IF(Scoring!$B$4-V746&gt;15,Scoring!$C$36,IF(Scoring!$B$4-V746&gt;=10,Scoring!$C$37,IF(Scoring!$B$4-V746&gt;=5,Scoring!$C$38,Scoring!$C$39))),IF(OR(N746="",D746="Out of program"),Scoring!$C$40,IF(O746&gt;15,Scoring!$C$36,IF(O746&gt;=10,Scoring!$C$37,IF(O746&gt;=5,Scoring!$C$38,Scoring!$C$39))))))</f>
        <v>0</v>
      </c>
      <c r="AG746" s="22" t="n">
        <f aca="false">IF(T746="Y",0,IF(Y746="Y",Scoring!$C$41,IF(ISNUMBER(O746),IF(O746&gt;=25,Scoring!$C$42,IF(O746&gt;=15,Scoring!$C$43,Scoring!$C$44)),Scoring!$C$44)))</f>
        <v>0</v>
      </c>
      <c r="AH746" s="22" t="n">
        <f aca="false">IF(T746="Y",0,IF(W746="",Scoring!$C$49,IFERROR(VLOOKUP(W746,Scoring!$B$45:$C$48,2,FALSE()),Scoring!$C$49)))</f>
        <v>0</v>
      </c>
      <c r="AI746" s="23" t="n">
        <f aca="false">C746+IF(ISNUMBER(J746),J746,0)/100000+(10000-ROW())/1000000000</f>
        <v>0.000909254</v>
      </c>
      <c r="AJ746" s="18"/>
      <c r="AK746" s="18"/>
      <c r="AL746" s="18"/>
      <c r="AM746" s="18"/>
    </row>
    <row r="747" customFormat="false" ht="15" hidden="false" customHeight="false" outlineLevel="0" collapsed="false">
      <c r="A747" s="15" t="n">
        <f aca="false">RANK(AI747,$AI$2:$AI$755)</f>
        <v>746</v>
      </c>
      <c r="B747" s="16" t="str">
        <f aca="false">IF(T747="Y","Superseded",IF(C747&gt;=Scoring!$B$16,"Immediate",IF(C747&gt;=Scoring!$B$17,"This week",IF(C747&gt;=Scoring!$B$18,"Nurture","Low"))))</f>
        <v>Superseded</v>
      </c>
      <c r="C747" s="3" t="n">
        <f aca="false">SUM(AC747:AH747)</f>
        <v>0</v>
      </c>
      <c r="D747" s="15" t="str">
        <f aca="false">IF(T747="Y","Superseded record",IF(AND(U747&lt;&gt;"",AA747&lt;0),"Expired (verified)",IF(AND(U747&lt;&gt;"",AA747&lt;=Scoring!$B$5),"Expiring: notice window (verified)",IF(AND(U747&lt;&gt;"",AA747&lt;=Scoring!$B$6),"Expiring: 10-yr horizon (verified)",IF(M747="No Longer Monitored","Out of program",IF(N747="","Unknown vintage",IF(N747&lt;Scoring!$B$12,"Pre-1990, still listed",IF(AND(U747="",AA747&lt;0),"Past 30-yr mark (verify)",IF(AND(U747="",AA747&lt;=Scoring!$B$5),"30-yr mark: notice window (est.)",IF(AND(O747&gt;=Scoring!$B$7,O747&lt;=Scoring!$B$8),"Year-15 window",IF(O747&gt;=Scoring!$B$9,"Recap window",IF(O747&gt;=11,"Late compliance","Credit period"))))))))))))</f>
        <v>Superseded record</v>
      </c>
      <c r="E747" s="15" t="s">
        <v>2581</v>
      </c>
      <c r="F747" s="15" t="s">
        <v>2582</v>
      </c>
      <c r="G747" s="15" t="s">
        <v>2228</v>
      </c>
      <c r="H747" s="15" t="s">
        <v>185</v>
      </c>
      <c r="I747" s="15" t="s">
        <v>1488</v>
      </c>
      <c r="J747" s="15" t="n">
        <v>70</v>
      </c>
      <c r="K747" s="15" t="n">
        <v>70</v>
      </c>
      <c r="L747" s="15" t="n">
        <f aca="false">IF(OR(J747="",K747=""),"",MAX(J747-K747,0))</f>
        <v>0</v>
      </c>
      <c r="M747" s="15" t="s">
        <v>1757</v>
      </c>
      <c r="N747" s="17" t="n">
        <v>1995</v>
      </c>
      <c r="O747" s="15" t="n">
        <f aca="false">IF(N747="","",Scoring!$B$4-N747)</f>
        <v>31</v>
      </c>
      <c r="P747" s="15" t="n">
        <f aca="false">IF(N747="","",N747+14)</f>
        <v>2009</v>
      </c>
      <c r="Q747" s="15" t="n">
        <f aca="false">IF(N747="","",IF(N747&lt;Scoring!$B$12,"n/a (pre-1990)",N747+Scoring!$B$13))</f>
        <v>2024</v>
      </c>
      <c r="R747" s="15" t="str">
        <f aca="false">IF(J747="","Unknown",IF(J747&gt;=5,"Yes","No (under 5 units)"))</f>
        <v>Yes</v>
      </c>
      <c r="S747" s="15" t="s">
        <v>2583</v>
      </c>
      <c r="T747" s="18" t="s">
        <v>2573</v>
      </c>
      <c r="U747" s="19"/>
      <c r="V747" s="18"/>
      <c r="W747" s="18"/>
      <c r="X747" s="20"/>
      <c r="Y747" s="18"/>
      <c r="Z747" s="18"/>
      <c r="AA747" s="21" t="n">
        <f aca="false">IF(U747&lt;&gt;"",(U747-Scoring!$B$3)/365.25,IF(N747="","",IF(N747&lt;Scoring!$B$12,"",(DATE(N747+Scoring!$B$13,12,31)-Scoring!$B$3)/365.25)))</f>
        <v>-1.75222450376454</v>
      </c>
      <c r="AB747" s="22" t="n">
        <f aca="false">IF(T747="Y",0,IF(OR(D747="Expired (verified)",D747="Expiring: notice window (verified)",D747="Expiring: 10-yr horizon (verified)",D747="Past 30-yr mark (verify)",D747="30-yr mark: notice window (est.)",D747="Year-15 window"),1,0)+IF(ISNUMBER(O747),IF(O747&gt;=Scoring!$B$10,1,0),0)+IF(AND(ISNUMBER(L747),ISNUMBER(J747)),IF(J747&gt;0,IF(L747/J747&gt;=Scoring!$B$11,1,0),0),0)+IF(ISNUMBER(Z747),MIN(Z747,3),0))</f>
        <v>0</v>
      </c>
      <c r="AC747" s="22" t="n">
        <f aca="false">IF(AB747&gt;=3,Scoring!$C$24,IF(AB747=2,Scoring!$C$23,IF(AB747=1,Scoring!$C$22,0)))</f>
        <v>0</v>
      </c>
      <c r="AD747" s="22" t="n">
        <f aca="false">IF(T747="Y",0,IF(ISNUMBER(X747),IF(X747&gt;0.7,Scoring!$C$25,IF(X747&gt;=0.5,Scoring!$C$26,IF(X747&gt;=0.3,Scoring!$C$27,Scoring!$C$28))),Scoring!$C$29))</f>
        <v>0</v>
      </c>
      <c r="AE747" s="22" t="n">
        <f aca="false">IF(D747="Expiring: notice window (verified)",Scoring!$C$30,IF(OR(D747="Expired (verified)",D747="30-yr mark: notice window (est.)",D747="Year-15 window"),Scoring!$C$31,IF(D747="Expiring: 10-yr horizon (verified)",Scoring!$C$32,IF(D747="Past 30-yr mark (verify)",Scoring!$C$33,IF(OR(D747="Credit period",D747="Superseded record"),Scoring!$C$35,Scoring!$C$34)))))</f>
        <v>0</v>
      </c>
      <c r="AF747" s="22" t="n">
        <f aca="false">IF(T747="Y",0,IF(ISNUMBER(V747),IF(Scoring!$B$4-V747&gt;15,Scoring!$C$36,IF(Scoring!$B$4-V747&gt;=10,Scoring!$C$37,IF(Scoring!$B$4-V747&gt;=5,Scoring!$C$38,Scoring!$C$39))),IF(OR(N747="",D747="Out of program"),Scoring!$C$40,IF(O747&gt;15,Scoring!$C$36,IF(O747&gt;=10,Scoring!$C$37,IF(O747&gt;=5,Scoring!$C$38,Scoring!$C$39))))))</f>
        <v>0</v>
      </c>
      <c r="AG747" s="22" t="n">
        <f aca="false">IF(T747="Y",0,IF(Y747="Y",Scoring!$C$41,IF(ISNUMBER(O747),IF(O747&gt;=25,Scoring!$C$42,IF(O747&gt;=15,Scoring!$C$43,Scoring!$C$44)),Scoring!$C$44)))</f>
        <v>0</v>
      </c>
      <c r="AH747" s="22" t="n">
        <f aca="false">IF(T747="Y",0,IF(W747="",Scoring!$C$49,IFERROR(VLOOKUP(W747,Scoring!$B$45:$C$48,2,FALSE()),Scoring!$C$49)))</f>
        <v>0</v>
      </c>
      <c r="AI747" s="23" t="n">
        <f aca="false">C747+IF(ISNUMBER(J747),J747,0)/100000+(10000-ROW())/1000000000</f>
        <v>0.000709253</v>
      </c>
      <c r="AJ747" s="18"/>
      <c r="AK747" s="18"/>
      <c r="AL747" s="18"/>
      <c r="AM747" s="18"/>
    </row>
    <row r="748" customFormat="false" ht="15" hidden="false" customHeight="false" outlineLevel="0" collapsed="false">
      <c r="A748" s="15" t="n">
        <f aca="false">RANK(AI748,$AI$2:$AI$755)</f>
        <v>747</v>
      </c>
      <c r="B748" s="16" t="str">
        <f aca="false">IF(T748="Y","Superseded",IF(C748&gt;=Scoring!$B$16,"Immediate",IF(C748&gt;=Scoring!$B$17,"This week",IF(C748&gt;=Scoring!$B$18,"Nurture","Low"))))</f>
        <v>Superseded</v>
      </c>
      <c r="C748" s="3" t="n">
        <f aca="false">SUM(AC748:AH748)</f>
        <v>0</v>
      </c>
      <c r="D748" s="15" t="str">
        <f aca="false">IF(T748="Y","Superseded record",IF(AND(U748&lt;&gt;"",AA748&lt;0),"Expired (verified)",IF(AND(U748&lt;&gt;"",AA748&lt;=Scoring!$B$5),"Expiring: notice window (verified)",IF(AND(U748&lt;&gt;"",AA748&lt;=Scoring!$B$6),"Expiring: 10-yr horizon (verified)",IF(M748="No Longer Monitored","Out of program",IF(N748="","Unknown vintage",IF(N748&lt;Scoring!$B$12,"Pre-1990, still listed",IF(AND(U748="",AA748&lt;0),"Past 30-yr mark (verify)",IF(AND(U748="",AA748&lt;=Scoring!$B$5),"30-yr mark: notice window (est.)",IF(AND(O748&gt;=Scoring!$B$7,O748&lt;=Scoring!$B$8),"Year-15 window",IF(O748&gt;=Scoring!$B$9,"Recap window",IF(O748&gt;=11,"Late compliance","Credit period"))))))))))))</f>
        <v>Superseded record</v>
      </c>
      <c r="E748" s="15" t="s">
        <v>2584</v>
      </c>
      <c r="F748" s="15" t="s">
        <v>2585</v>
      </c>
      <c r="G748" s="15" t="s">
        <v>2232</v>
      </c>
      <c r="H748" s="15" t="s">
        <v>185</v>
      </c>
      <c r="I748" s="15" t="s">
        <v>186</v>
      </c>
      <c r="J748" s="15" t="n">
        <v>70</v>
      </c>
      <c r="K748" s="15" t="n">
        <v>70</v>
      </c>
      <c r="L748" s="15" t="n">
        <f aca="false">IF(OR(J748="",K748=""),"",MAX(J748-K748,0))</f>
        <v>0</v>
      </c>
      <c r="M748" s="15" t="s">
        <v>1757</v>
      </c>
      <c r="N748" s="17" t="n">
        <v>1995</v>
      </c>
      <c r="O748" s="15" t="n">
        <f aca="false">IF(N748="","",Scoring!$B$4-N748)</f>
        <v>31</v>
      </c>
      <c r="P748" s="15" t="n">
        <f aca="false">IF(N748="","",N748+14)</f>
        <v>2009</v>
      </c>
      <c r="Q748" s="15" t="n">
        <f aca="false">IF(N748="","",IF(N748&lt;Scoring!$B$12,"n/a (pre-1990)",N748+Scoring!$B$13))</f>
        <v>2024</v>
      </c>
      <c r="R748" s="15" t="str">
        <f aca="false">IF(J748="","Unknown",IF(J748&gt;=5,"Yes","No (under 5 units)"))</f>
        <v>Yes</v>
      </c>
      <c r="S748" s="15" t="s">
        <v>2586</v>
      </c>
      <c r="T748" s="18" t="s">
        <v>2573</v>
      </c>
      <c r="U748" s="19"/>
      <c r="V748" s="18"/>
      <c r="W748" s="18"/>
      <c r="X748" s="20"/>
      <c r="Y748" s="18"/>
      <c r="Z748" s="18"/>
      <c r="AA748" s="21" t="n">
        <f aca="false">IF(U748&lt;&gt;"",(U748-Scoring!$B$3)/365.25,IF(N748="","",IF(N748&lt;Scoring!$B$12,"",(DATE(N748+Scoring!$B$13,12,31)-Scoring!$B$3)/365.25)))</f>
        <v>-1.75222450376454</v>
      </c>
      <c r="AB748" s="22" t="n">
        <f aca="false">IF(T748="Y",0,IF(OR(D748="Expired (verified)",D748="Expiring: notice window (verified)",D748="Expiring: 10-yr horizon (verified)",D748="Past 30-yr mark (verify)",D748="30-yr mark: notice window (est.)",D748="Year-15 window"),1,0)+IF(ISNUMBER(O748),IF(O748&gt;=Scoring!$B$10,1,0),0)+IF(AND(ISNUMBER(L748),ISNUMBER(J748)),IF(J748&gt;0,IF(L748/J748&gt;=Scoring!$B$11,1,0),0),0)+IF(ISNUMBER(Z748),MIN(Z748,3),0))</f>
        <v>0</v>
      </c>
      <c r="AC748" s="22" t="n">
        <f aca="false">IF(AB748&gt;=3,Scoring!$C$24,IF(AB748=2,Scoring!$C$23,IF(AB748=1,Scoring!$C$22,0)))</f>
        <v>0</v>
      </c>
      <c r="AD748" s="22" t="n">
        <f aca="false">IF(T748="Y",0,IF(ISNUMBER(X748),IF(X748&gt;0.7,Scoring!$C$25,IF(X748&gt;=0.5,Scoring!$C$26,IF(X748&gt;=0.3,Scoring!$C$27,Scoring!$C$28))),Scoring!$C$29))</f>
        <v>0</v>
      </c>
      <c r="AE748" s="22" t="n">
        <f aca="false">IF(D748="Expiring: notice window (verified)",Scoring!$C$30,IF(OR(D748="Expired (verified)",D748="30-yr mark: notice window (est.)",D748="Year-15 window"),Scoring!$C$31,IF(D748="Expiring: 10-yr horizon (verified)",Scoring!$C$32,IF(D748="Past 30-yr mark (verify)",Scoring!$C$33,IF(OR(D748="Credit period",D748="Superseded record"),Scoring!$C$35,Scoring!$C$34)))))</f>
        <v>0</v>
      </c>
      <c r="AF748" s="22" t="n">
        <f aca="false">IF(T748="Y",0,IF(ISNUMBER(V748),IF(Scoring!$B$4-V748&gt;15,Scoring!$C$36,IF(Scoring!$B$4-V748&gt;=10,Scoring!$C$37,IF(Scoring!$B$4-V748&gt;=5,Scoring!$C$38,Scoring!$C$39))),IF(OR(N748="",D748="Out of program"),Scoring!$C$40,IF(O748&gt;15,Scoring!$C$36,IF(O748&gt;=10,Scoring!$C$37,IF(O748&gt;=5,Scoring!$C$38,Scoring!$C$39))))))</f>
        <v>0</v>
      </c>
      <c r="AG748" s="22" t="n">
        <f aca="false">IF(T748="Y",0,IF(Y748="Y",Scoring!$C$41,IF(ISNUMBER(O748),IF(O748&gt;=25,Scoring!$C$42,IF(O748&gt;=15,Scoring!$C$43,Scoring!$C$44)),Scoring!$C$44)))</f>
        <v>0</v>
      </c>
      <c r="AH748" s="22" t="n">
        <f aca="false">IF(T748="Y",0,IF(W748="",Scoring!$C$49,IFERROR(VLOOKUP(W748,Scoring!$B$45:$C$48,2,FALSE()),Scoring!$C$49)))</f>
        <v>0</v>
      </c>
      <c r="AI748" s="23" t="n">
        <f aca="false">C748+IF(ISNUMBER(J748),J748,0)/100000+(10000-ROW())/1000000000</f>
        <v>0.000709252</v>
      </c>
      <c r="AJ748" s="18"/>
      <c r="AK748" s="18"/>
      <c r="AL748" s="18"/>
      <c r="AM748" s="18"/>
    </row>
    <row r="749" customFormat="false" ht="15" hidden="false" customHeight="false" outlineLevel="0" collapsed="false">
      <c r="A749" s="15" t="n">
        <f aca="false">RANK(AI749,$AI$2:$AI$755)</f>
        <v>748</v>
      </c>
      <c r="B749" s="16" t="str">
        <f aca="false">IF(T749="Y","Superseded",IF(C749&gt;=Scoring!$B$16,"Immediate",IF(C749&gt;=Scoring!$B$17,"This week",IF(C749&gt;=Scoring!$B$18,"Nurture","Low"))))</f>
        <v>Superseded</v>
      </c>
      <c r="C749" s="3" t="n">
        <f aca="false">SUM(AC749:AH749)</f>
        <v>0</v>
      </c>
      <c r="D749" s="15" t="str">
        <f aca="false">IF(T749="Y","Superseded record",IF(AND(U749&lt;&gt;"",AA749&lt;0),"Expired (verified)",IF(AND(U749&lt;&gt;"",AA749&lt;=Scoring!$B$5),"Expiring: notice window (verified)",IF(AND(U749&lt;&gt;"",AA749&lt;=Scoring!$B$6),"Expiring: 10-yr horizon (verified)",IF(M749="No Longer Monitored","Out of program",IF(N749="","Unknown vintage",IF(N749&lt;Scoring!$B$12,"Pre-1990, still listed",IF(AND(U749="",AA749&lt;0),"Past 30-yr mark (verify)",IF(AND(U749="",AA749&lt;=Scoring!$B$5),"30-yr mark: notice window (est.)",IF(AND(O749&gt;=Scoring!$B$7,O749&lt;=Scoring!$B$8),"Year-15 window",IF(O749&gt;=Scoring!$B$9,"Recap window",IF(O749&gt;=11,"Late compliance","Credit period"))))))))))))</f>
        <v>Superseded record</v>
      </c>
      <c r="E749" s="15" t="s">
        <v>2587</v>
      </c>
      <c r="F749" s="15" t="s">
        <v>2588</v>
      </c>
      <c r="G749" s="15" t="s">
        <v>1120</v>
      </c>
      <c r="H749" s="15" t="s">
        <v>120</v>
      </c>
      <c r="I749" s="15" t="s">
        <v>121</v>
      </c>
      <c r="J749" s="15" t="n">
        <v>51</v>
      </c>
      <c r="K749" s="15" t="n">
        <v>51</v>
      </c>
      <c r="L749" s="15" t="n">
        <f aca="false">IF(OR(J749="",K749=""),"",MAX(J749-K749,0))</f>
        <v>0</v>
      </c>
      <c r="M749" s="15" t="s">
        <v>1757</v>
      </c>
      <c r="N749" s="17" t="n">
        <v>1991</v>
      </c>
      <c r="O749" s="15" t="n">
        <f aca="false">IF(N749="","",Scoring!$B$4-N749)</f>
        <v>35</v>
      </c>
      <c r="P749" s="15" t="n">
        <f aca="false">IF(N749="","",N749+14)</f>
        <v>2005</v>
      </c>
      <c r="Q749" s="15" t="n">
        <f aca="false">IF(N749="","",IF(N749&lt;Scoring!$B$12,"n/a (pre-1990)",N749+Scoring!$B$13))</f>
        <v>2020</v>
      </c>
      <c r="R749" s="15" t="str">
        <f aca="false">IF(J749="","Unknown",IF(J749&gt;=5,"Yes","No (under 5 units)"))</f>
        <v>Yes</v>
      </c>
      <c r="S749" s="15" t="s">
        <v>2589</v>
      </c>
      <c r="T749" s="18" t="s">
        <v>2573</v>
      </c>
      <c r="U749" s="19"/>
      <c r="V749" s="18"/>
      <c r="W749" s="18"/>
      <c r="X749" s="20"/>
      <c r="Y749" s="18"/>
      <c r="Z749" s="18"/>
      <c r="AA749" s="21" t="n">
        <f aca="false">IF(U749&lt;&gt;"",(U749-Scoring!$B$3)/365.25,IF(N749="","",IF(N749&lt;Scoring!$B$12,"",(DATE(N749+Scoring!$B$13,12,31)-Scoring!$B$3)/365.25)))</f>
        <v>-5.75222450376455</v>
      </c>
      <c r="AB749" s="22" t="n">
        <f aca="false">IF(T749="Y",0,IF(OR(D749="Expired (verified)",D749="Expiring: notice window (verified)",D749="Expiring: 10-yr horizon (verified)",D749="Past 30-yr mark (verify)",D749="30-yr mark: notice window (est.)",D749="Year-15 window"),1,0)+IF(ISNUMBER(O749),IF(O749&gt;=Scoring!$B$10,1,0),0)+IF(AND(ISNUMBER(L749),ISNUMBER(J749)),IF(J749&gt;0,IF(L749/J749&gt;=Scoring!$B$11,1,0),0),0)+IF(ISNUMBER(Z749),MIN(Z749,3),0))</f>
        <v>0</v>
      </c>
      <c r="AC749" s="22" t="n">
        <f aca="false">IF(AB749&gt;=3,Scoring!$C$24,IF(AB749=2,Scoring!$C$23,IF(AB749=1,Scoring!$C$22,0)))</f>
        <v>0</v>
      </c>
      <c r="AD749" s="22" t="n">
        <f aca="false">IF(T749="Y",0,IF(ISNUMBER(X749),IF(X749&gt;0.7,Scoring!$C$25,IF(X749&gt;=0.5,Scoring!$C$26,IF(X749&gt;=0.3,Scoring!$C$27,Scoring!$C$28))),Scoring!$C$29))</f>
        <v>0</v>
      </c>
      <c r="AE749" s="22" t="n">
        <f aca="false">IF(D749="Expiring: notice window (verified)",Scoring!$C$30,IF(OR(D749="Expired (verified)",D749="30-yr mark: notice window (est.)",D749="Year-15 window"),Scoring!$C$31,IF(D749="Expiring: 10-yr horizon (verified)",Scoring!$C$32,IF(D749="Past 30-yr mark (verify)",Scoring!$C$33,IF(OR(D749="Credit period",D749="Superseded record"),Scoring!$C$35,Scoring!$C$34)))))</f>
        <v>0</v>
      </c>
      <c r="AF749" s="22" t="n">
        <f aca="false">IF(T749="Y",0,IF(ISNUMBER(V749),IF(Scoring!$B$4-V749&gt;15,Scoring!$C$36,IF(Scoring!$B$4-V749&gt;=10,Scoring!$C$37,IF(Scoring!$B$4-V749&gt;=5,Scoring!$C$38,Scoring!$C$39))),IF(OR(N749="",D749="Out of program"),Scoring!$C$40,IF(O749&gt;15,Scoring!$C$36,IF(O749&gt;=10,Scoring!$C$37,IF(O749&gt;=5,Scoring!$C$38,Scoring!$C$39))))))</f>
        <v>0</v>
      </c>
      <c r="AG749" s="22" t="n">
        <f aca="false">IF(T749="Y",0,IF(Y749="Y",Scoring!$C$41,IF(ISNUMBER(O749),IF(O749&gt;=25,Scoring!$C$42,IF(O749&gt;=15,Scoring!$C$43,Scoring!$C$44)),Scoring!$C$44)))</f>
        <v>0</v>
      </c>
      <c r="AH749" s="22" t="n">
        <f aca="false">IF(T749="Y",0,IF(W749="",Scoring!$C$49,IFERROR(VLOOKUP(W749,Scoring!$B$45:$C$48,2,FALSE()),Scoring!$C$49)))</f>
        <v>0</v>
      </c>
      <c r="AI749" s="23" t="n">
        <f aca="false">C749+IF(ISNUMBER(J749),J749,0)/100000+(10000-ROW())/1000000000</f>
        <v>0.000519251</v>
      </c>
      <c r="AJ749" s="18"/>
      <c r="AK749" s="18"/>
      <c r="AL749" s="18"/>
      <c r="AM749" s="18"/>
    </row>
    <row r="750" customFormat="false" ht="15" hidden="false" customHeight="false" outlineLevel="0" collapsed="false">
      <c r="A750" s="15" t="n">
        <f aca="false">RANK(AI750,$AI$2:$AI$755)</f>
        <v>749</v>
      </c>
      <c r="B750" s="16" t="str">
        <f aca="false">IF(T750="Y","Superseded",IF(C750&gt;=Scoring!$B$16,"Immediate",IF(C750&gt;=Scoring!$B$17,"This week",IF(C750&gt;=Scoring!$B$18,"Nurture","Low"))))</f>
        <v>Superseded</v>
      </c>
      <c r="C750" s="3" t="n">
        <f aca="false">SUM(AC750:AH750)</f>
        <v>0</v>
      </c>
      <c r="D750" s="15" t="str">
        <f aca="false">IF(T750="Y","Superseded record",IF(AND(U750&lt;&gt;"",AA750&lt;0),"Expired (verified)",IF(AND(U750&lt;&gt;"",AA750&lt;=Scoring!$B$5),"Expiring: notice window (verified)",IF(AND(U750&lt;&gt;"",AA750&lt;=Scoring!$B$6),"Expiring: 10-yr horizon (verified)",IF(M750="No Longer Monitored","Out of program",IF(N750="","Unknown vintage",IF(N750&lt;Scoring!$B$12,"Pre-1990, still listed",IF(AND(U750="",AA750&lt;0),"Past 30-yr mark (verify)",IF(AND(U750="",AA750&lt;=Scoring!$B$5),"30-yr mark: notice window (est.)",IF(AND(O750&gt;=Scoring!$B$7,O750&lt;=Scoring!$B$8),"Year-15 window",IF(O750&gt;=Scoring!$B$9,"Recap window",IF(O750&gt;=11,"Late compliance","Credit period"))))))))))))</f>
        <v>Superseded record</v>
      </c>
      <c r="E750" s="15" t="s">
        <v>2590</v>
      </c>
      <c r="F750" s="15" t="s">
        <v>2591</v>
      </c>
      <c r="G750" s="15" t="s">
        <v>2592</v>
      </c>
      <c r="H750" s="15" t="s">
        <v>783</v>
      </c>
      <c r="I750" s="15" t="s">
        <v>784</v>
      </c>
      <c r="J750" s="15" t="n">
        <v>40</v>
      </c>
      <c r="K750" s="15" t="n">
        <v>40</v>
      </c>
      <c r="L750" s="15" t="n">
        <f aca="false">IF(OR(J750="",K750=""),"",MAX(J750-K750,0))</f>
        <v>0</v>
      </c>
      <c r="M750" s="15" t="s">
        <v>1757</v>
      </c>
      <c r="N750" s="17" t="n">
        <v>1989</v>
      </c>
      <c r="O750" s="15" t="n">
        <f aca="false">IF(N750="","",Scoring!$B$4-N750)</f>
        <v>37</v>
      </c>
      <c r="P750" s="15" t="n">
        <f aca="false">IF(N750="","",N750+14)</f>
        <v>2003</v>
      </c>
      <c r="Q750" s="15" t="str">
        <f aca="false">IF(N750="","",IF(N750&lt;Scoring!$B$12,"n/a (pre-1990)",N750+Scoring!$B$13))</f>
        <v>n/a (pre-1990)</v>
      </c>
      <c r="R750" s="15" t="str">
        <f aca="false">IF(J750="","Unknown",IF(J750&gt;=5,"Yes","No (under 5 units)"))</f>
        <v>Yes</v>
      </c>
      <c r="S750" s="15" t="s">
        <v>2593</v>
      </c>
      <c r="T750" s="18" t="s">
        <v>2573</v>
      </c>
      <c r="U750" s="19"/>
      <c r="V750" s="18"/>
      <c r="W750" s="18"/>
      <c r="X750" s="20"/>
      <c r="Y750" s="18"/>
      <c r="Z750" s="18"/>
      <c r="AA750" s="21" t="str">
        <f aca="false">IF(U750&lt;&gt;"",(U750-Scoring!$B$3)/365.25,IF(N750="","",IF(N750&lt;Scoring!$B$12,"",(DATE(N750+Scoring!$B$13,12,31)-Scoring!$B$3)/365.25)))</f>
        <v/>
      </c>
      <c r="AB750" s="22" t="n">
        <f aca="false">IF(T750="Y",0,IF(OR(D750="Expired (verified)",D750="Expiring: notice window (verified)",D750="Expiring: 10-yr horizon (verified)",D750="Past 30-yr mark (verify)",D750="30-yr mark: notice window (est.)",D750="Year-15 window"),1,0)+IF(ISNUMBER(O750),IF(O750&gt;=Scoring!$B$10,1,0),0)+IF(AND(ISNUMBER(L750),ISNUMBER(J750)),IF(J750&gt;0,IF(L750/J750&gt;=Scoring!$B$11,1,0),0),0)+IF(ISNUMBER(Z750),MIN(Z750,3),0))</f>
        <v>0</v>
      </c>
      <c r="AC750" s="22" t="n">
        <f aca="false">IF(AB750&gt;=3,Scoring!$C$24,IF(AB750=2,Scoring!$C$23,IF(AB750=1,Scoring!$C$22,0)))</f>
        <v>0</v>
      </c>
      <c r="AD750" s="22" t="n">
        <f aca="false">IF(T750="Y",0,IF(ISNUMBER(X750),IF(X750&gt;0.7,Scoring!$C$25,IF(X750&gt;=0.5,Scoring!$C$26,IF(X750&gt;=0.3,Scoring!$C$27,Scoring!$C$28))),Scoring!$C$29))</f>
        <v>0</v>
      </c>
      <c r="AE750" s="22" t="n">
        <f aca="false">IF(D750="Expiring: notice window (verified)",Scoring!$C$30,IF(OR(D750="Expired (verified)",D750="30-yr mark: notice window (est.)",D750="Year-15 window"),Scoring!$C$31,IF(D750="Expiring: 10-yr horizon (verified)",Scoring!$C$32,IF(D750="Past 30-yr mark (verify)",Scoring!$C$33,IF(OR(D750="Credit period",D750="Superseded record"),Scoring!$C$35,Scoring!$C$34)))))</f>
        <v>0</v>
      </c>
      <c r="AF750" s="22" t="n">
        <f aca="false">IF(T750="Y",0,IF(ISNUMBER(V750),IF(Scoring!$B$4-V750&gt;15,Scoring!$C$36,IF(Scoring!$B$4-V750&gt;=10,Scoring!$C$37,IF(Scoring!$B$4-V750&gt;=5,Scoring!$C$38,Scoring!$C$39))),IF(OR(N750="",D750="Out of program"),Scoring!$C$40,IF(O750&gt;15,Scoring!$C$36,IF(O750&gt;=10,Scoring!$C$37,IF(O750&gt;=5,Scoring!$C$38,Scoring!$C$39))))))</f>
        <v>0</v>
      </c>
      <c r="AG750" s="22" t="n">
        <f aca="false">IF(T750="Y",0,IF(Y750="Y",Scoring!$C$41,IF(ISNUMBER(O750),IF(O750&gt;=25,Scoring!$C$42,IF(O750&gt;=15,Scoring!$C$43,Scoring!$C$44)),Scoring!$C$44)))</f>
        <v>0</v>
      </c>
      <c r="AH750" s="22" t="n">
        <f aca="false">IF(T750="Y",0,IF(W750="",Scoring!$C$49,IFERROR(VLOOKUP(W750,Scoring!$B$45:$C$48,2,FALSE()),Scoring!$C$49)))</f>
        <v>0</v>
      </c>
      <c r="AI750" s="23" t="n">
        <f aca="false">C750+IF(ISNUMBER(J750),J750,0)/100000+(10000-ROW())/1000000000</f>
        <v>0.00040925</v>
      </c>
      <c r="AJ750" s="18"/>
      <c r="AK750" s="18"/>
      <c r="AL750" s="18"/>
      <c r="AM750" s="18"/>
    </row>
    <row r="751" customFormat="false" ht="15" hidden="false" customHeight="false" outlineLevel="0" collapsed="false">
      <c r="A751" s="15" t="n">
        <f aca="false">RANK(AI751,$AI$2:$AI$755)</f>
        <v>750</v>
      </c>
      <c r="B751" s="16" t="str">
        <f aca="false">IF(T751="Y","Superseded",IF(C751&gt;=Scoring!$B$16,"Immediate",IF(C751&gt;=Scoring!$B$17,"This week",IF(C751&gt;=Scoring!$B$18,"Nurture","Low"))))</f>
        <v>Superseded</v>
      </c>
      <c r="C751" s="3" t="n">
        <f aca="false">SUM(AC751:AH751)</f>
        <v>0</v>
      </c>
      <c r="D751" s="15" t="str">
        <f aca="false">IF(T751="Y","Superseded record",IF(AND(U751&lt;&gt;"",AA751&lt;0),"Expired (verified)",IF(AND(U751&lt;&gt;"",AA751&lt;=Scoring!$B$5),"Expiring: notice window (verified)",IF(AND(U751&lt;&gt;"",AA751&lt;=Scoring!$B$6),"Expiring: 10-yr horizon (verified)",IF(M751="No Longer Monitored","Out of program",IF(N751="","Unknown vintage",IF(N751&lt;Scoring!$B$12,"Pre-1990, still listed",IF(AND(U751="",AA751&lt;0),"Past 30-yr mark (verify)",IF(AND(U751="",AA751&lt;=Scoring!$B$5),"30-yr mark: notice window (est.)",IF(AND(O751&gt;=Scoring!$B$7,O751&lt;=Scoring!$B$8),"Year-15 window",IF(O751&gt;=Scoring!$B$9,"Recap window",IF(O751&gt;=11,"Late compliance","Credit period"))))))))))))</f>
        <v>Superseded record</v>
      </c>
      <c r="E751" s="15" t="s">
        <v>2594</v>
      </c>
      <c r="F751" s="15" t="s">
        <v>2595</v>
      </c>
      <c r="G751" s="15" t="s">
        <v>2221</v>
      </c>
      <c r="H751" s="15" t="s">
        <v>777</v>
      </c>
      <c r="I751" s="15" t="s">
        <v>778</v>
      </c>
      <c r="J751" s="15" t="n">
        <v>40</v>
      </c>
      <c r="K751" s="15" t="n">
        <v>40</v>
      </c>
      <c r="L751" s="15" t="n">
        <f aca="false">IF(OR(J751="",K751=""),"",MAX(J751-K751,0))</f>
        <v>0</v>
      </c>
      <c r="M751" s="15" t="s">
        <v>1757</v>
      </c>
      <c r="N751" s="17" t="n">
        <v>1990</v>
      </c>
      <c r="O751" s="15" t="n">
        <f aca="false">IF(N751="","",Scoring!$B$4-N751)</f>
        <v>36</v>
      </c>
      <c r="P751" s="15" t="n">
        <f aca="false">IF(N751="","",N751+14)</f>
        <v>2004</v>
      </c>
      <c r="Q751" s="15" t="n">
        <f aca="false">IF(N751="","",IF(N751&lt;Scoring!$B$12,"n/a (pre-1990)",N751+Scoring!$B$13))</f>
        <v>2019</v>
      </c>
      <c r="R751" s="15" t="str">
        <f aca="false">IF(J751="","Unknown",IF(J751&gt;=5,"Yes","No (under 5 units)"))</f>
        <v>Yes</v>
      </c>
      <c r="S751" s="15" t="s">
        <v>2596</v>
      </c>
      <c r="T751" s="18" t="s">
        <v>2573</v>
      </c>
      <c r="U751" s="19"/>
      <c r="V751" s="18"/>
      <c r="W751" s="18"/>
      <c r="X751" s="20"/>
      <c r="Y751" s="18"/>
      <c r="Z751" s="18"/>
      <c r="AA751" s="21" t="n">
        <f aca="false">IF(U751&lt;&gt;"",(U751-Scoring!$B$3)/365.25,IF(N751="","",IF(N751&lt;Scoring!$B$12,"",(DATE(N751+Scoring!$B$13,12,31)-Scoring!$B$3)/365.25)))</f>
        <v>-6.75427789185489</v>
      </c>
      <c r="AB751" s="22" t="n">
        <f aca="false">IF(T751="Y",0,IF(OR(D751="Expired (verified)",D751="Expiring: notice window (verified)",D751="Expiring: 10-yr horizon (verified)",D751="Past 30-yr mark (verify)",D751="30-yr mark: notice window (est.)",D751="Year-15 window"),1,0)+IF(ISNUMBER(O751),IF(O751&gt;=Scoring!$B$10,1,0),0)+IF(AND(ISNUMBER(L751),ISNUMBER(J751)),IF(J751&gt;0,IF(L751/J751&gt;=Scoring!$B$11,1,0),0),0)+IF(ISNUMBER(Z751),MIN(Z751,3),0))</f>
        <v>0</v>
      </c>
      <c r="AC751" s="22" t="n">
        <f aca="false">IF(AB751&gt;=3,Scoring!$C$24,IF(AB751=2,Scoring!$C$23,IF(AB751=1,Scoring!$C$22,0)))</f>
        <v>0</v>
      </c>
      <c r="AD751" s="22" t="n">
        <f aca="false">IF(T751="Y",0,IF(ISNUMBER(X751),IF(X751&gt;0.7,Scoring!$C$25,IF(X751&gt;=0.5,Scoring!$C$26,IF(X751&gt;=0.3,Scoring!$C$27,Scoring!$C$28))),Scoring!$C$29))</f>
        <v>0</v>
      </c>
      <c r="AE751" s="22" t="n">
        <f aca="false">IF(D751="Expiring: notice window (verified)",Scoring!$C$30,IF(OR(D751="Expired (verified)",D751="30-yr mark: notice window (est.)",D751="Year-15 window"),Scoring!$C$31,IF(D751="Expiring: 10-yr horizon (verified)",Scoring!$C$32,IF(D751="Past 30-yr mark (verify)",Scoring!$C$33,IF(OR(D751="Credit period",D751="Superseded record"),Scoring!$C$35,Scoring!$C$34)))))</f>
        <v>0</v>
      </c>
      <c r="AF751" s="22" t="n">
        <f aca="false">IF(T751="Y",0,IF(ISNUMBER(V751),IF(Scoring!$B$4-V751&gt;15,Scoring!$C$36,IF(Scoring!$B$4-V751&gt;=10,Scoring!$C$37,IF(Scoring!$B$4-V751&gt;=5,Scoring!$C$38,Scoring!$C$39))),IF(OR(N751="",D751="Out of program"),Scoring!$C$40,IF(O751&gt;15,Scoring!$C$36,IF(O751&gt;=10,Scoring!$C$37,IF(O751&gt;=5,Scoring!$C$38,Scoring!$C$39))))))</f>
        <v>0</v>
      </c>
      <c r="AG751" s="22" t="n">
        <f aca="false">IF(T751="Y",0,IF(Y751="Y",Scoring!$C$41,IF(ISNUMBER(O751),IF(O751&gt;=25,Scoring!$C$42,IF(O751&gt;=15,Scoring!$C$43,Scoring!$C$44)),Scoring!$C$44)))</f>
        <v>0</v>
      </c>
      <c r="AH751" s="22" t="n">
        <f aca="false">IF(T751="Y",0,IF(W751="",Scoring!$C$49,IFERROR(VLOOKUP(W751,Scoring!$B$45:$C$48,2,FALSE()),Scoring!$C$49)))</f>
        <v>0</v>
      </c>
      <c r="AI751" s="23" t="n">
        <f aca="false">C751+IF(ISNUMBER(J751),J751,0)/100000+(10000-ROW())/1000000000</f>
        <v>0.000409249</v>
      </c>
      <c r="AJ751" s="18"/>
      <c r="AK751" s="18"/>
      <c r="AL751" s="18"/>
      <c r="AM751" s="18"/>
    </row>
    <row r="752" customFormat="false" ht="15" hidden="false" customHeight="false" outlineLevel="0" collapsed="false">
      <c r="A752" s="15" t="n">
        <f aca="false">RANK(AI752,$AI$2:$AI$755)</f>
        <v>751</v>
      </c>
      <c r="B752" s="16" t="str">
        <f aca="false">IF(T752="Y","Superseded",IF(C752&gt;=Scoring!$B$16,"Immediate",IF(C752&gt;=Scoring!$B$17,"This week",IF(C752&gt;=Scoring!$B$18,"Nurture","Low"))))</f>
        <v>Superseded</v>
      </c>
      <c r="C752" s="3" t="n">
        <f aca="false">SUM(AC752:AH752)</f>
        <v>0</v>
      </c>
      <c r="D752" s="15" t="str">
        <f aca="false">IF(T752="Y","Superseded record",IF(AND(U752&lt;&gt;"",AA752&lt;0),"Expired (verified)",IF(AND(U752&lt;&gt;"",AA752&lt;=Scoring!$B$5),"Expiring: notice window (verified)",IF(AND(U752&lt;&gt;"",AA752&lt;=Scoring!$B$6),"Expiring: 10-yr horizon (verified)",IF(M752="No Longer Monitored","Out of program",IF(N752="","Unknown vintage",IF(N752&lt;Scoring!$B$12,"Pre-1990, still listed",IF(AND(U752="",AA752&lt;0),"Past 30-yr mark (verify)",IF(AND(U752="",AA752&lt;=Scoring!$B$5),"30-yr mark: notice window (est.)",IF(AND(O752&gt;=Scoring!$B$7,O752&lt;=Scoring!$B$8),"Year-15 window",IF(O752&gt;=Scoring!$B$9,"Recap window",IF(O752&gt;=11,"Late compliance","Credit period"))))))))))))</f>
        <v>Superseded record</v>
      </c>
      <c r="E752" s="15" t="s">
        <v>2597</v>
      </c>
      <c r="F752" s="15" t="s">
        <v>2598</v>
      </c>
      <c r="G752" s="15" t="s">
        <v>2274</v>
      </c>
      <c r="H752" s="15" t="s">
        <v>777</v>
      </c>
      <c r="I752" s="15" t="s">
        <v>778</v>
      </c>
      <c r="J752" s="15" t="n">
        <v>36</v>
      </c>
      <c r="K752" s="15" t="n">
        <v>36</v>
      </c>
      <c r="L752" s="15" t="n">
        <f aca="false">IF(OR(J752="",K752=""),"",MAX(J752-K752,0))</f>
        <v>0</v>
      </c>
      <c r="M752" s="15" t="s">
        <v>1757</v>
      </c>
      <c r="N752" s="17" t="n">
        <v>1987</v>
      </c>
      <c r="O752" s="15" t="n">
        <f aca="false">IF(N752="","",Scoring!$B$4-N752)</f>
        <v>39</v>
      </c>
      <c r="P752" s="15" t="n">
        <f aca="false">IF(N752="","",N752+14)</f>
        <v>2001</v>
      </c>
      <c r="Q752" s="15" t="str">
        <f aca="false">IF(N752="","",IF(N752&lt;Scoring!$B$12,"n/a (pre-1990)",N752+Scoring!$B$13))</f>
        <v>n/a (pre-1990)</v>
      </c>
      <c r="R752" s="15" t="str">
        <f aca="false">IF(J752="","Unknown",IF(J752&gt;=5,"Yes","No (under 5 units)"))</f>
        <v>Yes</v>
      </c>
      <c r="S752" s="15" t="s">
        <v>2599</v>
      </c>
      <c r="T752" s="18" t="s">
        <v>2573</v>
      </c>
      <c r="U752" s="19"/>
      <c r="V752" s="18"/>
      <c r="W752" s="18"/>
      <c r="X752" s="20"/>
      <c r="Y752" s="18"/>
      <c r="Z752" s="18"/>
      <c r="AA752" s="21" t="str">
        <f aca="false">IF(U752&lt;&gt;"",(U752-Scoring!$B$3)/365.25,IF(N752="","",IF(N752&lt;Scoring!$B$12,"",(DATE(N752+Scoring!$B$13,12,31)-Scoring!$B$3)/365.25)))</f>
        <v/>
      </c>
      <c r="AB752" s="22" t="n">
        <f aca="false">IF(T752="Y",0,IF(OR(D752="Expired (verified)",D752="Expiring: notice window (verified)",D752="Expiring: 10-yr horizon (verified)",D752="Past 30-yr mark (verify)",D752="30-yr mark: notice window (est.)",D752="Year-15 window"),1,0)+IF(ISNUMBER(O752),IF(O752&gt;=Scoring!$B$10,1,0),0)+IF(AND(ISNUMBER(L752),ISNUMBER(J752)),IF(J752&gt;0,IF(L752/J752&gt;=Scoring!$B$11,1,0),0),0)+IF(ISNUMBER(Z752),MIN(Z752,3),0))</f>
        <v>0</v>
      </c>
      <c r="AC752" s="22" t="n">
        <f aca="false">IF(AB752&gt;=3,Scoring!$C$24,IF(AB752=2,Scoring!$C$23,IF(AB752=1,Scoring!$C$22,0)))</f>
        <v>0</v>
      </c>
      <c r="AD752" s="22" t="n">
        <f aca="false">IF(T752="Y",0,IF(ISNUMBER(X752),IF(X752&gt;0.7,Scoring!$C$25,IF(X752&gt;=0.5,Scoring!$C$26,IF(X752&gt;=0.3,Scoring!$C$27,Scoring!$C$28))),Scoring!$C$29))</f>
        <v>0</v>
      </c>
      <c r="AE752" s="22" t="n">
        <f aca="false">IF(D752="Expiring: notice window (verified)",Scoring!$C$30,IF(OR(D752="Expired (verified)",D752="30-yr mark: notice window (est.)",D752="Year-15 window"),Scoring!$C$31,IF(D752="Expiring: 10-yr horizon (verified)",Scoring!$C$32,IF(D752="Past 30-yr mark (verify)",Scoring!$C$33,IF(OR(D752="Credit period",D752="Superseded record"),Scoring!$C$35,Scoring!$C$34)))))</f>
        <v>0</v>
      </c>
      <c r="AF752" s="22" t="n">
        <f aca="false">IF(T752="Y",0,IF(ISNUMBER(V752),IF(Scoring!$B$4-V752&gt;15,Scoring!$C$36,IF(Scoring!$B$4-V752&gt;=10,Scoring!$C$37,IF(Scoring!$B$4-V752&gt;=5,Scoring!$C$38,Scoring!$C$39))),IF(OR(N752="",D752="Out of program"),Scoring!$C$40,IF(O752&gt;15,Scoring!$C$36,IF(O752&gt;=10,Scoring!$C$37,IF(O752&gt;=5,Scoring!$C$38,Scoring!$C$39))))))</f>
        <v>0</v>
      </c>
      <c r="AG752" s="22" t="n">
        <f aca="false">IF(T752="Y",0,IF(Y752="Y",Scoring!$C$41,IF(ISNUMBER(O752),IF(O752&gt;=25,Scoring!$C$42,IF(O752&gt;=15,Scoring!$C$43,Scoring!$C$44)),Scoring!$C$44)))</f>
        <v>0</v>
      </c>
      <c r="AH752" s="22" t="n">
        <f aca="false">IF(T752="Y",0,IF(W752="",Scoring!$C$49,IFERROR(VLOOKUP(W752,Scoring!$B$45:$C$48,2,FALSE()),Scoring!$C$49)))</f>
        <v>0</v>
      </c>
      <c r="AI752" s="23" t="n">
        <f aca="false">C752+IF(ISNUMBER(J752),J752,0)/100000+(10000-ROW())/1000000000</f>
        <v>0.000369248</v>
      </c>
      <c r="AJ752" s="18"/>
      <c r="AK752" s="18"/>
      <c r="AL752" s="18"/>
      <c r="AM752" s="18"/>
    </row>
    <row r="753" customFormat="false" ht="15" hidden="false" customHeight="false" outlineLevel="0" collapsed="false">
      <c r="A753" s="15" t="n">
        <f aca="false">RANK(AI753,$AI$2:$AI$755)</f>
        <v>752</v>
      </c>
      <c r="B753" s="16" t="str">
        <f aca="false">IF(T753="Y","Superseded",IF(C753&gt;=Scoring!$B$16,"Immediate",IF(C753&gt;=Scoring!$B$17,"This week",IF(C753&gt;=Scoring!$B$18,"Nurture","Low"))))</f>
        <v>Superseded</v>
      </c>
      <c r="C753" s="3" t="n">
        <f aca="false">SUM(AC753:AH753)</f>
        <v>0</v>
      </c>
      <c r="D753" s="15" t="str">
        <f aca="false">IF(T753="Y","Superseded record",IF(AND(U753&lt;&gt;"",AA753&lt;0),"Expired (verified)",IF(AND(U753&lt;&gt;"",AA753&lt;=Scoring!$B$5),"Expiring: notice window (verified)",IF(AND(U753&lt;&gt;"",AA753&lt;=Scoring!$B$6),"Expiring: 10-yr horizon (verified)",IF(M753="No Longer Monitored","Out of program",IF(N753="","Unknown vintage",IF(N753&lt;Scoring!$B$12,"Pre-1990, still listed",IF(AND(U753="",AA753&lt;0),"Past 30-yr mark (verify)",IF(AND(U753="",AA753&lt;=Scoring!$B$5),"30-yr mark: notice window (est.)",IF(AND(O753&gt;=Scoring!$B$7,O753&lt;=Scoring!$B$8),"Year-15 window",IF(O753&gt;=Scoring!$B$9,"Recap window",IF(O753&gt;=11,"Late compliance","Credit period"))))))))))))</f>
        <v>Superseded record</v>
      </c>
      <c r="E753" s="15" t="s">
        <v>2600</v>
      </c>
      <c r="F753" s="15" t="s">
        <v>2601</v>
      </c>
      <c r="G753" s="15" t="s">
        <v>1096</v>
      </c>
      <c r="H753" s="15" t="s">
        <v>635</v>
      </c>
      <c r="I753" s="15" t="s">
        <v>636</v>
      </c>
      <c r="J753" s="15" t="n">
        <v>30</v>
      </c>
      <c r="K753" s="15" t="n">
        <v>30</v>
      </c>
      <c r="L753" s="15" t="n">
        <f aca="false">IF(OR(J753="",K753=""),"",MAX(J753-K753,0))</f>
        <v>0</v>
      </c>
      <c r="M753" s="15" t="s">
        <v>99</v>
      </c>
      <c r="N753" s="17" t="n">
        <v>1995</v>
      </c>
      <c r="O753" s="15" t="n">
        <f aca="false">IF(N753="","",Scoring!$B$4-N753)</f>
        <v>31</v>
      </c>
      <c r="P753" s="15" t="n">
        <f aca="false">IF(N753="","",N753+14)</f>
        <v>2009</v>
      </c>
      <c r="Q753" s="15" t="n">
        <f aca="false">IF(N753="","",IF(N753&lt;Scoring!$B$12,"n/a (pre-1990)",N753+Scoring!$B$13))</f>
        <v>2024</v>
      </c>
      <c r="R753" s="15" t="str">
        <f aca="false">IF(J753="","Unknown",IF(J753&gt;=5,"Yes","No (under 5 units)"))</f>
        <v>Yes</v>
      </c>
      <c r="S753" s="15" t="s">
        <v>2602</v>
      </c>
      <c r="T753" s="18" t="s">
        <v>2573</v>
      </c>
      <c r="U753" s="19"/>
      <c r="V753" s="18"/>
      <c r="W753" s="18"/>
      <c r="X753" s="20"/>
      <c r="Y753" s="18"/>
      <c r="Z753" s="18"/>
      <c r="AA753" s="21" t="n">
        <f aca="false">IF(U753&lt;&gt;"",(U753-Scoring!$B$3)/365.25,IF(N753="","",IF(N753&lt;Scoring!$B$12,"",(DATE(N753+Scoring!$B$13,12,31)-Scoring!$B$3)/365.25)))</f>
        <v>-1.75222450376454</v>
      </c>
      <c r="AB753" s="22" t="n">
        <f aca="false">IF(T753="Y",0,IF(OR(D753="Expired (verified)",D753="Expiring: notice window (verified)",D753="Expiring: 10-yr horizon (verified)",D753="Past 30-yr mark (verify)",D753="30-yr mark: notice window (est.)",D753="Year-15 window"),1,0)+IF(ISNUMBER(O753),IF(O753&gt;=Scoring!$B$10,1,0),0)+IF(AND(ISNUMBER(L753),ISNUMBER(J753)),IF(J753&gt;0,IF(L753/J753&gt;=Scoring!$B$11,1,0),0),0)+IF(ISNUMBER(Z753),MIN(Z753,3),0))</f>
        <v>0</v>
      </c>
      <c r="AC753" s="22" t="n">
        <f aca="false">IF(AB753&gt;=3,Scoring!$C$24,IF(AB753=2,Scoring!$C$23,IF(AB753=1,Scoring!$C$22,0)))</f>
        <v>0</v>
      </c>
      <c r="AD753" s="22" t="n">
        <f aca="false">IF(T753="Y",0,IF(ISNUMBER(X753),IF(X753&gt;0.7,Scoring!$C$25,IF(X753&gt;=0.5,Scoring!$C$26,IF(X753&gt;=0.3,Scoring!$C$27,Scoring!$C$28))),Scoring!$C$29))</f>
        <v>0</v>
      </c>
      <c r="AE753" s="22" t="n">
        <f aca="false">IF(D753="Expiring: notice window (verified)",Scoring!$C$30,IF(OR(D753="Expired (verified)",D753="30-yr mark: notice window (est.)",D753="Year-15 window"),Scoring!$C$31,IF(D753="Expiring: 10-yr horizon (verified)",Scoring!$C$32,IF(D753="Past 30-yr mark (verify)",Scoring!$C$33,IF(OR(D753="Credit period",D753="Superseded record"),Scoring!$C$35,Scoring!$C$34)))))</f>
        <v>0</v>
      </c>
      <c r="AF753" s="22" t="n">
        <f aca="false">IF(T753="Y",0,IF(ISNUMBER(V753),IF(Scoring!$B$4-V753&gt;15,Scoring!$C$36,IF(Scoring!$B$4-V753&gt;=10,Scoring!$C$37,IF(Scoring!$B$4-V753&gt;=5,Scoring!$C$38,Scoring!$C$39))),IF(OR(N753="",D753="Out of program"),Scoring!$C$40,IF(O753&gt;15,Scoring!$C$36,IF(O753&gt;=10,Scoring!$C$37,IF(O753&gt;=5,Scoring!$C$38,Scoring!$C$39))))))</f>
        <v>0</v>
      </c>
      <c r="AG753" s="22" t="n">
        <f aca="false">IF(T753="Y",0,IF(Y753="Y",Scoring!$C$41,IF(ISNUMBER(O753),IF(O753&gt;=25,Scoring!$C$42,IF(O753&gt;=15,Scoring!$C$43,Scoring!$C$44)),Scoring!$C$44)))</f>
        <v>0</v>
      </c>
      <c r="AH753" s="22" t="n">
        <f aca="false">IF(T753="Y",0,IF(W753="",Scoring!$C$49,IFERROR(VLOOKUP(W753,Scoring!$B$45:$C$48,2,FALSE()),Scoring!$C$49)))</f>
        <v>0</v>
      </c>
      <c r="AI753" s="23" t="n">
        <f aca="false">C753+IF(ISNUMBER(J753),J753,0)/100000+(10000-ROW())/1000000000</f>
        <v>0.000309247</v>
      </c>
      <c r="AJ753" s="18"/>
      <c r="AK753" s="18"/>
      <c r="AL753" s="18"/>
      <c r="AM753" s="18"/>
    </row>
    <row r="754" customFormat="false" ht="15" hidden="false" customHeight="false" outlineLevel="0" collapsed="false">
      <c r="A754" s="15" t="n">
        <f aca="false">RANK(AI754,$AI$2:$AI$755)</f>
        <v>753</v>
      </c>
      <c r="B754" s="16" t="str">
        <f aca="false">IF(T754="Y","Superseded",IF(C754&gt;=Scoring!$B$16,"Immediate",IF(C754&gt;=Scoring!$B$17,"This week",IF(C754&gt;=Scoring!$B$18,"Nurture","Low"))))</f>
        <v>Superseded</v>
      </c>
      <c r="C754" s="3" t="n">
        <f aca="false">SUM(AC754:AH754)</f>
        <v>0</v>
      </c>
      <c r="D754" s="15" t="str">
        <f aca="false">IF(T754="Y","Superseded record",IF(AND(U754&lt;&gt;"",AA754&lt;0),"Expired (verified)",IF(AND(U754&lt;&gt;"",AA754&lt;=Scoring!$B$5),"Expiring: notice window (verified)",IF(AND(U754&lt;&gt;"",AA754&lt;=Scoring!$B$6),"Expiring: 10-yr horizon (verified)",IF(M754="No Longer Monitored","Out of program",IF(N754="","Unknown vintage",IF(N754&lt;Scoring!$B$12,"Pre-1990, still listed",IF(AND(U754="",AA754&lt;0),"Past 30-yr mark (verify)",IF(AND(U754="",AA754&lt;=Scoring!$B$5),"30-yr mark: notice window (est.)",IF(AND(O754&gt;=Scoring!$B$7,O754&lt;=Scoring!$B$8),"Year-15 window",IF(O754&gt;=Scoring!$B$9,"Recap window",IF(O754&gt;=11,"Late compliance","Credit period"))))))))))))</f>
        <v>Superseded record</v>
      </c>
      <c r="E754" s="15" t="s">
        <v>2603</v>
      </c>
      <c r="F754" s="15" t="s">
        <v>2604</v>
      </c>
      <c r="G754" s="15" t="s">
        <v>2605</v>
      </c>
      <c r="H754" s="15" t="s">
        <v>635</v>
      </c>
      <c r="I754" s="15" t="s">
        <v>636</v>
      </c>
      <c r="J754" s="15" t="n">
        <v>24</v>
      </c>
      <c r="K754" s="15" t="n">
        <v>24</v>
      </c>
      <c r="L754" s="15" t="n">
        <f aca="false">IF(OR(J754="",K754=""),"",MAX(J754-K754,0))</f>
        <v>0</v>
      </c>
      <c r="M754" s="15" t="s">
        <v>99</v>
      </c>
      <c r="N754" s="17" t="n">
        <v>1998</v>
      </c>
      <c r="O754" s="15" t="n">
        <f aca="false">IF(N754="","",Scoring!$B$4-N754)</f>
        <v>28</v>
      </c>
      <c r="P754" s="15" t="n">
        <f aca="false">IF(N754="","",N754+14)</f>
        <v>2012</v>
      </c>
      <c r="Q754" s="15" t="n">
        <f aca="false">IF(N754="","",IF(N754&lt;Scoring!$B$12,"n/a (pre-1990)",N754+Scoring!$B$13))</f>
        <v>2027</v>
      </c>
      <c r="R754" s="15" t="str">
        <f aca="false">IF(J754="","Unknown",IF(J754&gt;=5,"Yes","No (under 5 units)"))</f>
        <v>Yes</v>
      </c>
      <c r="S754" s="15" t="s">
        <v>2606</v>
      </c>
      <c r="T754" s="18" t="s">
        <v>2573</v>
      </c>
      <c r="U754" s="19"/>
      <c r="V754" s="18"/>
      <c r="W754" s="18"/>
      <c r="X754" s="20"/>
      <c r="Y754" s="18"/>
      <c r="Z754" s="18"/>
      <c r="AA754" s="21" t="n">
        <f aca="false">IF(U754&lt;&gt;"",(U754-Scoring!$B$3)/365.25,IF(N754="","",IF(N754&lt;Scoring!$B$12,"",(DATE(N754+Scoring!$B$13,12,31)-Scoring!$B$3)/365.25)))</f>
        <v>1.24572210814511</v>
      </c>
      <c r="AB754" s="22" t="n">
        <f aca="false">IF(T754="Y",0,IF(OR(D754="Expired (verified)",D754="Expiring: notice window (verified)",D754="Expiring: 10-yr horizon (verified)",D754="Past 30-yr mark (verify)",D754="30-yr mark: notice window (est.)",D754="Year-15 window"),1,0)+IF(ISNUMBER(O754),IF(O754&gt;=Scoring!$B$10,1,0),0)+IF(AND(ISNUMBER(L754),ISNUMBER(J754)),IF(J754&gt;0,IF(L754/J754&gt;=Scoring!$B$11,1,0),0),0)+IF(ISNUMBER(Z754),MIN(Z754,3),0))</f>
        <v>0</v>
      </c>
      <c r="AC754" s="22" t="n">
        <f aca="false">IF(AB754&gt;=3,Scoring!$C$24,IF(AB754=2,Scoring!$C$23,IF(AB754=1,Scoring!$C$22,0)))</f>
        <v>0</v>
      </c>
      <c r="AD754" s="22" t="n">
        <f aca="false">IF(T754="Y",0,IF(ISNUMBER(X754),IF(X754&gt;0.7,Scoring!$C$25,IF(X754&gt;=0.5,Scoring!$C$26,IF(X754&gt;=0.3,Scoring!$C$27,Scoring!$C$28))),Scoring!$C$29))</f>
        <v>0</v>
      </c>
      <c r="AE754" s="22" t="n">
        <f aca="false">IF(D754="Expiring: notice window (verified)",Scoring!$C$30,IF(OR(D754="Expired (verified)",D754="30-yr mark: notice window (est.)",D754="Year-15 window"),Scoring!$C$31,IF(D754="Expiring: 10-yr horizon (verified)",Scoring!$C$32,IF(D754="Past 30-yr mark (verify)",Scoring!$C$33,IF(OR(D754="Credit period",D754="Superseded record"),Scoring!$C$35,Scoring!$C$34)))))</f>
        <v>0</v>
      </c>
      <c r="AF754" s="22" t="n">
        <f aca="false">IF(T754="Y",0,IF(ISNUMBER(V754),IF(Scoring!$B$4-V754&gt;15,Scoring!$C$36,IF(Scoring!$B$4-V754&gt;=10,Scoring!$C$37,IF(Scoring!$B$4-V754&gt;=5,Scoring!$C$38,Scoring!$C$39))),IF(OR(N754="",D754="Out of program"),Scoring!$C$40,IF(O754&gt;15,Scoring!$C$36,IF(O754&gt;=10,Scoring!$C$37,IF(O754&gt;=5,Scoring!$C$38,Scoring!$C$39))))))</f>
        <v>0</v>
      </c>
      <c r="AG754" s="22" t="n">
        <f aca="false">IF(T754="Y",0,IF(Y754="Y",Scoring!$C$41,IF(ISNUMBER(O754),IF(O754&gt;=25,Scoring!$C$42,IF(O754&gt;=15,Scoring!$C$43,Scoring!$C$44)),Scoring!$C$44)))</f>
        <v>0</v>
      </c>
      <c r="AH754" s="22" t="n">
        <f aca="false">IF(T754="Y",0,IF(W754="",Scoring!$C$49,IFERROR(VLOOKUP(W754,Scoring!$B$45:$C$48,2,FALSE()),Scoring!$C$49)))</f>
        <v>0</v>
      </c>
      <c r="AI754" s="23" t="n">
        <f aca="false">C754+IF(ISNUMBER(J754),J754,0)/100000+(10000-ROW())/1000000000</f>
        <v>0.000249246</v>
      </c>
      <c r="AJ754" s="18"/>
      <c r="AK754" s="18"/>
      <c r="AL754" s="18"/>
      <c r="AM754" s="18"/>
    </row>
    <row r="755" customFormat="false" ht="15" hidden="false" customHeight="false" outlineLevel="0" collapsed="false">
      <c r="A755" s="15" t="n">
        <f aca="false">RANK(AI755,$AI$2:$AI$755)</f>
        <v>754</v>
      </c>
      <c r="B755" s="16" t="str">
        <f aca="false">IF(T755="Y","Superseded",IF(C755&gt;=Scoring!$B$16,"Immediate",IF(C755&gt;=Scoring!$B$17,"This week",IF(C755&gt;=Scoring!$B$18,"Nurture","Low"))))</f>
        <v>Superseded</v>
      </c>
      <c r="C755" s="3" t="n">
        <f aca="false">SUM(AC755:AH755)</f>
        <v>0</v>
      </c>
      <c r="D755" s="15" t="str">
        <f aca="false">IF(T755="Y","Superseded record",IF(AND(U755&lt;&gt;"",AA755&lt;0),"Expired (verified)",IF(AND(U755&lt;&gt;"",AA755&lt;=Scoring!$B$5),"Expiring: notice window (verified)",IF(AND(U755&lt;&gt;"",AA755&lt;=Scoring!$B$6),"Expiring: 10-yr horizon (verified)",IF(M755="No Longer Monitored","Out of program",IF(N755="","Unknown vintage",IF(N755&lt;Scoring!$B$12,"Pre-1990, still listed",IF(AND(U755="",AA755&lt;0),"Past 30-yr mark (verify)",IF(AND(U755="",AA755&lt;=Scoring!$B$5),"30-yr mark: notice window (est.)",IF(AND(O755&gt;=Scoring!$B$7,O755&lt;=Scoring!$B$8),"Year-15 window",IF(O755&gt;=Scoring!$B$9,"Recap window",IF(O755&gt;=11,"Late compliance","Credit period"))))))))))))</f>
        <v>Superseded record</v>
      </c>
      <c r="E755" s="15" t="s">
        <v>2607</v>
      </c>
      <c r="F755" s="15" t="s">
        <v>2608</v>
      </c>
      <c r="G755" s="15" t="s">
        <v>2609</v>
      </c>
      <c r="H755" s="15" t="s">
        <v>977</v>
      </c>
      <c r="I755" s="15" t="s">
        <v>978</v>
      </c>
      <c r="J755" s="15" t="n">
        <v>20</v>
      </c>
      <c r="K755" s="15" t="n">
        <v>20</v>
      </c>
      <c r="L755" s="15" t="n">
        <f aca="false">IF(OR(J755="",K755=""),"",MAX(J755-K755,0))</f>
        <v>0</v>
      </c>
      <c r="M755" s="15" t="s">
        <v>1757</v>
      </c>
      <c r="N755" s="17" t="n">
        <v>1988</v>
      </c>
      <c r="O755" s="15" t="n">
        <f aca="false">IF(N755="","",Scoring!$B$4-N755)</f>
        <v>38</v>
      </c>
      <c r="P755" s="15" t="n">
        <f aca="false">IF(N755="","",N755+14)</f>
        <v>2002</v>
      </c>
      <c r="Q755" s="15" t="str">
        <f aca="false">IF(N755="","",IF(N755&lt;Scoring!$B$12,"n/a (pre-1990)",N755+Scoring!$B$13))</f>
        <v>n/a (pre-1990)</v>
      </c>
      <c r="R755" s="15" t="str">
        <f aca="false">IF(J755="","Unknown",IF(J755&gt;=5,"Yes","No (under 5 units)"))</f>
        <v>Yes</v>
      </c>
      <c r="S755" s="15" t="s">
        <v>2610</v>
      </c>
      <c r="T755" s="18" t="s">
        <v>2573</v>
      </c>
      <c r="U755" s="19"/>
      <c r="V755" s="18"/>
      <c r="W755" s="18"/>
      <c r="X755" s="20"/>
      <c r="Y755" s="18"/>
      <c r="Z755" s="18"/>
      <c r="AA755" s="21" t="str">
        <f aca="false">IF(U755&lt;&gt;"",(U755-Scoring!$B$3)/365.25,IF(N755="","",IF(N755&lt;Scoring!$B$12,"",(DATE(N755+Scoring!$B$13,12,31)-Scoring!$B$3)/365.25)))</f>
        <v/>
      </c>
      <c r="AB755" s="22" t="n">
        <f aca="false">IF(T755="Y",0,IF(OR(D755="Expired (verified)",D755="Expiring: notice window (verified)",D755="Expiring: 10-yr horizon (verified)",D755="Past 30-yr mark (verify)",D755="30-yr mark: notice window (est.)",D755="Year-15 window"),1,0)+IF(ISNUMBER(O755),IF(O755&gt;=Scoring!$B$10,1,0),0)+IF(AND(ISNUMBER(L755),ISNUMBER(J755)),IF(J755&gt;0,IF(L755/J755&gt;=Scoring!$B$11,1,0),0),0)+IF(ISNUMBER(Z755),MIN(Z755,3),0))</f>
        <v>0</v>
      </c>
      <c r="AC755" s="22" t="n">
        <f aca="false">IF(AB755&gt;=3,Scoring!$C$24,IF(AB755=2,Scoring!$C$23,IF(AB755=1,Scoring!$C$22,0)))</f>
        <v>0</v>
      </c>
      <c r="AD755" s="22" t="n">
        <f aca="false">IF(T755="Y",0,IF(ISNUMBER(X755),IF(X755&gt;0.7,Scoring!$C$25,IF(X755&gt;=0.5,Scoring!$C$26,IF(X755&gt;=0.3,Scoring!$C$27,Scoring!$C$28))),Scoring!$C$29))</f>
        <v>0</v>
      </c>
      <c r="AE755" s="22" t="n">
        <f aca="false">IF(D755="Expiring: notice window (verified)",Scoring!$C$30,IF(OR(D755="Expired (verified)",D755="30-yr mark: notice window (est.)",D755="Year-15 window"),Scoring!$C$31,IF(D755="Expiring: 10-yr horizon (verified)",Scoring!$C$32,IF(D755="Past 30-yr mark (verify)",Scoring!$C$33,IF(OR(D755="Credit period",D755="Superseded record"),Scoring!$C$35,Scoring!$C$34)))))</f>
        <v>0</v>
      </c>
      <c r="AF755" s="22" t="n">
        <f aca="false">IF(T755="Y",0,IF(ISNUMBER(V755),IF(Scoring!$B$4-V755&gt;15,Scoring!$C$36,IF(Scoring!$B$4-V755&gt;=10,Scoring!$C$37,IF(Scoring!$B$4-V755&gt;=5,Scoring!$C$38,Scoring!$C$39))),IF(OR(N755="",D755="Out of program"),Scoring!$C$40,IF(O755&gt;15,Scoring!$C$36,IF(O755&gt;=10,Scoring!$C$37,IF(O755&gt;=5,Scoring!$C$38,Scoring!$C$39))))))</f>
        <v>0</v>
      </c>
      <c r="AG755" s="22" t="n">
        <f aca="false">IF(T755="Y",0,IF(Y755="Y",Scoring!$C$41,IF(ISNUMBER(O755),IF(O755&gt;=25,Scoring!$C$42,IF(O755&gt;=15,Scoring!$C$43,Scoring!$C$44)),Scoring!$C$44)))</f>
        <v>0</v>
      </c>
      <c r="AH755" s="22" t="n">
        <f aca="false">IF(T755="Y",0,IF(W755="",Scoring!$C$49,IFERROR(VLOOKUP(W755,Scoring!$B$45:$C$48,2,FALSE()),Scoring!$C$49)))</f>
        <v>0</v>
      </c>
      <c r="AI755" s="23" t="n">
        <f aca="false">C755+IF(ISNUMBER(J755),J755,0)/100000+(10000-ROW())/1000000000</f>
        <v>0.000209245</v>
      </c>
      <c r="AJ755" s="18"/>
      <c r="AK755" s="18"/>
      <c r="AL755" s="18"/>
      <c r="AM755" s="18"/>
    </row>
  </sheetData>
  <autoFilter ref="A1:AM755"/>
  <conditionalFormatting sqref="B2:B755">
    <cfRule type="cellIs" priority="2" operator="equal" aboveAverage="0" equalAverage="0" bottom="0" percent="0" rank="0" text="" dxfId="0">
      <formula>"Immediate"</formula>
    </cfRule>
    <cfRule type="cellIs" priority="3" operator="equal" aboveAverage="0" equalAverage="0" bottom="0" percent="0" rank="0" text="" dxfId="1">
      <formula>"This week"</formula>
    </cfRule>
    <cfRule type="cellIs" priority="4" operator="equal" aboveAverage="0" equalAverage="0" bottom="0" percent="0" rank="0" text="" dxfId="14">
      <formula>"Nurture"</formula>
    </cfRule>
    <cfRule type="cellIs" priority="5" operator="equal" aboveAverage="0" equalAverage="0" bottom="0" percent="0" rank="0" text="" dxfId="15">
      <formula>"Low"</formula>
    </cfRule>
    <cfRule type="cellIs" priority="6" operator="equal" aboveAverage="0" equalAverage="0" bottom="0" percent="0" rank="0" text="" dxfId="16">
      <formula>"Superseded"</formula>
    </cfRule>
  </conditionalFormatting>
  <dataValidations count="3">
    <dataValidation allowBlank="true" errorStyle="stop" operator="between" showDropDown="false" showErrorMessage="false" showInputMessage="false" sqref="T2:T755 Y2:Y755" type="list">
      <formula1>"Y"</formula1>
      <formula2>0</formula2>
    </dataValidation>
    <dataValidation allowBlank="true" errorStyle="stop" operator="between" showDropDown="false" showErrorMessage="false" showInputMessage="false" sqref="W2:W755" type="list">
      <formula1>Scoring!$B$45:$B$48</formula1>
      <formula2>0</formula2>
    </dataValidation>
    <dataValidation allowBlank="true" errorStyle="stop" operator="between" showDropDown="false" showErrorMessage="false" showInputMessage="false" sqref="AL2:AL755" type="list">
      <formula1>"Not started,Researching,Contacted,In dialogue,LOI out,Dead"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52"/>
    <col collapsed="false" customWidth="true" hidden="false" outlineLevel="0" max="3" min="3" style="0" width="30"/>
    <col collapsed="false" customWidth="true" hidden="false" outlineLevel="0" max="4" min="4" style="0" width="90"/>
  </cols>
  <sheetData>
    <row r="1" customFormat="false" ht="17.35" hidden="false" customHeight="false" outlineLevel="0" collapsed="false">
      <c r="A1" s="1" t="s">
        <v>2611</v>
      </c>
    </row>
    <row r="2" customFormat="false" ht="15" hidden="false" customHeight="false" outlineLevel="0" collapsed="false">
      <c r="A2" s="2" t="s">
        <v>2612</v>
      </c>
    </row>
    <row r="3" customFormat="false" ht="15" hidden="false" customHeight="false" outlineLevel="0" collapsed="false">
      <c r="A3" s="15" t="s">
        <v>2613</v>
      </c>
      <c r="B3" s="24" t="n">
        <v>46297</v>
      </c>
      <c r="C3" s="2" t="s">
        <v>2614</v>
      </c>
    </row>
    <row r="4" customFormat="false" ht="15" hidden="false" customHeight="false" outlineLevel="0" collapsed="false">
      <c r="A4" s="15" t="s">
        <v>2615</v>
      </c>
      <c r="B4" s="5" t="n">
        <f aca="false">YEAR(B3)</f>
        <v>2026</v>
      </c>
      <c r="C4" s="2" t="s">
        <v>2616</v>
      </c>
    </row>
    <row r="5" customFormat="false" ht="15" hidden="false" customHeight="false" outlineLevel="0" collapsed="false">
      <c r="A5" s="15" t="s">
        <v>2617</v>
      </c>
      <c r="B5" s="25" t="n">
        <v>3</v>
      </c>
      <c r="C5" s="2" t="s">
        <v>2618</v>
      </c>
    </row>
    <row r="6" customFormat="false" ht="15" hidden="false" customHeight="false" outlineLevel="0" collapsed="false">
      <c r="A6" s="15" t="s">
        <v>2619</v>
      </c>
      <c r="B6" s="25" t="n">
        <v>10</v>
      </c>
      <c r="C6" s="2" t="s">
        <v>2620</v>
      </c>
    </row>
    <row r="7" customFormat="false" ht="15" hidden="false" customHeight="false" outlineLevel="0" collapsed="false">
      <c r="A7" s="15" t="s">
        <v>2621</v>
      </c>
      <c r="B7" s="25" t="n">
        <v>13</v>
      </c>
      <c r="C7" s="2" t="s">
        <v>2622</v>
      </c>
    </row>
    <row r="8" customFormat="false" ht="15" hidden="false" customHeight="false" outlineLevel="0" collapsed="false">
      <c r="A8" s="15" t="s">
        <v>2623</v>
      </c>
      <c r="B8" s="25" t="n">
        <v>17</v>
      </c>
      <c r="C8" s="2" t="s">
        <v>2624</v>
      </c>
    </row>
    <row r="9" customFormat="false" ht="15" hidden="false" customHeight="false" outlineLevel="0" collapsed="false">
      <c r="A9" s="15" t="s">
        <v>2625</v>
      </c>
      <c r="B9" s="25" t="n">
        <v>18</v>
      </c>
      <c r="C9" s="2" t="s">
        <v>2626</v>
      </c>
    </row>
    <row r="10" customFormat="false" ht="15" hidden="false" customHeight="false" outlineLevel="0" collapsed="false">
      <c r="A10" s="15" t="s">
        <v>2627</v>
      </c>
      <c r="B10" s="25" t="n">
        <v>20</v>
      </c>
      <c r="C10" s="2" t="s">
        <v>2628</v>
      </c>
    </row>
    <row r="11" customFormat="false" ht="15" hidden="false" customHeight="false" outlineLevel="0" collapsed="false">
      <c r="A11" s="15" t="s">
        <v>2629</v>
      </c>
      <c r="B11" s="26" t="n">
        <v>0.1</v>
      </c>
      <c r="C11" s="2" t="s">
        <v>2630</v>
      </c>
    </row>
    <row r="12" customFormat="false" ht="15" hidden="false" customHeight="false" outlineLevel="0" collapsed="false">
      <c r="A12" s="15" t="s">
        <v>2631</v>
      </c>
      <c r="B12" s="27" t="n">
        <v>1990</v>
      </c>
      <c r="C12" s="2" t="s">
        <v>2632</v>
      </c>
    </row>
    <row r="13" customFormat="false" ht="15" hidden="false" customHeight="false" outlineLevel="0" collapsed="false">
      <c r="A13" s="15" t="s">
        <v>2633</v>
      </c>
      <c r="B13" s="25" t="n">
        <v>29</v>
      </c>
      <c r="C13" s="2" t="s">
        <v>2634</v>
      </c>
    </row>
    <row r="15" customFormat="false" ht="15" hidden="false" customHeight="false" outlineLevel="0" collapsed="false">
      <c r="A15" s="3" t="s">
        <v>2635</v>
      </c>
    </row>
    <row r="16" customFormat="false" ht="15" hidden="false" customHeight="false" outlineLevel="0" collapsed="false">
      <c r="A16" s="15" t="s">
        <v>2636</v>
      </c>
      <c r="B16" s="25" t="n">
        <v>75</v>
      </c>
      <c r="C16" s="2" t="s">
        <v>2637</v>
      </c>
    </row>
    <row r="17" customFormat="false" ht="15" hidden="false" customHeight="false" outlineLevel="0" collapsed="false">
      <c r="A17" s="15" t="s">
        <v>2638</v>
      </c>
      <c r="B17" s="25" t="n">
        <v>50</v>
      </c>
    </row>
    <row r="18" customFormat="false" ht="15" hidden="false" customHeight="false" outlineLevel="0" collapsed="false">
      <c r="A18" s="15" t="s">
        <v>2639</v>
      </c>
      <c r="B18" s="25" t="n">
        <v>30</v>
      </c>
    </row>
    <row r="20" customFormat="false" ht="15" hidden="false" customHeight="false" outlineLevel="0" collapsed="false">
      <c r="A20" s="3" t="s">
        <v>2640</v>
      </c>
    </row>
    <row r="21" customFormat="false" ht="15" hidden="false" customHeight="false" outlineLevel="0" collapsed="false">
      <c r="A21" s="28" t="s">
        <v>2641</v>
      </c>
      <c r="B21" s="28" t="s">
        <v>2642</v>
      </c>
      <c r="C21" s="28" t="s">
        <v>2643</v>
      </c>
      <c r="D21" s="28" t="s">
        <v>2644</v>
      </c>
    </row>
    <row r="22" customFormat="false" ht="23.85" hidden="false" customHeight="false" outlineLevel="0" collapsed="false">
      <c r="A22" s="3" t="s">
        <v>2645</v>
      </c>
      <c r="B22" s="29" t="s">
        <v>2646</v>
      </c>
      <c r="C22" s="30" t="n">
        <v>10</v>
      </c>
      <c r="D22" s="31" t="s">
        <v>2647</v>
      </c>
    </row>
    <row r="23" customFormat="false" ht="15" hidden="false" customHeight="false" outlineLevel="0" collapsed="false">
      <c r="A23" s="3"/>
      <c r="B23" s="29" t="s">
        <v>2648</v>
      </c>
      <c r="C23" s="30" t="n">
        <v>18</v>
      </c>
      <c r="D23" s="31"/>
    </row>
    <row r="24" customFormat="false" ht="15" hidden="false" customHeight="false" outlineLevel="0" collapsed="false">
      <c r="A24" s="3"/>
      <c r="B24" s="29" t="s">
        <v>2649</v>
      </c>
      <c r="C24" s="30" t="n">
        <v>25</v>
      </c>
      <c r="D24" s="31"/>
    </row>
    <row r="25" customFormat="false" ht="15" hidden="false" customHeight="false" outlineLevel="0" collapsed="false">
      <c r="A25" s="3" t="s">
        <v>2650</v>
      </c>
      <c r="B25" s="29" t="s">
        <v>2651</v>
      </c>
      <c r="C25" s="30" t="n">
        <v>20</v>
      </c>
      <c r="D25" s="31" t="s">
        <v>2652</v>
      </c>
    </row>
    <row r="26" customFormat="false" ht="15" hidden="false" customHeight="false" outlineLevel="0" collapsed="false">
      <c r="A26" s="3"/>
      <c r="B26" s="29" t="s">
        <v>2653</v>
      </c>
      <c r="C26" s="30" t="n">
        <v>15</v>
      </c>
      <c r="D26" s="31"/>
    </row>
    <row r="27" customFormat="false" ht="15" hidden="false" customHeight="false" outlineLevel="0" collapsed="false">
      <c r="A27" s="3"/>
      <c r="B27" s="29" t="s">
        <v>2654</v>
      </c>
      <c r="C27" s="30" t="n">
        <v>10</v>
      </c>
      <c r="D27" s="31"/>
    </row>
    <row r="28" customFormat="false" ht="15" hidden="false" customHeight="false" outlineLevel="0" collapsed="false">
      <c r="A28" s="3"/>
      <c r="B28" s="29" t="s">
        <v>2655</v>
      </c>
      <c r="C28" s="30" t="n">
        <v>5</v>
      </c>
      <c r="D28" s="31"/>
    </row>
    <row r="29" customFormat="false" ht="15" hidden="false" customHeight="false" outlineLevel="0" collapsed="false">
      <c r="A29" s="3"/>
      <c r="B29" s="29" t="s">
        <v>2656</v>
      </c>
      <c r="C29" s="30" t="n">
        <v>10</v>
      </c>
      <c r="D29" s="31" t="s">
        <v>2657</v>
      </c>
    </row>
    <row r="30" customFormat="false" ht="15" hidden="false" customHeight="false" outlineLevel="0" collapsed="false">
      <c r="A30" s="3" t="s">
        <v>2658</v>
      </c>
      <c r="B30" s="29" t="s">
        <v>2659</v>
      </c>
      <c r="C30" s="30" t="n">
        <v>20</v>
      </c>
      <c r="D30" s="31" t="s">
        <v>2660</v>
      </c>
    </row>
    <row r="31" customFormat="false" ht="23.85" hidden="false" customHeight="false" outlineLevel="0" collapsed="false">
      <c r="A31" s="3"/>
      <c r="B31" s="29" t="s">
        <v>2661</v>
      </c>
      <c r="C31" s="30" t="n">
        <v>14</v>
      </c>
      <c r="D31" s="31" t="s">
        <v>2662</v>
      </c>
    </row>
    <row r="32" customFormat="false" ht="15" hidden="false" customHeight="false" outlineLevel="0" collapsed="false">
      <c r="A32" s="3"/>
      <c r="B32" s="29" t="s">
        <v>2663</v>
      </c>
      <c r="C32" s="30" t="n">
        <v>10</v>
      </c>
      <c r="D32" s="31"/>
    </row>
    <row r="33" customFormat="false" ht="15" hidden="false" customHeight="false" outlineLevel="0" collapsed="false">
      <c r="A33" s="3"/>
      <c r="B33" s="29" t="s">
        <v>2664</v>
      </c>
      <c r="C33" s="30" t="n">
        <v>8</v>
      </c>
      <c r="D33" s="31" t="s">
        <v>2665</v>
      </c>
    </row>
    <row r="34" customFormat="false" ht="23.85" hidden="false" customHeight="false" outlineLevel="0" collapsed="false">
      <c r="A34" s="3"/>
      <c r="B34" s="29" t="s">
        <v>2666</v>
      </c>
      <c r="C34" s="30" t="n">
        <v>4</v>
      </c>
      <c r="D34" s="31"/>
    </row>
    <row r="35" customFormat="false" ht="15" hidden="false" customHeight="false" outlineLevel="0" collapsed="false">
      <c r="A35" s="3"/>
      <c r="B35" s="29" t="s">
        <v>2667</v>
      </c>
      <c r="C35" s="30" t="n">
        <v>0</v>
      </c>
      <c r="D35" s="31" t="s">
        <v>2668</v>
      </c>
    </row>
    <row r="36" customFormat="false" ht="15" hidden="false" customHeight="false" outlineLevel="0" collapsed="false">
      <c r="A36" s="3" t="s">
        <v>2669</v>
      </c>
      <c r="B36" s="29" t="s">
        <v>2670</v>
      </c>
      <c r="C36" s="30" t="n">
        <v>15</v>
      </c>
      <c r="D36" s="31" t="s">
        <v>2671</v>
      </c>
    </row>
    <row r="37" customFormat="false" ht="15" hidden="false" customHeight="false" outlineLevel="0" collapsed="false">
      <c r="A37" s="3"/>
      <c r="B37" s="29" t="s">
        <v>2672</v>
      </c>
      <c r="C37" s="30" t="n">
        <v>12</v>
      </c>
      <c r="D37" s="31"/>
    </row>
    <row r="38" customFormat="false" ht="15" hidden="false" customHeight="false" outlineLevel="0" collapsed="false">
      <c r="A38" s="3"/>
      <c r="B38" s="29" t="s">
        <v>2673</v>
      </c>
      <c r="C38" s="30" t="n">
        <v>8</v>
      </c>
      <c r="D38" s="31"/>
    </row>
    <row r="39" customFormat="false" ht="15" hidden="false" customHeight="false" outlineLevel="0" collapsed="false">
      <c r="A39" s="3"/>
      <c r="B39" s="29" t="s">
        <v>2674</v>
      </c>
      <c r="C39" s="30" t="n">
        <v>4</v>
      </c>
      <c r="D39" s="31"/>
    </row>
    <row r="40" customFormat="false" ht="15" hidden="false" customHeight="false" outlineLevel="0" collapsed="false">
      <c r="A40" s="3"/>
      <c r="B40" s="29" t="s">
        <v>2675</v>
      </c>
      <c r="C40" s="30" t="n">
        <v>8</v>
      </c>
      <c r="D40" s="31" t="s">
        <v>2676</v>
      </c>
    </row>
    <row r="41" customFormat="false" ht="15" hidden="false" customHeight="false" outlineLevel="0" collapsed="false">
      <c r="A41" s="3" t="s">
        <v>2677</v>
      </c>
      <c r="B41" s="29" t="s">
        <v>2678</v>
      </c>
      <c r="C41" s="30" t="n">
        <v>10</v>
      </c>
      <c r="D41" s="31" t="s">
        <v>2679</v>
      </c>
    </row>
    <row r="42" customFormat="false" ht="15" hidden="false" customHeight="false" outlineLevel="0" collapsed="false">
      <c r="A42" s="3"/>
      <c r="B42" s="29" t="s">
        <v>2680</v>
      </c>
      <c r="C42" s="30" t="n">
        <v>8</v>
      </c>
      <c r="D42" s="31" t="s">
        <v>2681</v>
      </c>
    </row>
    <row r="43" customFormat="false" ht="15" hidden="false" customHeight="false" outlineLevel="0" collapsed="false">
      <c r="A43" s="3"/>
      <c r="B43" s="29" t="s">
        <v>2682</v>
      </c>
      <c r="C43" s="30" t="n">
        <v>5</v>
      </c>
      <c r="D43" s="31"/>
    </row>
    <row r="44" customFormat="false" ht="15" hidden="false" customHeight="false" outlineLevel="0" collapsed="false">
      <c r="A44" s="3"/>
      <c r="B44" s="29" t="s">
        <v>2683</v>
      </c>
      <c r="C44" s="30" t="n">
        <v>2</v>
      </c>
      <c r="D44" s="31"/>
    </row>
    <row r="45" customFormat="false" ht="15" hidden="false" customHeight="false" outlineLevel="0" collapsed="false">
      <c r="A45" s="3" t="s">
        <v>2684</v>
      </c>
      <c r="B45" s="29" t="s">
        <v>2685</v>
      </c>
      <c r="C45" s="30" t="n">
        <v>10</v>
      </c>
      <c r="D45" s="31" t="s">
        <v>2686</v>
      </c>
    </row>
    <row r="46" customFormat="false" ht="15" hidden="false" customHeight="false" outlineLevel="0" collapsed="false">
      <c r="A46" s="3"/>
      <c r="B46" s="29" t="s">
        <v>2687</v>
      </c>
      <c r="C46" s="30" t="n">
        <v>8</v>
      </c>
      <c r="D46" s="31"/>
    </row>
    <row r="47" customFormat="false" ht="15" hidden="false" customHeight="false" outlineLevel="0" collapsed="false">
      <c r="A47" s="3"/>
      <c r="B47" s="29" t="s">
        <v>2688</v>
      </c>
      <c r="C47" s="30" t="n">
        <v>5</v>
      </c>
      <c r="D47" s="31"/>
    </row>
    <row r="48" customFormat="false" ht="15" hidden="false" customHeight="false" outlineLevel="0" collapsed="false">
      <c r="A48" s="3"/>
      <c r="B48" s="29" t="s">
        <v>2689</v>
      </c>
      <c r="C48" s="30" t="n">
        <v>3</v>
      </c>
      <c r="D48" s="31"/>
    </row>
    <row r="49" customFormat="false" ht="15" hidden="false" customHeight="false" outlineLevel="0" collapsed="false">
      <c r="A49" s="3"/>
      <c r="B49" s="29" t="s">
        <v>2656</v>
      </c>
      <c r="C49" s="30" t="n">
        <v>5</v>
      </c>
      <c r="D49" s="31" t="s">
        <v>2690</v>
      </c>
    </row>
    <row r="52" customFormat="false" ht="15" hidden="false" customHeight="false" outlineLevel="0" collapsed="false">
      <c r="A52" s="3" t="s">
        <v>2691</v>
      </c>
    </row>
    <row r="53" customFormat="false" ht="15" hidden="false" customHeight="false" outlineLevel="0" collapsed="false">
      <c r="A53" s="28" t="s">
        <v>2692</v>
      </c>
      <c r="B53" s="28" t="s">
        <v>2693</v>
      </c>
      <c r="C53" s="28" t="s">
        <v>2694</v>
      </c>
      <c r="D53" s="28" t="s">
        <v>2695</v>
      </c>
    </row>
    <row r="54" customFormat="false" ht="23.85" hidden="false" customHeight="false" outlineLevel="0" collapsed="false">
      <c r="A54" s="3" t="s">
        <v>74</v>
      </c>
      <c r="B54" s="29" t="s">
        <v>2696</v>
      </c>
      <c r="C54" s="32" t="s">
        <v>2573</v>
      </c>
      <c r="D54" s="29" t="s">
        <v>2697</v>
      </c>
    </row>
    <row r="55" customFormat="false" ht="23.85" hidden="false" customHeight="false" outlineLevel="0" collapsed="false">
      <c r="A55" s="3" t="s">
        <v>75</v>
      </c>
      <c r="B55" s="29" t="s">
        <v>2698</v>
      </c>
      <c r="C55" s="33" t="n">
        <v>47118</v>
      </c>
      <c r="D55" s="29" t="s">
        <v>2699</v>
      </c>
    </row>
    <row r="56" customFormat="false" ht="15" hidden="false" customHeight="false" outlineLevel="0" collapsed="false">
      <c r="A56" s="3" t="s">
        <v>76</v>
      </c>
      <c r="B56" s="29" t="s">
        <v>2700</v>
      </c>
      <c r="C56" s="32" t="n">
        <v>2014</v>
      </c>
      <c r="D56" s="29" t="s">
        <v>2701</v>
      </c>
    </row>
    <row r="57" customFormat="false" ht="15" hidden="false" customHeight="false" outlineLevel="0" collapsed="false">
      <c r="A57" s="3" t="s">
        <v>77</v>
      </c>
      <c r="B57" s="29" t="s">
        <v>2702</v>
      </c>
      <c r="C57" s="32" t="s">
        <v>2685</v>
      </c>
      <c r="D57" s="29" t="s">
        <v>2703</v>
      </c>
    </row>
    <row r="58" customFormat="false" ht="15" hidden="false" customHeight="false" outlineLevel="0" collapsed="false">
      <c r="A58" s="3" t="s">
        <v>78</v>
      </c>
      <c r="B58" s="29" t="s">
        <v>2704</v>
      </c>
      <c r="C58" s="34" t="n">
        <v>0.55</v>
      </c>
      <c r="D58" s="29" t="s">
        <v>2705</v>
      </c>
    </row>
    <row r="59" customFormat="false" ht="23.85" hidden="false" customHeight="false" outlineLevel="0" collapsed="false">
      <c r="A59" s="3" t="s">
        <v>79</v>
      </c>
      <c r="B59" s="29" t="s">
        <v>2706</v>
      </c>
      <c r="C59" s="32" t="s">
        <v>2573</v>
      </c>
      <c r="D59" s="29" t="s">
        <v>2707</v>
      </c>
    </row>
    <row r="60" customFormat="false" ht="23.85" hidden="false" customHeight="false" outlineLevel="0" collapsed="false">
      <c r="A60" s="3" t="s">
        <v>80</v>
      </c>
      <c r="B60" s="29" t="s">
        <v>2708</v>
      </c>
      <c r="C60" s="32" t="n">
        <v>1</v>
      </c>
      <c r="D60" s="29" t="s">
        <v>2709</v>
      </c>
    </row>
    <row r="62" customFormat="false" ht="15" hidden="false" customHeight="false" outlineLevel="0" collapsed="false">
      <c r="A62" s="2" t="s">
        <v>2710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10"/>
    <col collapsed="false" customWidth="true" hidden="false" outlineLevel="0" max="3" min="3" style="0" width="60"/>
  </cols>
  <sheetData>
    <row r="1" customFormat="false" ht="17.35" hidden="false" customHeight="false" outlineLevel="0" collapsed="false">
      <c r="A1" s="1" t="s">
        <v>2711</v>
      </c>
    </row>
    <row r="2" customFormat="false" ht="15" hidden="false" customHeight="false" outlineLevel="0" collapsed="false">
      <c r="A2" s="2" t="s">
        <v>2712</v>
      </c>
    </row>
    <row r="4" customFormat="false" ht="15" hidden="false" customHeight="false" outlineLevel="0" collapsed="false">
      <c r="A4" s="3" t="s">
        <v>2713</v>
      </c>
    </row>
    <row r="5" customFormat="false" ht="15" hidden="false" customHeight="false" outlineLevel="0" collapsed="false">
      <c r="A5" s="4" t="s">
        <v>2714</v>
      </c>
      <c r="B5" s="4" t="s">
        <v>2715</v>
      </c>
      <c r="C5" s="4" t="s">
        <v>2716</v>
      </c>
    </row>
    <row r="6" customFormat="false" ht="23.85" hidden="false" customHeight="false" outlineLevel="0" collapsed="false">
      <c r="A6" s="35" t="s">
        <v>2717</v>
      </c>
      <c r="B6" s="9" t="s">
        <v>2718</v>
      </c>
      <c r="C6" s="36" t="s">
        <v>2719</v>
      </c>
    </row>
    <row r="7" customFormat="false" ht="23.85" hidden="false" customHeight="false" outlineLevel="0" collapsed="false">
      <c r="A7" s="35" t="s">
        <v>2720</v>
      </c>
      <c r="B7" s="9" t="s">
        <v>2721</v>
      </c>
      <c r="C7" s="36" t="s">
        <v>2719</v>
      </c>
    </row>
    <row r="8" customFormat="false" ht="23.85" hidden="false" customHeight="false" outlineLevel="0" collapsed="false">
      <c r="A8" s="35" t="s">
        <v>2722</v>
      </c>
      <c r="B8" s="9" t="s">
        <v>2723</v>
      </c>
      <c r="C8" s="36" t="s">
        <v>2719</v>
      </c>
    </row>
    <row r="9" customFormat="false" ht="23.85" hidden="false" customHeight="false" outlineLevel="0" collapsed="false">
      <c r="A9" s="35" t="s">
        <v>2724</v>
      </c>
      <c r="B9" s="9" t="s">
        <v>2725</v>
      </c>
      <c r="C9" s="36" t="s">
        <v>2719</v>
      </c>
    </row>
    <row r="10" customFormat="false" ht="35.05" hidden="false" customHeight="false" outlineLevel="0" collapsed="false">
      <c r="A10" s="35" t="s">
        <v>2726</v>
      </c>
      <c r="B10" s="9" t="s">
        <v>2727</v>
      </c>
      <c r="C10" s="36" t="s">
        <v>2719</v>
      </c>
    </row>
    <row r="11" customFormat="false" ht="23.85" hidden="false" customHeight="false" outlineLevel="0" collapsed="false">
      <c r="A11" s="35" t="s">
        <v>2728</v>
      </c>
      <c r="B11" s="9" t="s">
        <v>2729</v>
      </c>
      <c r="C11" s="36" t="s">
        <v>2719</v>
      </c>
    </row>
    <row r="12" customFormat="false" ht="23.85" hidden="false" customHeight="false" outlineLevel="0" collapsed="false">
      <c r="A12" s="35" t="s">
        <v>2730</v>
      </c>
      <c r="B12" s="9" t="s">
        <v>2731</v>
      </c>
      <c r="C12" s="36" t="s">
        <v>2719</v>
      </c>
    </row>
    <row r="13" customFormat="false" ht="23.85" hidden="false" customHeight="false" outlineLevel="0" collapsed="false">
      <c r="A13" s="35" t="s">
        <v>2732</v>
      </c>
      <c r="B13" s="9" t="s">
        <v>2733</v>
      </c>
      <c r="C13" s="36" t="s">
        <v>2719</v>
      </c>
    </row>
    <row r="14" customFormat="false" ht="23.85" hidden="false" customHeight="false" outlineLevel="0" collapsed="false">
      <c r="A14" s="35" t="s">
        <v>2734</v>
      </c>
      <c r="B14" s="9" t="s">
        <v>2735</v>
      </c>
      <c r="C14" s="36" t="s">
        <v>2719</v>
      </c>
    </row>
    <row r="15" customFormat="false" ht="23.85" hidden="false" customHeight="false" outlineLevel="0" collapsed="false">
      <c r="A15" s="35" t="s">
        <v>2736</v>
      </c>
      <c r="B15" s="9" t="s">
        <v>2737</v>
      </c>
      <c r="C15" s="36" t="s">
        <v>2738</v>
      </c>
    </row>
    <row r="16" customFormat="false" ht="23.85" hidden="false" customHeight="false" outlineLevel="0" collapsed="false">
      <c r="A16" s="35" t="s">
        <v>2739</v>
      </c>
      <c r="B16" s="9" t="s">
        <v>2740</v>
      </c>
      <c r="C16" s="36" t="s">
        <v>2741</v>
      </c>
    </row>
    <row r="18" customFormat="false" ht="15" hidden="false" customHeight="false" outlineLevel="0" collapsed="false">
      <c r="A18" s="3" t="s">
        <v>2742</v>
      </c>
    </row>
    <row r="19" customFormat="false" ht="15" hidden="false" customHeight="false" outlineLevel="0" collapsed="false">
      <c r="A19" s="4" t="s">
        <v>2714</v>
      </c>
      <c r="B19" s="4" t="s">
        <v>2743</v>
      </c>
      <c r="C19" s="4" t="s">
        <v>2716</v>
      </c>
    </row>
    <row r="20" customFormat="false" ht="15" hidden="false" customHeight="false" outlineLevel="0" collapsed="false">
      <c r="A20" s="35" t="s">
        <v>2744</v>
      </c>
      <c r="B20" s="9" t="s">
        <v>2745</v>
      </c>
      <c r="C20" s="9" t="s">
        <v>2746</v>
      </c>
    </row>
    <row r="21" customFormat="false" ht="23.85" hidden="false" customHeight="false" outlineLevel="0" collapsed="false">
      <c r="A21" s="35" t="s">
        <v>2747</v>
      </c>
      <c r="B21" s="9" t="s">
        <v>2748</v>
      </c>
      <c r="C21" s="9" t="s">
        <v>2749</v>
      </c>
    </row>
    <row r="22" customFormat="false" ht="23.85" hidden="false" customHeight="false" outlineLevel="0" collapsed="false">
      <c r="A22" s="35" t="s">
        <v>2750</v>
      </c>
      <c r="B22" s="9" t="s">
        <v>2751</v>
      </c>
      <c r="C22" s="36" t="s">
        <v>2752</v>
      </c>
    </row>
    <row r="23" customFormat="false" ht="23.85" hidden="false" customHeight="false" outlineLevel="0" collapsed="false">
      <c r="A23" s="35" t="s">
        <v>2753</v>
      </c>
      <c r="B23" s="9" t="s">
        <v>2754</v>
      </c>
      <c r="C23" s="36" t="s">
        <v>2752</v>
      </c>
    </row>
    <row r="24" customFormat="false" ht="23.85" hidden="false" customHeight="false" outlineLevel="0" collapsed="false">
      <c r="A24" s="35" t="s">
        <v>2755</v>
      </c>
      <c r="B24" s="9" t="s">
        <v>2756</v>
      </c>
      <c r="C24" s="9" t="s">
        <v>2757</v>
      </c>
    </row>
    <row r="26" customFormat="false" ht="15" hidden="false" customHeight="false" outlineLevel="0" collapsed="false">
      <c r="A26" s="3" t="s">
        <v>2758</v>
      </c>
    </row>
    <row r="27" customFormat="false" ht="15" hidden="false" customHeight="false" outlineLevel="0" collapsed="false">
      <c r="A27" s="4" t="s">
        <v>2759</v>
      </c>
      <c r="B27" s="4" t="s">
        <v>2760</v>
      </c>
      <c r="C27" s="4" t="s">
        <v>2761</v>
      </c>
    </row>
    <row r="28" customFormat="false" ht="15" hidden="false" customHeight="false" outlineLevel="0" collapsed="false">
      <c r="A28" s="35" t="s">
        <v>2762</v>
      </c>
      <c r="B28" s="9" t="s">
        <v>2763</v>
      </c>
      <c r="C28" s="36" t="s">
        <v>2764</v>
      </c>
    </row>
    <row r="29" customFormat="false" ht="35.05" hidden="false" customHeight="false" outlineLevel="0" collapsed="false">
      <c r="A29" s="35" t="s">
        <v>2765</v>
      </c>
      <c r="B29" s="9" t="s">
        <v>2766</v>
      </c>
      <c r="C29" s="36" t="s">
        <v>2767</v>
      </c>
    </row>
    <row r="30" customFormat="false" ht="23.85" hidden="false" customHeight="false" outlineLevel="0" collapsed="false">
      <c r="A30" s="35" t="s">
        <v>2768</v>
      </c>
      <c r="B30" s="9" t="s">
        <v>2769</v>
      </c>
      <c r="C30" s="36" t="s">
        <v>2770</v>
      </c>
    </row>
    <row r="31" customFormat="false" ht="23.85" hidden="false" customHeight="false" outlineLevel="0" collapsed="false">
      <c r="A31" s="35" t="s">
        <v>2771</v>
      </c>
      <c r="B31" s="9" t="s">
        <v>2772</v>
      </c>
      <c r="C31" s="36" t="s">
        <v>2773</v>
      </c>
    </row>
    <row r="32" customFormat="false" ht="23.85" hidden="false" customHeight="false" outlineLevel="0" collapsed="false">
      <c r="A32" s="35" t="s">
        <v>2774</v>
      </c>
      <c r="B32" s="9" t="s">
        <v>2775</v>
      </c>
      <c r="C32" s="36" t="s">
        <v>2764</v>
      </c>
    </row>
    <row r="33" customFormat="false" ht="23.85" hidden="false" customHeight="false" outlineLevel="0" collapsed="false">
      <c r="A33" s="35" t="s">
        <v>2776</v>
      </c>
      <c r="B33" s="9" t="s">
        <v>2777</v>
      </c>
      <c r="C33" s="9"/>
    </row>
    <row r="34" customFormat="false" ht="23.85" hidden="false" customHeight="false" outlineLevel="0" collapsed="false">
      <c r="A34" s="35" t="s">
        <v>2778</v>
      </c>
      <c r="B34" s="9" t="s">
        <v>2779</v>
      </c>
      <c r="C34" s="36" t="s">
        <v>2719</v>
      </c>
    </row>
    <row r="35" customFormat="false" ht="23.85" hidden="false" customHeight="false" outlineLevel="0" collapsed="false">
      <c r="A35" s="35" t="s">
        <v>2780</v>
      </c>
      <c r="B35" s="9" t="s">
        <v>2781</v>
      </c>
      <c r="C35" s="9"/>
    </row>
    <row r="37" customFormat="false" ht="15" hidden="false" customHeight="false" outlineLevel="0" collapsed="false">
      <c r="A37" s="3" t="s">
        <v>2782</v>
      </c>
    </row>
    <row r="38" customFormat="false" ht="15" hidden="false" customHeight="false" outlineLevel="0" collapsed="false">
      <c r="A38" s="4" t="s">
        <v>2783</v>
      </c>
      <c r="B38" s="4" t="s">
        <v>2784</v>
      </c>
      <c r="C38" s="4" t="s">
        <v>2785</v>
      </c>
    </row>
    <row r="39" customFormat="false" ht="15" hidden="false" customHeight="false" outlineLevel="0" collapsed="false">
      <c r="A39" s="35" t="s">
        <v>2786</v>
      </c>
      <c r="B39" s="9" t="s">
        <v>2787</v>
      </c>
      <c r="C39" s="9" t="s">
        <v>2788</v>
      </c>
    </row>
    <row r="40" customFormat="false" ht="15" hidden="false" customHeight="false" outlineLevel="0" collapsed="false">
      <c r="A40" s="35" t="s">
        <v>51</v>
      </c>
      <c r="B40" s="9" t="s">
        <v>2789</v>
      </c>
      <c r="C40" s="9" t="s">
        <v>2790</v>
      </c>
    </row>
    <row r="41" customFormat="false" ht="15" hidden="false" customHeight="false" outlineLevel="0" collapsed="false">
      <c r="A41" s="35" t="s">
        <v>2791</v>
      </c>
      <c r="B41" s="9" t="s">
        <v>2792</v>
      </c>
      <c r="C41" s="9"/>
    </row>
    <row r="42" customFormat="false" ht="15" hidden="false" customHeight="false" outlineLevel="0" collapsed="false">
      <c r="A42" s="35" t="s">
        <v>2793</v>
      </c>
      <c r="B42" s="9" t="s">
        <v>2794</v>
      </c>
      <c r="C42" s="9" t="s">
        <v>2790</v>
      </c>
    </row>
    <row r="43" customFormat="false" ht="15" hidden="false" customHeight="false" outlineLevel="0" collapsed="false">
      <c r="A43" s="35" t="s">
        <v>2795</v>
      </c>
      <c r="B43" s="9" t="s">
        <v>2796</v>
      </c>
      <c r="C43" s="9"/>
    </row>
    <row r="44" customFormat="false" ht="23.85" hidden="false" customHeight="false" outlineLevel="0" collapsed="false">
      <c r="A44" s="35" t="s">
        <v>2797</v>
      </c>
      <c r="B44" s="9" t="s">
        <v>2798</v>
      </c>
      <c r="C44" s="9" t="s">
        <v>2799</v>
      </c>
    </row>
    <row r="45" customFormat="false" ht="23.85" hidden="false" customHeight="false" outlineLevel="0" collapsed="false">
      <c r="A45" s="35" t="s">
        <v>2800</v>
      </c>
      <c r="B45" s="9" t="s">
        <v>2801</v>
      </c>
      <c r="C45" s="9" t="s">
        <v>2802</v>
      </c>
    </row>
    <row r="47" customFormat="false" ht="15" hidden="false" customHeight="false" outlineLevel="0" collapsed="false">
      <c r="A47" s="3" t="s">
        <v>2803</v>
      </c>
    </row>
    <row r="48" customFormat="false" ht="15" hidden="false" customHeight="false" outlineLevel="0" collapsed="false">
      <c r="A48" s="4" t="s">
        <v>2783</v>
      </c>
      <c r="B48" s="4" t="s">
        <v>2784</v>
      </c>
      <c r="C48" s="4" t="s">
        <v>2716</v>
      </c>
    </row>
    <row r="49" customFormat="false" ht="23.85" hidden="false" customHeight="false" outlineLevel="0" collapsed="false">
      <c r="A49" s="35" t="s">
        <v>2804</v>
      </c>
      <c r="B49" s="9" t="s">
        <v>2805</v>
      </c>
      <c r="C49" s="36" t="s">
        <v>2806</v>
      </c>
    </row>
    <row r="50" customFormat="false" ht="23.85" hidden="false" customHeight="false" outlineLevel="0" collapsed="false">
      <c r="A50" s="35" t="s">
        <v>2807</v>
      </c>
      <c r="B50" s="9" t="s">
        <v>2808</v>
      </c>
      <c r="C50" s="36" t="s">
        <v>2809</v>
      </c>
    </row>
    <row r="51" customFormat="false" ht="23.85" hidden="false" customHeight="false" outlineLevel="0" collapsed="false">
      <c r="A51" s="35" t="s">
        <v>2810</v>
      </c>
      <c r="B51" s="9" t="s">
        <v>2811</v>
      </c>
      <c r="C51" s="36" t="s">
        <v>2773</v>
      </c>
    </row>
  </sheetData>
  <hyperlinks>
    <hyperlink ref="C6" r:id="rId1" display="https://www.oregon.gov/ohcs/compliance-monitoring/pages/push-cp-instruction-guide.aspx"/>
    <hyperlink ref="C7" r:id="rId2" display="https://www.oregon.gov/ohcs/compliance-monitoring/pages/push-cp-instruction-guide.aspx"/>
    <hyperlink ref="C8" r:id="rId3" display="https://www.oregon.gov/ohcs/compliance-monitoring/pages/push-cp-instruction-guide.aspx"/>
    <hyperlink ref="C9" r:id="rId4" display="https://www.oregon.gov/ohcs/compliance-monitoring/pages/push-cp-instruction-guide.aspx"/>
    <hyperlink ref="C10" r:id="rId5" display="https://www.oregon.gov/ohcs/compliance-monitoring/pages/push-cp-instruction-guide.aspx"/>
    <hyperlink ref="C11" r:id="rId6" display="https://www.oregon.gov/ohcs/compliance-monitoring/pages/push-cp-instruction-guide.aspx"/>
    <hyperlink ref="C12" r:id="rId7" display="https://www.oregon.gov/ohcs/compliance-monitoring/pages/push-cp-instruction-guide.aspx"/>
    <hyperlink ref="C13" r:id="rId8" display="https://www.oregon.gov/ohcs/compliance-monitoring/pages/push-cp-instruction-guide.aspx"/>
    <hyperlink ref="C14" r:id="rId9" display="https://www.oregon.gov/ohcs/compliance-monitoring/pages/push-cp-instruction-guide.aspx"/>
    <hyperlink ref="C15" r:id="rId10" display="https://www.portland.gov/code/30/01"/>
    <hyperlink ref="C16" r:id="rId11" display="https://www.oregon.gov/ohcs/rental-housing/housing-development/development-resources/Pages/push-seller-tax-credit.aspx"/>
    <hyperlink ref="C22" r:id="rId12" display="https://www.oregon.gov/ohcs/rental-housing/housing-development/development-resources/Documents/QAP/2025-qap-final.pdf"/>
    <hyperlink ref="C23" r:id="rId13" display="https://www.oregon.gov/ohcs/rental-housing/housing-development/development-resources/Documents/QAP/2025-qap-final.pdf"/>
    <hyperlink ref="C28" r:id="rId14" display="https://www.huduser.gov/portal/datasets/lihtc/property.html"/>
    <hyperlink ref="C29" r:id="rId15" display="https://data.oregon.gov/dataset/Affordable-Housing-10-year-Expiration-Forecast/ye2f-a4g9"/>
    <hyperlink ref="C30" r:id="rId16" display="https://data.oregon.gov/dataset/Oregon-Affordable-Housing-Inventory/p9yn-ftai/data_preview"/>
    <hyperlink ref="C31" r:id="rId17" display="https://www.oregon.gov/ohcs/rental-housing/housing-development/development-resources/pages/preservation-development-resources.aspx"/>
    <hyperlink ref="C32" r:id="rId18" display="https://www.huduser.gov/portal/datasets/lihtc/property.html"/>
    <hyperlink ref="C34" r:id="rId19" display="https://www.oregon.gov/ohcs/compliance-monitoring/pages/push-cp-instruction-guide.aspx"/>
    <hyperlink ref="C49" r:id="rId20" display="https://apps.oregon.gov/oregon-newsroom/OR/OHCS/Posts/Post/oregon-housing-and-community-services-takes-action-to-preserve-1300-affordable-homes"/>
    <hyperlink ref="C50" r:id="rId21" display="https://housingoregon.org/category/housing-oregon-public-news/"/>
    <hyperlink ref="C51" r:id="rId22" display="https://www.oregon.gov/ohcs/rental-housing/housing-development/development-resources/pages/preservation-development-resources.asp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2026-10-03T03:47:41Z</dcterms:created>
  <dc:creator>openpyxl</dc:creator>
  <dc:description/>
  <dc:language>en-US</dc:language>
  <cp:lastModifiedBy/>
  <dcterms:modified xsi:type="dcterms:W3CDTF">2026-10-03T03:47:41Z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